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30"/>
  <workbookPr filterPrivacy="1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"/>
    </mc:Choice>
  </mc:AlternateContent>
  <bookViews>
    <workbookView xWindow="2980" yWindow="540" windowWidth="23780" windowHeight="15720"/>
  </bookViews>
  <sheets>
    <sheet name="All Conditions" sheetId="4" r:id="rId1"/>
    <sheet name="Conditioning" sheetId="1" r:id="rId2"/>
    <sheet name="Context" sheetId="2" r:id="rId3"/>
    <sheet name="Tone" sheetId="3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30" i="4" l="1"/>
  <c r="Q30" i="4"/>
  <c r="R30" i="4"/>
  <c r="S30" i="4"/>
  <c r="T30" i="4"/>
  <c r="U30" i="4"/>
  <c r="V30" i="4"/>
  <c r="W30" i="4"/>
  <c r="O30" i="4"/>
  <c r="AF60" i="4"/>
  <c r="AE60" i="4"/>
  <c r="AD60" i="4"/>
  <c r="AC60" i="4"/>
  <c r="AB60" i="4"/>
  <c r="AF17" i="4"/>
  <c r="AF30" i="4"/>
  <c r="AF49" i="4"/>
  <c r="AE17" i="4"/>
  <c r="AE30" i="4"/>
  <c r="AE49" i="4"/>
  <c r="AD17" i="4"/>
  <c r="AD30" i="4"/>
  <c r="AD49" i="4"/>
  <c r="AC17" i="4"/>
  <c r="AC30" i="4"/>
  <c r="AC49" i="4"/>
  <c r="AB17" i="4"/>
  <c r="AB30" i="4"/>
  <c r="AB49" i="4"/>
  <c r="AF48" i="4"/>
  <c r="AE48" i="4"/>
  <c r="AD48" i="4"/>
  <c r="AC48" i="4"/>
  <c r="AB48" i="4"/>
  <c r="AF47" i="4"/>
  <c r="AE47" i="4"/>
  <c r="AD47" i="4"/>
  <c r="AC47" i="4"/>
  <c r="AB47" i="4"/>
  <c r="AF45" i="4"/>
  <c r="AE45" i="4"/>
  <c r="AD45" i="4"/>
  <c r="AC45" i="4"/>
  <c r="AB45" i="4"/>
  <c r="V65" i="4"/>
  <c r="U65" i="4"/>
  <c r="T65" i="4"/>
  <c r="S65" i="4"/>
  <c r="R65" i="4"/>
  <c r="Q65" i="4"/>
  <c r="P65" i="4"/>
  <c r="O65" i="4"/>
  <c r="V64" i="4"/>
  <c r="U64" i="4"/>
  <c r="T64" i="4"/>
  <c r="S64" i="4"/>
  <c r="R64" i="4"/>
  <c r="Q64" i="4"/>
  <c r="P64" i="4"/>
  <c r="O64" i="4"/>
  <c r="V63" i="4"/>
  <c r="U63" i="4"/>
  <c r="T63" i="4"/>
  <c r="S63" i="4"/>
  <c r="R63" i="4"/>
  <c r="Q63" i="4"/>
  <c r="P63" i="4"/>
  <c r="O63" i="4"/>
  <c r="W52" i="4"/>
  <c r="W53" i="4"/>
  <c r="W54" i="4"/>
  <c r="W55" i="4"/>
  <c r="W56" i="4"/>
  <c r="W57" i="4"/>
  <c r="W58" i="4"/>
  <c r="W60" i="4"/>
  <c r="V60" i="4"/>
  <c r="U60" i="4"/>
  <c r="T60" i="4"/>
  <c r="S60" i="4"/>
  <c r="R60" i="4"/>
  <c r="Q60" i="4"/>
  <c r="P60" i="4"/>
  <c r="O60" i="4"/>
  <c r="W20" i="4"/>
  <c r="W21" i="4"/>
  <c r="W22" i="4"/>
  <c r="W23" i="4"/>
  <c r="W24" i="4"/>
  <c r="W25" i="4"/>
  <c r="W26" i="4"/>
  <c r="W34" i="4"/>
  <c r="W35" i="4"/>
  <c r="W36" i="4"/>
  <c r="W37" i="4"/>
  <c r="W38" i="4"/>
  <c r="W39" i="4"/>
  <c r="W40" i="4"/>
  <c r="W6" i="4"/>
  <c r="W7" i="4"/>
  <c r="W8" i="4"/>
  <c r="W9" i="4"/>
  <c r="W10" i="4"/>
  <c r="W11" i="4"/>
  <c r="W12" i="4"/>
  <c r="W14" i="4"/>
  <c r="W48" i="4"/>
  <c r="V48" i="4"/>
  <c r="U48" i="4"/>
  <c r="T48" i="4"/>
  <c r="S48" i="4"/>
  <c r="R48" i="4"/>
  <c r="Q48" i="4"/>
  <c r="P48" i="4"/>
  <c r="O48" i="4"/>
  <c r="W33" i="4"/>
  <c r="W45" i="4"/>
  <c r="V45" i="4"/>
  <c r="U45" i="4"/>
  <c r="T45" i="4"/>
  <c r="S45" i="4"/>
  <c r="R45" i="4"/>
  <c r="Q45" i="4"/>
  <c r="P45" i="4"/>
  <c r="O45" i="4"/>
  <c r="W17" i="4"/>
  <c r="V17" i="4"/>
  <c r="U17" i="4"/>
  <c r="T17" i="4"/>
  <c r="S17" i="4"/>
  <c r="R17" i="4"/>
  <c r="Q17" i="4"/>
  <c r="P17" i="4"/>
  <c r="O17" i="4"/>
  <c r="J60" i="4"/>
  <c r="I60" i="4"/>
  <c r="H60" i="4"/>
  <c r="G60" i="4"/>
  <c r="F60" i="4"/>
  <c r="E60" i="4"/>
  <c r="D60" i="4"/>
  <c r="C60" i="4"/>
  <c r="J49" i="4"/>
  <c r="I49" i="4"/>
  <c r="H49" i="4"/>
  <c r="G49" i="4"/>
  <c r="F49" i="4"/>
  <c r="E49" i="4"/>
  <c r="D49" i="4"/>
  <c r="C49" i="4"/>
  <c r="J48" i="4"/>
  <c r="I48" i="4"/>
  <c r="H48" i="4"/>
  <c r="G48" i="4"/>
  <c r="F48" i="4"/>
  <c r="E48" i="4"/>
  <c r="D48" i="4"/>
  <c r="C48" i="4"/>
  <c r="J47" i="4"/>
  <c r="I47" i="4"/>
  <c r="H47" i="4"/>
  <c r="G47" i="4"/>
  <c r="F47" i="4"/>
  <c r="E47" i="4"/>
  <c r="D47" i="4"/>
  <c r="C47" i="4"/>
  <c r="J45" i="4"/>
  <c r="I45" i="4"/>
  <c r="H45" i="4"/>
  <c r="G45" i="4"/>
  <c r="F45" i="4"/>
  <c r="E45" i="4"/>
  <c r="D45" i="4"/>
  <c r="C45" i="4"/>
  <c r="J30" i="4"/>
  <c r="I30" i="4"/>
  <c r="H30" i="4"/>
  <c r="G30" i="4"/>
  <c r="F30" i="4"/>
  <c r="E30" i="4"/>
  <c r="D30" i="4"/>
  <c r="C30" i="4"/>
  <c r="J17" i="4"/>
  <c r="I17" i="4"/>
  <c r="H17" i="4"/>
  <c r="G17" i="4"/>
  <c r="F17" i="4"/>
  <c r="E17" i="4"/>
  <c r="D17" i="4"/>
  <c r="C17" i="4"/>
  <c r="J58" i="1"/>
  <c r="K58" i="2"/>
  <c r="K52" i="2"/>
  <c r="K53" i="2"/>
  <c r="D58" i="2"/>
  <c r="E58" i="2"/>
  <c r="F58" i="2"/>
  <c r="G58" i="2"/>
  <c r="H58" i="2"/>
  <c r="I58" i="2"/>
  <c r="J58" i="2"/>
  <c r="C58" i="2"/>
  <c r="C58" i="1"/>
  <c r="D58" i="1"/>
  <c r="E58" i="1"/>
  <c r="F58" i="1"/>
  <c r="G58" i="1"/>
  <c r="H58" i="1"/>
  <c r="I58" i="1"/>
  <c r="K63" i="2"/>
  <c r="K62" i="2"/>
  <c r="C63" i="2"/>
  <c r="D63" i="2"/>
  <c r="E63" i="2"/>
  <c r="F63" i="2"/>
  <c r="G63" i="2"/>
  <c r="H63" i="2"/>
  <c r="I63" i="2"/>
  <c r="J63" i="2"/>
  <c r="K51" i="2"/>
  <c r="D53" i="3"/>
  <c r="E53" i="3"/>
  <c r="F53" i="3"/>
  <c r="G53" i="3"/>
  <c r="C53" i="3"/>
  <c r="D62" i="2"/>
  <c r="E62" i="2"/>
  <c r="F62" i="2"/>
  <c r="G62" i="2"/>
  <c r="H62" i="2"/>
  <c r="I62" i="2"/>
  <c r="J62" i="2"/>
  <c r="C62" i="2"/>
  <c r="D61" i="2"/>
  <c r="E61" i="2"/>
  <c r="F61" i="2"/>
  <c r="G61" i="2"/>
  <c r="H61" i="2"/>
  <c r="I61" i="2"/>
  <c r="J61" i="2"/>
  <c r="C61" i="2"/>
  <c r="K48" i="2"/>
  <c r="K49" i="2"/>
  <c r="K50" i="2"/>
  <c r="K47" i="2"/>
  <c r="C23" i="3"/>
  <c r="C36" i="3"/>
  <c r="C13" i="3"/>
  <c r="D40" i="2"/>
  <c r="E40" i="2"/>
  <c r="F40" i="2"/>
  <c r="G40" i="2"/>
  <c r="H40" i="2"/>
  <c r="I40" i="2"/>
  <c r="J40" i="2"/>
  <c r="C40" i="2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C47" i="1"/>
  <c r="C46" i="1"/>
  <c r="C45" i="1"/>
  <c r="K31" i="2"/>
  <c r="D42" i="2"/>
  <c r="K4" i="2"/>
  <c r="K6" i="2"/>
  <c r="D41" i="3"/>
  <c r="E41" i="3"/>
  <c r="F41" i="3"/>
  <c r="G41" i="3"/>
  <c r="D42" i="3"/>
  <c r="E42" i="3"/>
  <c r="F42" i="3"/>
  <c r="G42" i="3"/>
  <c r="C42" i="3"/>
  <c r="C41" i="3"/>
  <c r="D36" i="3"/>
  <c r="E36" i="3"/>
  <c r="F36" i="3"/>
  <c r="G36" i="3"/>
  <c r="K33" i="2"/>
  <c r="K34" i="2"/>
  <c r="C15" i="1"/>
  <c r="D15" i="1"/>
  <c r="E15" i="1"/>
  <c r="F15" i="1"/>
  <c r="G15" i="1"/>
  <c r="H15" i="1"/>
  <c r="I15" i="1"/>
  <c r="J15" i="1"/>
  <c r="C28" i="1"/>
  <c r="D28" i="1"/>
  <c r="E28" i="1"/>
  <c r="F28" i="1"/>
  <c r="G28" i="1"/>
  <c r="H28" i="1"/>
  <c r="I28" i="1"/>
  <c r="J28" i="1"/>
  <c r="C43" i="1"/>
  <c r="D43" i="1"/>
  <c r="E43" i="1"/>
  <c r="F43" i="1"/>
  <c r="G43" i="1"/>
  <c r="H43" i="1"/>
  <c r="I43" i="1"/>
  <c r="J43" i="1"/>
  <c r="K12" i="2"/>
  <c r="K38" i="2"/>
  <c r="C29" i="2"/>
  <c r="K22" i="2"/>
  <c r="K23" i="2"/>
  <c r="K24" i="2"/>
  <c r="D15" i="2"/>
  <c r="E15" i="2"/>
  <c r="F15" i="2"/>
  <c r="G15" i="2"/>
  <c r="H15" i="2"/>
  <c r="I15" i="2"/>
  <c r="J15" i="2"/>
  <c r="C15" i="2"/>
  <c r="K37" i="2"/>
  <c r="K21" i="2"/>
  <c r="K35" i="2"/>
  <c r="K36" i="2"/>
  <c r="K32" i="2"/>
  <c r="K19" i="2"/>
  <c r="K20" i="2"/>
  <c r="K18" i="2"/>
  <c r="K5" i="2"/>
  <c r="K7" i="2"/>
  <c r="K8" i="2"/>
  <c r="K9" i="2"/>
  <c r="K10" i="2"/>
  <c r="E42" i="2"/>
  <c r="F42" i="2"/>
  <c r="G42" i="2"/>
  <c r="H42" i="2"/>
  <c r="I42" i="2"/>
  <c r="J42" i="2"/>
  <c r="D43" i="2"/>
  <c r="E43" i="2"/>
  <c r="F43" i="2"/>
  <c r="G43" i="2"/>
  <c r="H43" i="2"/>
  <c r="I43" i="2"/>
  <c r="J43" i="2"/>
  <c r="D44" i="2"/>
  <c r="E44" i="2"/>
  <c r="F44" i="2"/>
  <c r="G44" i="2"/>
  <c r="H44" i="2"/>
  <c r="I44" i="2"/>
  <c r="J44" i="2"/>
  <c r="C44" i="2"/>
  <c r="C43" i="2"/>
  <c r="C42" i="2"/>
  <c r="K61" i="2"/>
  <c r="K40" i="2"/>
  <c r="K15" i="2"/>
  <c r="K43" i="2"/>
  <c r="K44" i="2"/>
  <c r="K42" i="2"/>
  <c r="K29" i="2"/>
  <c r="G23" i="3"/>
  <c r="F23" i="3"/>
  <c r="E23" i="3"/>
  <c r="D23" i="3"/>
  <c r="C43" i="3"/>
  <c r="G13" i="3"/>
  <c r="F13" i="3"/>
  <c r="E13" i="3"/>
  <c r="D13" i="3"/>
  <c r="J29" i="2"/>
  <c r="I29" i="2"/>
  <c r="H29" i="2"/>
  <c r="G29" i="2"/>
  <c r="F29" i="2"/>
  <c r="E29" i="2"/>
  <c r="D29" i="2"/>
  <c r="D43" i="3"/>
  <c r="E43" i="3"/>
  <c r="G43" i="3"/>
  <c r="F43" i="3"/>
  <c r="W63" i="4"/>
  <c r="W64" i="4"/>
  <c r="W65" i="4"/>
  <c r="O49" i="4"/>
  <c r="O47" i="4"/>
  <c r="W49" i="4"/>
  <c r="V49" i="4"/>
  <c r="U49" i="4"/>
  <c r="T49" i="4"/>
  <c r="S49" i="4"/>
  <c r="R49" i="4"/>
  <c r="Q49" i="4"/>
  <c r="P49" i="4"/>
  <c r="W47" i="4"/>
  <c r="V47" i="4"/>
  <c r="U47" i="4"/>
  <c r="T47" i="4"/>
  <c r="S47" i="4"/>
  <c r="R47" i="4"/>
  <c r="Q47" i="4"/>
  <c r="P47" i="4"/>
</calcChain>
</file>

<file path=xl/sharedStrings.xml><?xml version="1.0" encoding="utf-8"?>
<sst xmlns="http://schemas.openxmlformats.org/spreadsheetml/2006/main" count="316" uniqueCount="118">
  <si>
    <t>% freeze</t>
  </si>
  <si>
    <t>Onset</t>
  </si>
  <si>
    <t>OIcreNO1</t>
  </si>
  <si>
    <t>OIcreNO2</t>
  </si>
  <si>
    <t>OIcreCH1</t>
  </si>
  <si>
    <t>OIcreNO4</t>
  </si>
  <si>
    <t>OIcreARC1</t>
  </si>
  <si>
    <t>OIcreARC2</t>
  </si>
  <si>
    <t>OIcreNO5</t>
  </si>
  <si>
    <t>OIcreNO6</t>
  </si>
  <si>
    <t>OIcreCH3</t>
  </si>
  <si>
    <t>mean</t>
    <phoneticPr fontId="1" type="noConversion"/>
  </si>
  <si>
    <t>OIcreNO1c</t>
  </si>
  <si>
    <t>OIcreNO2c</t>
  </si>
  <si>
    <t>OIcreCH1c</t>
  </si>
  <si>
    <t>OIcreNO4c</t>
  </si>
  <si>
    <t>OIcreARC1c</t>
  </si>
  <si>
    <t>OIcreARC2c</t>
  </si>
  <si>
    <t>OIcreNO1t</t>
  </si>
  <si>
    <t>OIcreNO2t</t>
  </si>
  <si>
    <t>OIcreCH1t</t>
  </si>
  <si>
    <t>OIcreNO4t</t>
  </si>
  <si>
    <t>OIcreARC1t</t>
  </si>
  <si>
    <t>OIcreARC2t</t>
  </si>
  <si>
    <t>4min</t>
    <phoneticPr fontId="1" type="noConversion"/>
  </si>
  <si>
    <t>OIcreNO5c</t>
  </si>
  <si>
    <t>OIcreNO6c</t>
  </si>
  <si>
    <t>OIcreARC3c</t>
  </si>
  <si>
    <t>OIcreNO7A11</t>
  </si>
  <si>
    <t>OIcreNO8A12</t>
  </si>
  <si>
    <t>OIcreARC3</t>
  </si>
  <si>
    <t>OIcreARC4</t>
  </si>
  <si>
    <t>OIcreNO5t</t>
  </si>
  <si>
    <t>OIcreNO6t</t>
  </si>
  <si>
    <t>OIcreCH3t</t>
  </si>
  <si>
    <t>OIcreNO7A11c</t>
  </si>
  <si>
    <t>OIcreARC3realc</t>
  </si>
  <si>
    <t>OIcreARC4realc</t>
  </si>
  <si>
    <t>OIcreARC3t</t>
  </si>
  <si>
    <t>OIcreARC4t</t>
  </si>
  <si>
    <t>OIcreNO7A11t</t>
  </si>
  <si>
    <t>OIcreNO8A12t</t>
  </si>
  <si>
    <t>OIcreNO10A14</t>
  </si>
  <si>
    <t>OIcreCH6</t>
  </si>
  <si>
    <t>OIcreARC5</t>
  </si>
  <si>
    <t>OIcreARC6</t>
  </si>
  <si>
    <t>OIcreNO10A14c</t>
  </si>
  <si>
    <t>OIcreCH6c</t>
  </si>
  <si>
    <t>NOvsCH</t>
    <phoneticPr fontId="1" type="noConversion"/>
  </si>
  <si>
    <t>NOvsARC</t>
    <phoneticPr fontId="1" type="noConversion"/>
  </si>
  <si>
    <t>CHvsARC</t>
    <phoneticPr fontId="1" type="noConversion"/>
  </si>
  <si>
    <t>OIcreNO10A14t</t>
  </si>
  <si>
    <t>OIcreCH6t</t>
  </si>
  <si>
    <t>OIcreCH8</t>
  </si>
  <si>
    <t>OIcreARC5c</t>
  </si>
  <si>
    <t>OIcreARC6c</t>
  </si>
  <si>
    <t>OIcreARC7</t>
  </si>
  <si>
    <t>OIcreCH8c</t>
  </si>
  <si>
    <t>OIcreARC7c</t>
  </si>
  <si>
    <t>OIcreCH8t</t>
  </si>
  <si>
    <t>OIcreARC5t</t>
  </si>
  <si>
    <t>OIcreARC6t</t>
  </si>
  <si>
    <t>OIcreARC7t</t>
  </si>
  <si>
    <t>OI30</t>
  </si>
  <si>
    <t>OI31</t>
  </si>
  <si>
    <t>OI32</t>
  </si>
  <si>
    <t>mean</t>
  </si>
  <si>
    <t>OI16cr</t>
  </si>
  <si>
    <t>OI16c</t>
  </si>
  <si>
    <t>OI4cr</t>
  </si>
  <si>
    <t>OI16tr</t>
  </si>
  <si>
    <t>OI4tr</t>
  </si>
  <si>
    <t>B1</t>
  </si>
  <si>
    <t>OI4c</t>
  </si>
  <si>
    <t>OIcreNO8A12c</t>
  </si>
  <si>
    <t>OI30t</t>
  </si>
  <si>
    <t>OI31t</t>
  </si>
  <si>
    <t>OI32t</t>
  </si>
  <si>
    <t>NOSTIM</t>
    <phoneticPr fontId="1" type="noConversion"/>
  </si>
  <si>
    <t>IN-ARCH</t>
    <phoneticPr fontId="1" type="noConversion"/>
  </si>
  <si>
    <t>IN-CHR2</t>
    <phoneticPr fontId="1" type="noConversion"/>
  </si>
  <si>
    <t>IN-ARC</t>
    <phoneticPr fontId="1" type="noConversion"/>
  </si>
  <si>
    <t>OUT-ARC</t>
    <phoneticPr fontId="1" type="noConversion"/>
  </si>
  <si>
    <t>OIcreARC15</t>
  </si>
  <si>
    <t>OIcreARC16</t>
  </si>
  <si>
    <t>OIcreARC17</t>
  </si>
  <si>
    <t>OIcreARC18</t>
  </si>
  <si>
    <t>OIcreARC19</t>
  </si>
  <si>
    <t>mean</t>
    <phoneticPr fontId="1" type="noConversion"/>
  </si>
  <si>
    <t>OUT-ARCH</t>
    <phoneticPr fontId="1" type="noConversion"/>
  </si>
  <si>
    <t>OIcreARC15c</t>
  </si>
  <si>
    <t>OIcreARC16c</t>
  </si>
  <si>
    <t>OIcreARC17c</t>
  </si>
  <si>
    <t>OIcreARC18c</t>
  </si>
  <si>
    <t>OIcreARC19c</t>
  </si>
  <si>
    <t>mean</t>
    <phoneticPr fontId="1" type="noConversion"/>
  </si>
  <si>
    <t>NOvsARC OUT</t>
    <phoneticPr fontId="1" type="noConversion"/>
  </si>
  <si>
    <t>ARCvsARCOUT</t>
    <phoneticPr fontId="1" type="noConversion"/>
  </si>
  <si>
    <t>OIcreARC15t</t>
  </si>
  <si>
    <t>OIcreARC16t</t>
  </si>
  <si>
    <t>OIcreARC17t</t>
  </si>
  <si>
    <t>OIcreARC18t</t>
  </si>
  <si>
    <t>OIcreARC19t</t>
  </si>
  <si>
    <t>CHvsARCHOUT</t>
    <phoneticPr fontId="1" type="noConversion"/>
  </si>
  <si>
    <t>OIcreARC22</t>
  </si>
  <si>
    <t>OIcreARC25</t>
  </si>
  <si>
    <t>OIcreARC22c</t>
  </si>
  <si>
    <t>OIcreARC25c</t>
  </si>
  <si>
    <t>OIcreARC212t</t>
  </si>
  <si>
    <t>OIcre25t</t>
  </si>
  <si>
    <t>Conditioning</t>
  </si>
  <si>
    <t>context</t>
  </si>
  <si>
    <t>Tone</t>
  </si>
  <si>
    <t>bin 60sec</t>
  </si>
  <si>
    <t>B2</t>
  </si>
  <si>
    <t>empty = missing</t>
  </si>
  <si>
    <t>All mice Pvcre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</si>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</sst>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Helvetica"/>
    </font>
    <font>
      <b/>
      <sz val="10"/>
      <color rgb="FF000000"/>
      <name val="Helvetica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vertical="center"/>
    </xf>
    <xf numFmtId="0" fontId="5" fillId="0" borderId="0" xfId="0" applyFon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5" fillId="3" borderId="0" xfId="0" applyFont="1" applyFill="1"/>
    <xf numFmtId="0" fontId="4" fillId="3" borderId="0" xfId="0" applyFont="1" applyFill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Freezing (%) - Conditioning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Conditioning!$C$15:$J$15</c:f>
              <c:numCache>
                <c:formatCode>General</c:formatCode>
                <c:ptCount val="8"/>
                <c:pt idx="0">
                  <c:v>2.517777777777778</c:v>
                </c:pt>
                <c:pt idx="1">
                  <c:v>6.89</c:v>
                </c:pt>
                <c:pt idx="2">
                  <c:v>4.54</c:v>
                </c:pt>
                <c:pt idx="3">
                  <c:v>3.251111111111111</c:v>
                </c:pt>
                <c:pt idx="4">
                  <c:v>7.248888888888889</c:v>
                </c:pt>
                <c:pt idx="5">
                  <c:v>17.12777777777778</c:v>
                </c:pt>
                <c:pt idx="6">
                  <c:v>23.12111111111111</c:v>
                </c:pt>
                <c:pt idx="7">
                  <c:v>25.58888888888889</c:v>
                </c:pt>
              </c:numCache>
            </c:numRef>
          </c:val>
          <c:smooth val="0"/>
        </c:ser>
        <c:ser>
          <c:idx val="1"/>
          <c:order val="1"/>
          <c:tx>
            <c:v>CH IN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Conditioning!$C$28:$J$28</c:f>
              <c:numCache>
                <c:formatCode>General</c:formatCode>
                <c:ptCount val="8"/>
                <c:pt idx="0">
                  <c:v>1.434285714285714</c:v>
                </c:pt>
                <c:pt idx="1">
                  <c:v>6.235714285714285</c:v>
                </c:pt>
                <c:pt idx="2">
                  <c:v>4.994285714285715</c:v>
                </c:pt>
                <c:pt idx="3">
                  <c:v>6.362857142857144</c:v>
                </c:pt>
                <c:pt idx="4">
                  <c:v>12.08857142857143</c:v>
                </c:pt>
                <c:pt idx="5">
                  <c:v>17.58142857142857</c:v>
                </c:pt>
                <c:pt idx="6">
                  <c:v>23.56</c:v>
                </c:pt>
                <c:pt idx="7">
                  <c:v>30.33714285714285</c:v>
                </c:pt>
              </c:numCache>
            </c:numRef>
          </c:val>
          <c:smooth val="0"/>
        </c:ser>
        <c:ser>
          <c:idx val="2"/>
          <c:order val="2"/>
          <c:tx>
            <c:v>ARC IN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Conditioning!$C$43:$J$43</c:f>
              <c:numCache>
                <c:formatCode>General</c:formatCode>
                <c:ptCount val="8"/>
                <c:pt idx="0">
                  <c:v>3.755</c:v>
                </c:pt>
                <c:pt idx="1">
                  <c:v>4.897500000000001</c:v>
                </c:pt>
                <c:pt idx="2">
                  <c:v>4.83125</c:v>
                </c:pt>
                <c:pt idx="3">
                  <c:v>2.54</c:v>
                </c:pt>
                <c:pt idx="4">
                  <c:v>4.76125</c:v>
                </c:pt>
                <c:pt idx="5">
                  <c:v>8.54375</c:v>
                </c:pt>
                <c:pt idx="6">
                  <c:v>17.39125</c:v>
                </c:pt>
                <c:pt idx="7">
                  <c:v>23.78375</c:v>
                </c:pt>
              </c:numCache>
            </c:numRef>
          </c:val>
          <c:smooth val="0"/>
        </c:ser>
        <c:ser>
          <c:idx val="3"/>
          <c:order val="3"/>
          <c:tx>
            <c:v>ARC OUT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Conditioning!$C$58:$J$58</c:f>
              <c:numCache>
                <c:formatCode>General</c:formatCode>
                <c:ptCount val="8"/>
                <c:pt idx="0">
                  <c:v>1.308571428571428</c:v>
                </c:pt>
                <c:pt idx="1">
                  <c:v>3.634285714285714</c:v>
                </c:pt>
                <c:pt idx="2">
                  <c:v>3.588571428571428</c:v>
                </c:pt>
                <c:pt idx="3">
                  <c:v>4.754285714285714</c:v>
                </c:pt>
                <c:pt idx="4">
                  <c:v>6.907142857142857</c:v>
                </c:pt>
                <c:pt idx="5">
                  <c:v>11.41142857142857</c:v>
                </c:pt>
                <c:pt idx="6">
                  <c:v>12.85571428571429</c:v>
                </c:pt>
                <c:pt idx="7">
                  <c:v>23.5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88926112"/>
        <c:axId val="-2088922624"/>
      </c:lineChart>
      <c:catAx>
        <c:axId val="-208892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922624"/>
        <c:crosses val="autoZero"/>
        <c:auto val="1"/>
        <c:lblAlgn val="ctr"/>
        <c:lblOffset val="100"/>
        <c:noMultiLvlLbl val="0"/>
      </c:catAx>
      <c:valAx>
        <c:axId val="-2088922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92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Conditioning!$J$15</c:f>
              <c:numCache>
                <c:formatCode>General</c:formatCode>
                <c:ptCount val="1"/>
                <c:pt idx="0">
                  <c:v>25.58888888888889</c:v>
                </c:pt>
              </c:numCache>
            </c:numRef>
          </c:val>
        </c:ser>
        <c:ser>
          <c:idx val="1"/>
          <c:order val="1"/>
          <c:tx>
            <c:v>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Conditioning!$J$28</c:f>
              <c:numCache>
                <c:formatCode>General</c:formatCode>
                <c:ptCount val="1"/>
                <c:pt idx="0">
                  <c:v>30.33714285714285</c:v>
                </c:pt>
              </c:numCache>
            </c:numRef>
          </c:val>
        </c:ser>
        <c:ser>
          <c:idx val="2"/>
          <c:order val="2"/>
          <c:tx>
            <c:v>ARC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Conditioning!$J$43</c:f>
              <c:numCache>
                <c:formatCode>General</c:formatCode>
                <c:ptCount val="1"/>
                <c:pt idx="0">
                  <c:v>23.78375</c:v>
                </c:pt>
              </c:numCache>
            </c:numRef>
          </c:val>
        </c:ser>
        <c:ser>
          <c:idx val="3"/>
          <c:order val="3"/>
          <c:tx>
            <c:v>ARC OUT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Conditioning!$J$58</c:f>
              <c:numCache>
                <c:formatCode>General</c:formatCode>
                <c:ptCount val="1"/>
                <c:pt idx="0">
                  <c:v>23.5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15571888"/>
        <c:axId val="-2059228320"/>
      </c:barChart>
      <c:catAx>
        <c:axId val="-2115571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59228320"/>
        <c:crosses val="autoZero"/>
        <c:auto val="1"/>
        <c:lblAlgn val="ctr"/>
        <c:lblOffset val="100"/>
        <c:noMultiLvlLbl val="0"/>
      </c:catAx>
      <c:valAx>
        <c:axId val="-2059228320"/>
        <c:scaling>
          <c:orientation val="minMax"/>
          <c:max val="35.0"/>
          <c:min val="0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557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859730478354"/>
          <c:y val="0.0790321624896623"/>
          <c:w val="0.81570943948212"/>
          <c:h val="0.813506339147618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Conditioning!$K$4:$K$12</c:f>
              <c:numCache>
                <c:formatCode>General</c:formatCode>
                <c:ptCount val="9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</c:numCache>
            </c:numRef>
          </c:xVal>
          <c:yVal>
            <c:numRef>
              <c:f>Conditioning!$J$4:$J$13</c:f>
              <c:numCache>
                <c:formatCode>General</c:formatCode>
                <c:ptCount val="10"/>
                <c:pt idx="0">
                  <c:v>19.13</c:v>
                </c:pt>
                <c:pt idx="1">
                  <c:v>41.39</c:v>
                </c:pt>
                <c:pt idx="2">
                  <c:v>40.45</c:v>
                </c:pt>
                <c:pt idx="3">
                  <c:v>32.55</c:v>
                </c:pt>
                <c:pt idx="4">
                  <c:v>18.12</c:v>
                </c:pt>
                <c:pt idx="5">
                  <c:v>15.31</c:v>
                </c:pt>
                <c:pt idx="6">
                  <c:v>36.2</c:v>
                </c:pt>
                <c:pt idx="7">
                  <c:v>6.37</c:v>
                </c:pt>
                <c:pt idx="8">
                  <c:v>20.78</c:v>
                </c:pt>
              </c:numCache>
            </c:numRef>
          </c:yVal>
          <c:smooth val="0"/>
        </c:ser>
        <c:ser>
          <c:idx val="1"/>
          <c:order val="1"/>
          <c:tx>
            <c:v>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Conditioning!$K$18:$K$25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</c:numCache>
            </c:numRef>
          </c:xVal>
          <c:yVal>
            <c:numRef>
              <c:f>Conditioning!$J$18:$J$27</c:f>
              <c:numCache>
                <c:formatCode>General</c:formatCode>
                <c:ptCount val="10"/>
                <c:pt idx="0">
                  <c:v>18.12</c:v>
                </c:pt>
                <c:pt idx="1">
                  <c:v>32.21</c:v>
                </c:pt>
                <c:pt idx="2">
                  <c:v>17.9</c:v>
                </c:pt>
                <c:pt idx="3">
                  <c:v>53.47</c:v>
                </c:pt>
                <c:pt idx="4">
                  <c:v>41.95</c:v>
                </c:pt>
                <c:pt idx="5">
                  <c:v>13.85</c:v>
                </c:pt>
                <c:pt idx="6">
                  <c:v>34.86</c:v>
                </c:pt>
              </c:numCache>
            </c:numRef>
          </c:yVal>
          <c:smooth val="0"/>
        </c:ser>
        <c:ser>
          <c:idx val="2"/>
          <c:order val="2"/>
          <c:tx>
            <c:v>ARC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Conditioning!$K$31:$K$41</c:f>
              <c:numCache>
                <c:formatCode>General</c:formatCode>
                <c:ptCount val="11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  <c:pt idx="9">
                  <c:v>3.0</c:v>
                </c:pt>
                <c:pt idx="10">
                  <c:v>3.0</c:v>
                </c:pt>
              </c:numCache>
            </c:numRef>
          </c:xVal>
          <c:yVal>
            <c:numRef>
              <c:f>Conditioning!$J$31:$J$40</c:f>
              <c:numCache>
                <c:formatCode>General</c:formatCode>
                <c:ptCount val="10"/>
                <c:pt idx="0">
                  <c:v>61.41</c:v>
                </c:pt>
                <c:pt idx="1">
                  <c:v>21.45</c:v>
                </c:pt>
                <c:pt idx="2">
                  <c:v>7.6</c:v>
                </c:pt>
                <c:pt idx="3">
                  <c:v>16.09</c:v>
                </c:pt>
                <c:pt idx="4">
                  <c:v>27.85</c:v>
                </c:pt>
                <c:pt idx="5">
                  <c:v>13.3</c:v>
                </c:pt>
                <c:pt idx="6">
                  <c:v>11.84</c:v>
                </c:pt>
                <c:pt idx="7">
                  <c:v>30.73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86172688"/>
        <c:axId val="-2086168592"/>
      </c:scatterChart>
      <c:valAx>
        <c:axId val="-208617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168592"/>
        <c:crosses val="autoZero"/>
        <c:crossBetween val="midCat"/>
      </c:valAx>
      <c:valAx>
        <c:axId val="-20861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17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 (%) - Context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Context!$C$15:$J$15</c:f>
              <c:numCache>
                <c:formatCode>General</c:formatCode>
                <c:ptCount val="8"/>
                <c:pt idx="0">
                  <c:v>17.51222222222222</c:v>
                </c:pt>
                <c:pt idx="1">
                  <c:v>23.1988888888889</c:v>
                </c:pt>
                <c:pt idx="2">
                  <c:v>21.38222222222222</c:v>
                </c:pt>
                <c:pt idx="3">
                  <c:v>26.09444444444444</c:v>
                </c:pt>
                <c:pt idx="4">
                  <c:v>23.49888888888889</c:v>
                </c:pt>
                <c:pt idx="5">
                  <c:v>21.67555555555555</c:v>
                </c:pt>
                <c:pt idx="6">
                  <c:v>21.59777777777778</c:v>
                </c:pt>
                <c:pt idx="7">
                  <c:v>20.34125</c:v>
                </c:pt>
              </c:numCache>
            </c:numRef>
          </c:val>
          <c:smooth val="0"/>
        </c:ser>
        <c:ser>
          <c:idx val="1"/>
          <c:order val="1"/>
          <c:tx>
            <c:v>CH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Context!$C$29:$J$29</c:f>
              <c:numCache>
                <c:formatCode>General</c:formatCode>
                <c:ptCount val="8"/>
                <c:pt idx="0">
                  <c:v>17.16714285714286</c:v>
                </c:pt>
                <c:pt idx="1">
                  <c:v>40.21</c:v>
                </c:pt>
                <c:pt idx="2">
                  <c:v>31.25</c:v>
                </c:pt>
                <c:pt idx="3">
                  <c:v>31.63571428571429</c:v>
                </c:pt>
                <c:pt idx="4">
                  <c:v>30.04</c:v>
                </c:pt>
                <c:pt idx="5">
                  <c:v>25.19714285714286</c:v>
                </c:pt>
                <c:pt idx="6">
                  <c:v>27.11142857142857</c:v>
                </c:pt>
                <c:pt idx="7">
                  <c:v>32.1325</c:v>
                </c:pt>
              </c:numCache>
            </c:numRef>
          </c:val>
          <c:smooth val="0"/>
        </c:ser>
        <c:ser>
          <c:idx val="2"/>
          <c:order val="2"/>
          <c:tx>
            <c:v>ARC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Context!$C$40:$J$40</c:f>
              <c:numCache>
                <c:formatCode>General</c:formatCode>
                <c:ptCount val="8"/>
                <c:pt idx="0">
                  <c:v>14.1825</c:v>
                </c:pt>
                <c:pt idx="1">
                  <c:v>18.0175</c:v>
                </c:pt>
                <c:pt idx="2">
                  <c:v>14.625</c:v>
                </c:pt>
                <c:pt idx="3">
                  <c:v>13.95375</c:v>
                </c:pt>
                <c:pt idx="4">
                  <c:v>11.365</c:v>
                </c:pt>
                <c:pt idx="5">
                  <c:v>14.505</c:v>
                </c:pt>
                <c:pt idx="6">
                  <c:v>15.02625</c:v>
                </c:pt>
                <c:pt idx="7">
                  <c:v>15.36285714285714</c:v>
                </c:pt>
              </c:numCache>
            </c:numRef>
          </c:val>
          <c:smooth val="0"/>
        </c:ser>
        <c:ser>
          <c:idx val="3"/>
          <c:order val="3"/>
          <c:tx>
            <c:v>ARC OUT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Context!$C$58:$J$58</c:f>
              <c:numCache>
                <c:formatCode>General</c:formatCode>
                <c:ptCount val="8"/>
                <c:pt idx="0">
                  <c:v>16.77714285714286</c:v>
                </c:pt>
                <c:pt idx="1">
                  <c:v>31.87714285714285</c:v>
                </c:pt>
                <c:pt idx="2">
                  <c:v>32.39714285714286</c:v>
                </c:pt>
                <c:pt idx="3">
                  <c:v>24.63428571428571</c:v>
                </c:pt>
                <c:pt idx="4">
                  <c:v>18.31428571428571</c:v>
                </c:pt>
                <c:pt idx="5">
                  <c:v>20.29</c:v>
                </c:pt>
                <c:pt idx="6">
                  <c:v>10.59285714285714</c:v>
                </c:pt>
                <c:pt idx="7">
                  <c:v>11.76571428571429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87408512"/>
        <c:axId val="-2055989024"/>
      </c:lineChart>
      <c:catAx>
        <c:axId val="-208740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55989024"/>
        <c:crosses val="autoZero"/>
        <c:auto val="1"/>
        <c:lblAlgn val="ctr"/>
        <c:lblOffset val="100"/>
        <c:noMultiLvlLbl val="0"/>
      </c:catAx>
      <c:valAx>
        <c:axId val="-2055989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74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 (%) - First</a:t>
            </a:r>
            <a:r>
              <a:rPr lang="en-US" altLang="ko-KR" baseline="0"/>
              <a:t> 4 min Average</a:t>
            </a:r>
            <a:endParaRPr lang="en-US" alt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859730478354"/>
          <c:y val="0.0790321624896623"/>
          <c:w val="0.81570943948212"/>
          <c:h val="0.813506339147618"/>
        </c:manualLayout>
      </c:layout>
      <c:scatterChart>
        <c:scatterStyle val="lineMarker"/>
        <c:varyColors val="0"/>
        <c:ser>
          <c:idx val="3"/>
          <c:order val="0"/>
          <c:tx>
            <c:v>NO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Context!$L$4:$L$12</c:f>
              <c:numCache>
                <c:formatCode>General</c:formatCode>
                <c:ptCount val="9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</c:numCache>
            </c:numRef>
          </c:xVal>
          <c:yVal>
            <c:numRef>
              <c:f>Context!$K$4:$K$12</c:f>
              <c:numCache>
                <c:formatCode>General</c:formatCode>
                <c:ptCount val="9"/>
                <c:pt idx="0">
                  <c:v>29.9275</c:v>
                </c:pt>
                <c:pt idx="1">
                  <c:v>22.135</c:v>
                </c:pt>
                <c:pt idx="2">
                  <c:v>16.86</c:v>
                </c:pt>
                <c:pt idx="3">
                  <c:v>22.6975</c:v>
                </c:pt>
                <c:pt idx="4">
                  <c:v>26.01</c:v>
                </c:pt>
                <c:pt idx="5">
                  <c:v>17.5275</c:v>
                </c:pt>
                <c:pt idx="6">
                  <c:v>26.9975</c:v>
                </c:pt>
                <c:pt idx="8">
                  <c:v>23.4525</c:v>
                </c:pt>
              </c:numCache>
            </c:numRef>
          </c:yVal>
          <c:smooth val="0"/>
        </c:ser>
        <c:ser>
          <c:idx val="1"/>
          <c:order val="1"/>
          <c:tx>
            <c:v>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Context!$L$18:$L$25</c:f>
              <c:numCache>
                <c:formatCode>General</c:formatCode>
                <c:ptCount val="8"/>
                <c:pt idx="0">
                  <c:v>2.0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2.0</c:v>
                </c:pt>
                <c:pt idx="6">
                  <c:v>2.0</c:v>
                </c:pt>
                <c:pt idx="7">
                  <c:v>2.0</c:v>
                </c:pt>
              </c:numCache>
            </c:numRef>
          </c:xVal>
          <c:yVal>
            <c:numRef>
              <c:f>Context!$K$18:$K$24</c:f>
              <c:numCache>
                <c:formatCode>General</c:formatCode>
                <c:ptCount val="7"/>
                <c:pt idx="0">
                  <c:v>26.2975</c:v>
                </c:pt>
                <c:pt idx="1">
                  <c:v>34.7525</c:v>
                </c:pt>
                <c:pt idx="2">
                  <c:v>24.7375</c:v>
                </c:pt>
                <c:pt idx="3">
                  <c:v>24.21</c:v>
                </c:pt>
                <c:pt idx="4">
                  <c:v>38.0825</c:v>
                </c:pt>
                <c:pt idx="5">
                  <c:v>27.9675</c:v>
                </c:pt>
                <c:pt idx="6">
                  <c:v>34.4125</c:v>
                </c:pt>
              </c:numCache>
            </c:numRef>
          </c:yVal>
          <c:smooth val="0"/>
        </c:ser>
        <c:ser>
          <c:idx val="2"/>
          <c:order val="2"/>
          <c:tx>
            <c:v>ARC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Context!$L$31:$L$38</c:f>
              <c:numCache>
                <c:formatCode>General</c:formatCode>
                <c:ptCount val="8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</c:numCache>
            </c:numRef>
          </c:xVal>
          <c:yVal>
            <c:numRef>
              <c:f>Context!$K$31:$K$38</c:f>
              <c:numCache>
                <c:formatCode>General</c:formatCode>
                <c:ptCount val="8"/>
                <c:pt idx="0">
                  <c:v>26.7425</c:v>
                </c:pt>
                <c:pt idx="1">
                  <c:v>15.07</c:v>
                </c:pt>
                <c:pt idx="2">
                  <c:v>18.68</c:v>
                </c:pt>
                <c:pt idx="3">
                  <c:v>13.225</c:v>
                </c:pt>
                <c:pt idx="4">
                  <c:v>18.1975</c:v>
                </c:pt>
                <c:pt idx="5">
                  <c:v>9.1825</c:v>
                </c:pt>
                <c:pt idx="6">
                  <c:v>12.1125</c:v>
                </c:pt>
                <c:pt idx="7">
                  <c:v>8.3475</c:v>
                </c:pt>
              </c:numCache>
            </c:numRef>
          </c:yVal>
          <c:smooth val="0"/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Context!$L$47:$L$54</c:f>
              <c:numCache>
                <c:formatCode>General</c:formatCode>
                <c:ptCount val="8"/>
                <c:pt idx="0">
                  <c:v>4.0</c:v>
                </c:pt>
                <c:pt idx="1">
                  <c:v>4.0</c:v>
                </c:pt>
                <c:pt idx="2">
                  <c:v>4.0</c:v>
                </c:pt>
                <c:pt idx="3">
                  <c:v>4.0</c:v>
                </c:pt>
                <c:pt idx="4">
                  <c:v>4.0</c:v>
                </c:pt>
                <c:pt idx="5">
                  <c:v>4.0</c:v>
                </c:pt>
                <c:pt idx="6">
                  <c:v>4.0</c:v>
                </c:pt>
              </c:numCache>
            </c:numRef>
          </c:xVal>
          <c:yVal>
            <c:numRef>
              <c:f>Context!$K$47:$K$54</c:f>
              <c:numCache>
                <c:formatCode>General</c:formatCode>
                <c:ptCount val="8"/>
                <c:pt idx="0">
                  <c:v>19.0725</c:v>
                </c:pt>
                <c:pt idx="1">
                  <c:v>32.125</c:v>
                </c:pt>
                <c:pt idx="2">
                  <c:v>25.8475</c:v>
                </c:pt>
                <c:pt idx="3">
                  <c:v>11.81</c:v>
                </c:pt>
                <c:pt idx="4">
                  <c:v>33.9225</c:v>
                </c:pt>
                <c:pt idx="5">
                  <c:v>28.7525</c:v>
                </c:pt>
                <c:pt idx="6">
                  <c:v>33.42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91492560"/>
        <c:axId val="-2087770640"/>
      </c:scatterChart>
      <c:valAx>
        <c:axId val="-209149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Groups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7770640"/>
        <c:crosses val="autoZero"/>
        <c:crossBetween val="midCat"/>
      </c:valAx>
      <c:valAx>
        <c:axId val="-20877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FREEZING (%)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149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546855938782"/>
          <c:y val="0.0853080568720379"/>
          <c:w val="0.894453144061218"/>
          <c:h val="0.82607456058514"/>
        </c:manualLayout>
      </c:layout>
      <c:barChart>
        <c:barDir val="col"/>
        <c:grouping val="clustered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Context!$K$15</c:f>
              <c:numCache>
                <c:formatCode>General</c:formatCode>
                <c:ptCount val="1"/>
                <c:pt idx="0">
                  <c:v>23.2009375</c:v>
                </c:pt>
              </c:numCache>
            </c:numRef>
          </c:val>
        </c:ser>
        <c:ser>
          <c:idx val="1"/>
          <c:order val="1"/>
          <c:tx>
            <c:v>IN-CH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Context!$K$29</c:f>
              <c:numCache>
                <c:formatCode>General</c:formatCode>
                <c:ptCount val="1"/>
                <c:pt idx="0">
                  <c:v>30.06571428571429</c:v>
                </c:pt>
              </c:numCache>
            </c:numRef>
          </c:val>
        </c:ser>
        <c:ser>
          <c:idx val="2"/>
          <c:order val="2"/>
          <c:tx>
            <c:v>IN ARC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Context!$K$40</c:f>
              <c:numCache>
                <c:formatCode>General</c:formatCode>
                <c:ptCount val="1"/>
                <c:pt idx="0">
                  <c:v>15.1946875</c:v>
                </c:pt>
              </c:numCache>
            </c:numRef>
          </c:val>
        </c:ser>
        <c:ser>
          <c:idx val="3"/>
          <c:order val="3"/>
          <c:tx>
            <c:v>OUT ARC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Context!$K$58</c:f>
              <c:numCache>
                <c:formatCode>General</c:formatCode>
                <c:ptCount val="1"/>
                <c:pt idx="0">
                  <c:v>26.42142857142857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755152"/>
        <c:axId val="-2086812720"/>
      </c:barChart>
      <c:catAx>
        <c:axId val="207875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812720"/>
        <c:crosses val="autoZero"/>
        <c:auto val="1"/>
        <c:lblAlgn val="ctr"/>
        <c:lblOffset val="100"/>
        <c:noMultiLvlLbl val="0"/>
      </c:catAx>
      <c:valAx>
        <c:axId val="-208681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75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Freezing</a:t>
            </a:r>
            <a:r>
              <a:rPr lang="en-US" altLang="ko-KR" baseline="0"/>
              <a:t> (%) - Tone</a:t>
            </a:r>
            <a:endParaRPr lang="ko-K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Tone!$C$13:$G$13</c:f>
              <c:numCache>
                <c:formatCode>General</c:formatCode>
                <c:ptCount val="5"/>
                <c:pt idx="0">
                  <c:v>0.818888888888889</c:v>
                </c:pt>
                <c:pt idx="1">
                  <c:v>0.732222222222222</c:v>
                </c:pt>
                <c:pt idx="2">
                  <c:v>3.785555555555556</c:v>
                </c:pt>
                <c:pt idx="3">
                  <c:v>17.99333333333333</c:v>
                </c:pt>
                <c:pt idx="4">
                  <c:v>7.037777777777777</c:v>
                </c:pt>
              </c:numCache>
            </c:numRef>
          </c:val>
          <c:smooth val="0"/>
        </c:ser>
        <c:ser>
          <c:idx val="1"/>
          <c:order val="1"/>
          <c:tx>
            <c:v>CH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Tone!$C$23:$G$23</c:f>
              <c:numCache>
                <c:formatCode>General</c:formatCode>
                <c:ptCount val="5"/>
                <c:pt idx="0">
                  <c:v>2.2</c:v>
                </c:pt>
                <c:pt idx="1">
                  <c:v>3.827142857142857</c:v>
                </c:pt>
                <c:pt idx="2">
                  <c:v>2.648571428571428</c:v>
                </c:pt>
                <c:pt idx="3">
                  <c:v>23.09571428571429</c:v>
                </c:pt>
                <c:pt idx="4">
                  <c:v>9.574285714285712</c:v>
                </c:pt>
              </c:numCache>
            </c:numRef>
          </c:val>
          <c:smooth val="0"/>
        </c:ser>
        <c:ser>
          <c:idx val="2"/>
          <c:order val="2"/>
          <c:tx>
            <c:v>ARC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Tone!$C$36:$G$36</c:f>
              <c:numCache>
                <c:formatCode>General</c:formatCode>
                <c:ptCount val="5"/>
                <c:pt idx="0">
                  <c:v>2.695</c:v>
                </c:pt>
                <c:pt idx="1">
                  <c:v>3.30625</c:v>
                </c:pt>
                <c:pt idx="2">
                  <c:v>0.80875</c:v>
                </c:pt>
                <c:pt idx="3">
                  <c:v>14.9975</c:v>
                </c:pt>
                <c:pt idx="4">
                  <c:v>5.8225</c:v>
                </c:pt>
              </c:numCache>
            </c:numRef>
          </c:val>
          <c:smooth val="0"/>
        </c:ser>
        <c:ser>
          <c:idx val="3"/>
          <c:order val="3"/>
          <c:tx>
            <c:v>ARC OUT</c:v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Tone!$C$53:$G$53</c:f>
              <c:numCache>
                <c:formatCode>General</c:formatCode>
                <c:ptCount val="5"/>
                <c:pt idx="0">
                  <c:v>1.933333333333333</c:v>
                </c:pt>
                <c:pt idx="1">
                  <c:v>1.695</c:v>
                </c:pt>
                <c:pt idx="2">
                  <c:v>2.643333333333333</c:v>
                </c:pt>
                <c:pt idx="3">
                  <c:v>28.50666666666666</c:v>
                </c:pt>
                <c:pt idx="4">
                  <c:v>3.923333333333333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5855152"/>
        <c:axId val="-2087743440"/>
      </c:lineChart>
      <c:catAx>
        <c:axId val="-211585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7743440"/>
        <c:crosses val="autoZero"/>
        <c:auto val="1"/>
        <c:lblAlgn val="ctr"/>
        <c:lblOffset val="100"/>
        <c:noMultiLvlLbl val="0"/>
      </c:catAx>
      <c:valAx>
        <c:axId val="-208774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58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3</xdr:row>
      <xdr:rowOff>157162</xdr:rowOff>
    </xdr:from>
    <xdr:to>
      <xdr:col>17</xdr:col>
      <xdr:colOff>647700</xdr:colOff>
      <xdr:row>19</xdr:row>
      <xdr:rowOff>176212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157162</xdr:colOff>
      <xdr:row>22</xdr:row>
      <xdr:rowOff>61912</xdr:rowOff>
    </xdr:from>
    <xdr:to>
      <xdr:col>17</xdr:col>
      <xdr:colOff>614362</xdr:colOff>
      <xdr:row>38</xdr:row>
      <xdr:rowOff>80962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342900</xdr:colOff>
      <xdr:row>38</xdr:row>
      <xdr:rowOff>190500</xdr:rowOff>
    </xdr:from>
    <xdr:to>
      <xdr:col>15</xdr:col>
      <xdr:colOff>9525</xdr:colOff>
      <xdr:row>51</xdr:row>
      <xdr:rowOff>4762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1</xdr:row>
      <xdr:rowOff>109537</xdr:rowOff>
    </xdr:from>
    <xdr:to>
      <xdr:col>21</xdr:col>
      <xdr:colOff>447675</xdr:colOff>
      <xdr:row>17</xdr:row>
      <xdr:rowOff>128587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224972</xdr:colOff>
      <xdr:row>70</xdr:row>
      <xdr:rowOff>50347</xdr:rowOff>
    </xdr:from>
    <xdr:to>
      <xdr:col>15</xdr:col>
      <xdr:colOff>27215</xdr:colOff>
      <xdr:row>89</xdr:row>
      <xdr:rowOff>145144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249466</xdr:colOff>
      <xdr:row>67</xdr:row>
      <xdr:rowOff>143328</xdr:rowOff>
    </xdr:from>
    <xdr:to>
      <xdr:col>22</xdr:col>
      <xdr:colOff>58966</xdr:colOff>
      <xdr:row>81</xdr:row>
      <xdr:rowOff>29028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3</xdr:row>
      <xdr:rowOff>176212</xdr:rowOff>
    </xdr:from>
    <xdr:to>
      <xdr:col>14</xdr:col>
      <xdr:colOff>342900</xdr:colOff>
      <xdr:row>18</xdr:row>
      <xdr:rowOff>195262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5"/>
  <sheetViews>
    <sheetView tabSelected="1" topLeftCell="A15" zoomScale="88" workbookViewId="0">
      <selection activeCell="D64" sqref="D64"/>
    </sheetView>
  </sheetViews>
  <sheetFormatPr baseColWidth="10" defaultRowHeight="15" x14ac:dyDescent="0.2"/>
  <sheetData>
    <row r="1" spans="1:32" x14ac:dyDescent="0.2">
      <c r="A1" s="7"/>
      <c r="B1" s="7" t="s">
        <v>110</v>
      </c>
      <c r="C1" s="7"/>
      <c r="D1" s="7"/>
      <c r="E1" s="7"/>
      <c r="F1" s="7"/>
      <c r="G1" s="7"/>
      <c r="H1" s="7"/>
      <c r="I1" s="7"/>
      <c r="J1" s="7"/>
      <c r="K1" s="7"/>
      <c r="M1" s="8" t="s">
        <v>111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Z1" s="9" t="s">
        <v>112</v>
      </c>
      <c r="AA1" s="9"/>
      <c r="AB1" s="9"/>
      <c r="AC1" s="9"/>
      <c r="AD1" s="9"/>
      <c r="AE1" s="9"/>
      <c r="AF1" s="9"/>
    </row>
    <row r="2" spans="1:32" x14ac:dyDescent="0.2">
      <c r="A2" s="7"/>
      <c r="B2" s="7" t="s">
        <v>113</v>
      </c>
      <c r="C2" s="7" t="s">
        <v>115</v>
      </c>
      <c r="D2" s="7"/>
      <c r="E2" s="7"/>
      <c r="F2" s="7" t="s">
        <v>116</v>
      </c>
      <c r="G2" s="7"/>
      <c r="H2" s="7"/>
      <c r="I2" s="7"/>
      <c r="J2" s="7"/>
      <c r="K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Z2" s="9"/>
      <c r="AA2" s="9"/>
      <c r="AB2" s="9"/>
      <c r="AC2" s="9"/>
      <c r="AD2" s="9"/>
      <c r="AE2" s="9"/>
      <c r="AF2" s="9"/>
    </row>
    <row r="3" spans="1:32" x14ac:dyDescent="0.2">
      <c r="A3" s="1" t="s">
        <v>0</v>
      </c>
      <c r="C3" s="1"/>
      <c r="D3" s="1"/>
      <c r="E3" s="1"/>
      <c r="F3" s="1"/>
      <c r="G3" s="1"/>
      <c r="H3" s="1"/>
      <c r="I3" s="1"/>
      <c r="J3" s="1"/>
      <c r="M3" s="1" t="s">
        <v>0</v>
      </c>
      <c r="O3" s="1"/>
      <c r="P3" s="1"/>
      <c r="Q3" s="1"/>
      <c r="R3" s="1"/>
      <c r="S3" s="1"/>
      <c r="T3" s="1"/>
      <c r="U3" s="1"/>
      <c r="V3" s="1"/>
      <c r="Z3" s="1" t="s">
        <v>0</v>
      </c>
      <c r="AB3" s="1"/>
      <c r="AC3" s="1"/>
      <c r="AD3" s="1"/>
      <c r="AE3" s="1"/>
      <c r="AF3" s="1"/>
    </row>
    <row r="4" spans="1:32" x14ac:dyDescent="0.2">
      <c r="A4" s="1" t="s">
        <v>1</v>
      </c>
      <c r="C4" s="1">
        <v>0</v>
      </c>
      <c r="D4" s="1">
        <v>60</v>
      </c>
      <c r="E4" s="1">
        <v>120</v>
      </c>
      <c r="F4" s="1">
        <v>180</v>
      </c>
      <c r="G4" s="1">
        <v>240</v>
      </c>
      <c r="H4" s="1">
        <v>300</v>
      </c>
      <c r="I4" s="1">
        <v>360</v>
      </c>
      <c r="J4" s="1">
        <v>420</v>
      </c>
      <c r="M4" s="1" t="s">
        <v>1</v>
      </c>
      <c r="O4" s="1">
        <v>0</v>
      </c>
      <c r="P4" s="1">
        <v>60</v>
      </c>
      <c r="Q4" s="1">
        <v>120</v>
      </c>
      <c r="R4" s="1">
        <v>180</v>
      </c>
      <c r="S4" s="1">
        <v>240</v>
      </c>
      <c r="T4" s="1">
        <v>300</v>
      </c>
      <c r="U4" s="1">
        <v>360</v>
      </c>
      <c r="V4" s="1">
        <v>420</v>
      </c>
      <c r="W4" t="s">
        <v>24</v>
      </c>
      <c r="Z4" s="1" t="s">
        <v>1</v>
      </c>
      <c r="AB4" s="1">
        <v>0</v>
      </c>
      <c r="AC4" s="1">
        <v>60</v>
      </c>
      <c r="AD4" s="1">
        <v>120</v>
      </c>
      <c r="AE4" s="1">
        <v>180</v>
      </c>
      <c r="AF4" s="1">
        <v>240</v>
      </c>
    </row>
    <row r="5" spans="1:32" x14ac:dyDescent="0.2">
      <c r="A5" s="10" t="s">
        <v>78</v>
      </c>
      <c r="B5" s="10"/>
      <c r="C5" s="10"/>
      <c r="D5" s="10"/>
      <c r="E5" s="10"/>
      <c r="F5" s="10"/>
      <c r="G5" s="10"/>
      <c r="H5" s="10"/>
      <c r="I5" s="10"/>
      <c r="J5" s="10"/>
      <c r="K5" s="10"/>
      <c r="M5" s="10" t="s">
        <v>78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Z5" s="10" t="s">
        <v>78</v>
      </c>
      <c r="AA5" s="10"/>
      <c r="AB5" s="10"/>
      <c r="AC5" s="10"/>
      <c r="AD5" s="10"/>
      <c r="AE5" s="10"/>
      <c r="AF5" s="10"/>
    </row>
    <row r="6" spans="1:32" x14ac:dyDescent="0.2">
      <c r="A6" s="10" t="s">
        <v>114</v>
      </c>
      <c r="B6" s="11" t="s">
        <v>2</v>
      </c>
      <c r="C6" s="11">
        <v>1.9</v>
      </c>
      <c r="D6" s="11">
        <v>3.36</v>
      </c>
      <c r="E6" s="11">
        <v>3.57</v>
      </c>
      <c r="F6" s="11">
        <v>1.23</v>
      </c>
      <c r="G6" s="11">
        <v>5.25</v>
      </c>
      <c r="H6" s="11">
        <v>10.17</v>
      </c>
      <c r="I6" s="11">
        <v>20.87</v>
      </c>
      <c r="J6" s="11">
        <v>19.13</v>
      </c>
      <c r="K6" s="11">
        <v>1</v>
      </c>
      <c r="M6" s="10"/>
      <c r="N6" s="11" t="s">
        <v>12</v>
      </c>
      <c r="O6" s="11">
        <v>41.07</v>
      </c>
      <c r="P6" s="11">
        <v>26.26</v>
      </c>
      <c r="Q6" s="11">
        <v>19.2</v>
      </c>
      <c r="R6" s="11">
        <v>33.18</v>
      </c>
      <c r="S6" s="11">
        <v>34.71</v>
      </c>
      <c r="T6" s="11">
        <v>27.6</v>
      </c>
      <c r="U6" s="11">
        <v>26</v>
      </c>
      <c r="V6" s="11">
        <v>12.64</v>
      </c>
      <c r="W6" s="10">
        <f>AVERAGE(O6:R6)</f>
        <v>29.927500000000002</v>
      </c>
      <c r="X6" s="11">
        <v>1</v>
      </c>
      <c r="Z6" s="10"/>
      <c r="AA6" s="11" t="s">
        <v>18</v>
      </c>
      <c r="AB6" s="11">
        <v>3.91</v>
      </c>
      <c r="AC6" s="11">
        <v>1.68</v>
      </c>
      <c r="AD6" s="11">
        <v>0.89</v>
      </c>
      <c r="AE6" s="11">
        <v>24.47</v>
      </c>
      <c r="AF6" s="11">
        <v>5.25</v>
      </c>
    </row>
    <row r="7" spans="1:32" x14ac:dyDescent="0.2">
      <c r="A7" s="10" t="s">
        <v>114</v>
      </c>
      <c r="B7" s="11" t="s">
        <v>3</v>
      </c>
      <c r="C7" s="11">
        <v>7.59</v>
      </c>
      <c r="D7" s="11">
        <v>12.74</v>
      </c>
      <c r="E7" s="11">
        <v>5.25</v>
      </c>
      <c r="F7" s="11">
        <v>7.71</v>
      </c>
      <c r="G7" s="11">
        <v>9.49</v>
      </c>
      <c r="H7" s="11">
        <v>20.45</v>
      </c>
      <c r="I7" s="11">
        <v>18.97</v>
      </c>
      <c r="J7" s="11">
        <v>41.39</v>
      </c>
      <c r="K7" s="11">
        <v>1</v>
      </c>
      <c r="M7" s="10"/>
      <c r="N7" s="11" t="s">
        <v>13</v>
      </c>
      <c r="O7" s="11">
        <v>13.74</v>
      </c>
      <c r="P7" s="11">
        <v>19.079999999999998</v>
      </c>
      <c r="Q7" s="11">
        <v>24.36</v>
      </c>
      <c r="R7" s="11">
        <v>31.36</v>
      </c>
      <c r="S7" s="11">
        <v>28.49</v>
      </c>
      <c r="T7" s="11">
        <v>25.89</v>
      </c>
      <c r="U7" s="11">
        <v>32.479999999999997</v>
      </c>
      <c r="V7" s="11">
        <v>20.34</v>
      </c>
      <c r="W7" s="10">
        <f t="shared" ref="W7:W14" si="0">AVERAGE(O7:R7)</f>
        <v>22.134999999999998</v>
      </c>
      <c r="X7" s="11">
        <v>1</v>
      </c>
      <c r="Z7" s="10"/>
      <c r="AA7" s="11" t="s">
        <v>19</v>
      </c>
      <c r="AB7" s="11">
        <v>0</v>
      </c>
      <c r="AC7" s="11">
        <v>0</v>
      </c>
      <c r="AD7" s="11">
        <v>0</v>
      </c>
      <c r="AE7" s="11">
        <v>23.24</v>
      </c>
      <c r="AF7" s="11">
        <v>0</v>
      </c>
    </row>
    <row r="8" spans="1:32" x14ac:dyDescent="0.2">
      <c r="A8" s="10" t="s">
        <v>114</v>
      </c>
      <c r="B8" s="11" t="s">
        <v>5</v>
      </c>
      <c r="C8" s="11">
        <v>2.23</v>
      </c>
      <c r="D8" s="11">
        <v>12.28</v>
      </c>
      <c r="E8" s="11">
        <v>4.13</v>
      </c>
      <c r="F8" s="11">
        <v>1.56</v>
      </c>
      <c r="G8" s="11">
        <v>5.81</v>
      </c>
      <c r="H8" s="11">
        <v>13.28</v>
      </c>
      <c r="I8" s="11">
        <v>8.27</v>
      </c>
      <c r="J8" s="11">
        <v>40.450000000000003</v>
      </c>
      <c r="K8" s="11">
        <v>1</v>
      </c>
      <c r="M8" s="10"/>
      <c r="N8" s="11" t="s">
        <v>15</v>
      </c>
      <c r="O8" s="11">
        <v>8.0399999999999991</v>
      </c>
      <c r="P8" s="11">
        <v>12.83</v>
      </c>
      <c r="Q8" s="11">
        <v>25.25</v>
      </c>
      <c r="R8" s="11">
        <v>21.32</v>
      </c>
      <c r="S8" s="11">
        <v>19.11</v>
      </c>
      <c r="T8" s="11">
        <v>28.12</v>
      </c>
      <c r="U8" s="11">
        <v>24.58</v>
      </c>
      <c r="V8" s="11">
        <v>34.97</v>
      </c>
      <c r="W8" s="10">
        <f t="shared" si="0"/>
        <v>16.86</v>
      </c>
      <c r="X8" s="11">
        <v>1</v>
      </c>
      <c r="Z8" s="10"/>
      <c r="AA8" s="11" t="s">
        <v>21</v>
      </c>
      <c r="AB8" s="11">
        <v>0</v>
      </c>
      <c r="AC8" s="11">
        <v>0</v>
      </c>
      <c r="AD8" s="11">
        <v>5.0199999999999996</v>
      </c>
      <c r="AE8" s="11">
        <v>3.13</v>
      </c>
      <c r="AF8" s="11">
        <v>3.69</v>
      </c>
    </row>
    <row r="9" spans="1:32" x14ac:dyDescent="0.2">
      <c r="A9" s="10" t="s">
        <v>114</v>
      </c>
      <c r="B9" s="11" t="s">
        <v>8</v>
      </c>
      <c r="C9" s="11">
        <v>1.1200000000000001</v>
      </c>
      <c r="D9" s="11">
        <v>1</v>
      </c>
      <c r="E9" s="11">
        <v>5.8</v>
      </c>
      <c r="F9" s="11">
        <v>1.9</v>
      </c>
      <c r="G9" s="11">
        <v>1</v>
      </c>
      <c r="H9" s="11">
        <v>6.03</v>
      </c>
      <c r="I9" s="11">
        <v>26.12</v>
      </c>
      <c r="J9" s="11">
        <v>32.549999999999997</v>
      </c>
      <c r="K9" s="11">
        <v>1</v>
      </c>
      <c r="M9" s="10"/>
      <c r="N9" s="11" t="s">
        <v>25</v>
      </c>
      <c r="O9" s="11">
        <v>16.29</v>
      </c>
      <c r="P9" s="11">
        <v>26.45</v>
      </c>
      <c r="Q9" s="11">
        <v>21.9</v>
      </c>
      <c r="R9" s="11">
        <v>26.15</v>
      </c>
      <c r="S9" s="11">
        <v>15.85</v>
      </c>
      <c r="T9" s="11">
        <v>26.34</v>
      </c>
      <c r="U9" s="11">
        <v>17.649999999999999</v>
      </c>
      <c r="V9" s="11">
        <v>7.49</v>
      </c>
      <c r="W9" s="10">
        <f t="shared" si="0"/>
        <v>22.697499999999998</v>
      </c>
      <c r="X9" s="11">
        <v>1</v>
      </c>
      <c r="Z9" s="10"/>
      <c r="AA9" s="11" t="s">
        <v>32</v>
      </c>
      <c r="AB9" s="11">
        <v>0</v>
      </c>
      <c r="AC9" s="11">
        <v>0</v>
      </c>
      <c r="AD9" s="11">
        <v>1.34</v>
      </c>
      <c r="AE9" s="11">
        <v>9.49</v>
      </c>
      <c r="AF9" s="11">
        <v>4.3499999999999996</v>
      </c>
    </row>
    <row r="10" spans="1:32" x14ac:dyDescent="0.2">
      <c r="A10" s="10" t="s">
        <v>114</v>
      </c>
      <c r="B10" s="11" t="s">
        <v>9</v>
      </c>
      <c r="C10" s="11">
        <v>0</v>
      </c>
      <c r="D10" s="11">
        <v>5.36</v>
      </c>
      <c r="E10" s="11">
        <v>5.7</v>
      </c>
      <c r="F10" s="11">
        <v>3.91</v>
      </c>
      <c r="G10" s="11">
        <v>8.15</v>
      </c>
      <c r="H10" s="11">
        <v>13.52</v>
      </c>
      <c r="I10" s="11">
        <v>22.54</v>
      </c>
      <c r="J10" s="11">
        <v>18.12</v>
      </c>
      <c r="K10" s="11">
        <v>1</v>
      </c>
      <c r="M10" s="10"/>
      <c r="N10" s="11" t="s">
        <v>26</v>
      </c>
      <c r="O10" s="11">
        <v>12.72</v>
      </c>
      <c r="P10" s="11">
        <v>29.8</v>
      </c>
      <c r="Q10" s="11">
        <v>23.46</v>
      </c>
      <c r="R10" s="11">
        <v>38.06</v>
      </c>
      <c r="S10" s="11">
        <v>16.309999999999999</v>
      </c>
      <c r="T10" s="11">
        <v>18.190000000000001</v>
      </c>
      <c r="U10" s="11">
        <v>22.23</v>
      </c>
      <c r="V10" s="11">
        <v>28.6</v>
      </c>
      <c r="W10" s="10">
        <f t="shared" si="0"/>
        <v>26.01</v>
      </c>
      <c r="X10" s="11">
        <v>1</v>
      </c>
      <c r="Z10" s="10"/>
      <c r="AA10" s="11" t="s">
        <v>33</v>
      </c>
      <c r="AB10" s="11">
        <v>0</v>
      </c>
      <c r="AC10" s="11">
        <v>1</v>
      </c>
      <c r="AD10" s="11">
        <v>14.08</v>
      </c>
      <c r="AE10" s="11">
        <v>4.24</v>
      </c>
      <c r="AF10" s="11">
        <v>8.0399999999999991</v>
      </c>
    </row>
    <row r="11" spans="1:32" x14ac:dyDescent="0.2">
      <c r="A11" s="10" t="s">
        <v>114</v>
      </c>
      <c r="B11" s="11" t="s">
        <v>28</v>
      </c>
      <c r="C11" s="11">
        <v>3.12</v>
      </c>
      <c r="D11" s="11">
        <v>10.06</v>
      </c>
      <c r="E11" s="11">
        <v>2.0099999999999998</v>
      </c>
      <c r="F11" s="11">
        <v>4.24</v>
      </c>
      <c r="G11" s="11">
        <v>9.26</v>
      </c>
      <c r="H11" s="11">
        <v>29.5</v>
      </c>
      <c r="I11" s="11">
        <v>41.9</v>
      </c>
      <c r="J11" s="11">
        <v>15.31</v>
      </c>
      <c r="K11" s="11">
        <v>1</v>
      </c>
      <c r="M11" s="10"/>
      <c r="N11" s="11" t="s">
        <v>35</v>
      </c>
      <c r="O11" s="11">
        <v>20.54</v>
      </c>
      <c r="P11" s="11">
        <v>28.01</v>
      </c>
      <c r="Q11" s="11">
        <v>12.07</v>
      </c>
      <c r="R11" s="11">
        <v>9.49</v>
      </c>
      <c r="S11" s="11">
        <v>28.91</v>
      </c>
      <c r="T11" s="11">
        <v>17.43</v>
      </c>
      <c r="U11" s="11">
        <v>15.08</v>
      </c>
      <c r="V11" s="11">
        <v>22.01</v>
      </c>
      <c r="W11" s="10">
        <f t="shared" si="0"/>
        <v>17.5275</v>
      </c>
      <c r="X11" s="11">
        <v>1</v>
      </c>
      <c r="Z11" s="10"/>
      <c r="AA11" s="11" t="s">
        <v>40</v>
      </c>
      <c r="AB11" s="11">
        <v>0</v>
      </c>
      <c r="AC11" s="11">
        <v>1.56</v>
      </c>
      <c r="AD11" s="11">
        <v>0</v>
      </c>
      <c r="AE11" s="11">
        <v>23.55</v>
      </c>
      <c r="AF11" s="11">
        <v>0</v>
      </c>
    </row>
    <row r="12" spans="1:32" x14ac:dyDescent="0.2">
      <c r="A12" s="10" t="s">
        <v>114</v>
      </c>
      <c r="B12" s="11" t="s">
        <v>29</v>
      </c>
      <c r="C12" s="11">
        <v>0</v>
      </c>
      <c r="D12" s="11">
        <v>10.17</v>
      </c>
      <c r="E12" s="11">
        <v>4.13</v>
      </c>
      <c r="F12" s="11">
        <v>4.58</v>
      </c>
      <c r="G12" s="11">
        <v>18.809999999999999</v>
      </c>
      <c r="H12" s="11">
        <v>25.81</v>
      </c>
      <c r="I12" s="11">
        <v>30.25</v>
      </c>
      <c r="J12" s="11">
        <v>36.200000000000003</v>
      </c>
      <c r="K12" s="11">
        <v>1</v>
      </c>
      <c r="M12" s="10"/>
      <c r="N12" s="11" t="s">
        <v>74</v>
      </c>
      <c r="O12" s="11">
        <v>24.55</v>
      </c>
      <c r="P12" s="11">
        <v>34.97</v>
      </c>
      <c r="Q12" s="11">
        <v>14.17</v>
      </c>
      <c r="R12" s="11">
        <v>34.299999999999997</v>
      </c>
      <c r="S12" s="11">
        <v>19.309999999999999</v>
      </c>
      <c r="T12" s="11">
        <v>27.93</v>
      </c>
      <c r="U12" s="11">
        <v>26.12</v>
      </c>
      <c r="V12" s="11">
        <v>13.97</v>
      </c>
      <c r="W12" s="10">
        <f t="shared" si="0"/>
        <v>26.997499999999999</v>
      </c>
      <c r="X12" s="11">
        <v>1</v>
      </c>
      <c r="Z12" s="10"/>
      <c r="AA12" s="11" t="s">
        <v>41</v>
      </c>
      <c r="AB12" s="11">
        <v>0.11</v>
      </c>
      <c r="AC12" s="11">
        <v>2.35</v>
      </c>
      <c r="AD12" s="11">
        <v>0</v>
      </c>
      <c r="AE12" s="11">
        <v>39.78</v>
      </c>
      <c r="AF12" s="11">
        <v>8.27</v>
      </c>
    </row>
    <row r="13" spans="1:32" x14ac:dyDescent="0.2">
      <c r="A13" s="10" t="s">
        <v>114</v>
      </c>
      <c r="B13" s="11" t="s">
        <v>42</v>
      </c>
      <c r="C13" s="11">
        <v>2.46</v>
      </c>
      <c r="D13" s="11">
        <v>6.15</v>
      </c>
      <c r="E13" s="11">
        <v>7.48</v>
      </c>
      <c r="F13" s="11">
        <v>2.23</v>
      </c>
      <c r="G13" s="11">
        <v>3.01</v>
      </c>
      <c r="H13" s="11">
        <v>9.83</v>
      </c>
      <c r="I13" s="11">
        <v>14.17</v>
      </c>
      <c r="J13" s="11">
        <v>6.37</v>
      </c>
      <c r="K13" s="11">
        <v>1</v>
      </c>
      <c r="M13" s="10"/>
      <c r="N13" s="11" t="s">
        <v>46</v>
      </c>
      <c r="O13" s="11">
        <v>10.28</v>
      </c>
      <c r="P13" s="11">
        <v>8.3699999999999992</v>
      </c>
      <c r="Q13" s="11">
        <v>22.57</v>
      </c>
      <c r="R13" s="11">
        <v>10.039999999999999</v>
      </c>
      <c r="S13" s="11">
        <v>27.93</v>
      </c>
      <c r="T13" s="11">
        <v>9.0399999999999991</v>
      </c>
      <c r="U13" s="11">
        <v>8.7100000000000009</v>
      </c>
      <c r="V13" s="11">
        <v>22.71</v>
      </c>
      <c r="W13" s="10"/>
      <c r="X13" s="11">
        <v>1</v>
      </c>
      <c r="Z13" s="10"/>
      <c r="AA13" s="11" t="s">
        <v>51</v>
      </c>
      <c r="AB13" s="11">
        <v>2.12</v>
      </c>
      <c r="AC13" s="11">
        <v>0</v>
      </c>
      <c r="AD13" s="11">
        <v>5.14</v>
      </c>
      <c r="AE13" s="11">
        <v>29.91</v>
      </c>
      <c r="AF13" s="11">
        <v>24.58</v>
      </c>
    </row>
    <row r="14" spans="1:32" x14ac:dyDescent="0.2">
      <c r="A14" s="10" t="s">
        <v>72</v>
      </c>
      <c r="B14" s="10" t="s">
        <v>73</v>
      </c>
      <c r="C14" s="10">
        <v>4.24</v>
      </c>
      <c r="D14" s="10">
        <v>0.89</v>
      </c>
      <c r="E14" s="10">
        <v>2.79</v>
      </c>
      <c r="F14" s="10">
        <v>1.9</v>
      </c>
      <c r="G14" s="10">
        <v>4.46</v>
      </c>
      <c r="H14" s="10">
        <v>25.56</v>
      </c>
      <c r="I14" s="10">
        <v>25</v>
      </c>
      <c r="J14" s="10">
        <v>20.78</v>
      </c>
      <c r="K14" s="11">
        <v>1</v>
      </c>
      <c r="M14" s="10"/>
      <c r="N14" s="10" t="s">
        <v>69</v>
      </c>
      <c r="O14" s="10">
        <v>10.38</v>
      </c>
      <c r="P14" s="10">
        <v>23.02</v>
      </c>
      <c r="Q14" s="10">
        <v>29.46</v>
      </c>
      <c r="R14" s="10">
        <v>30.95</v>
      </c>
      <c r="S14" s="10">
        <v>20.87</v>
      </c>
      <c r="T14" s="10">
        <v>14.54</v>
      </c>
      <c r="U14" s="10">
        <v>21.53</v>
      </c>
      <c r="V14" s="11"/>
      <c r="W14" s="10">
        <f t="shared" si="0"/>
        <v>23.452500000000001</v>
      </c>
      <c r="X14" s="11">
        <v>1</v>
      </c>
      <c r="Z14" s="10"/>
      <c r="AA14" s="10" t="s">
        <v>71</v>
      </c>
      <c r="AB14" s="10">
        <v>1.23</v>
      </c>
      <c r="AC14" s="10">
        <v>0</v>
      </c>
      <c r="AD14" s="10">
        <v>7.6</v>
      </c>
      <c r="AE14" s="10">
        <v>4.13</v>
      </c>
      <c r="AF14" s="10">
        <v>9.16</v>
      </c>
    </row>
    <row r="15" spans="1:32" x14ac:dyDescent="0.2">
      <c r="K15" s="1"/>
      <c r="M15" s="3"/>
      <c r="V15" s="1"/>
      <c r="X15" s="1"/>
    </row>
    <row r="16" spans="1:32" x14ac:dyDescent="0.2">
      <c r="B16" s="1"/>
      <c r="C16" s="1"/>
      <c r="D16" s="1"/>
      <c r="E16" s="1"/>
      <c r="F16" s="1"/>
      <c r="G16" s="1"/>
      <c r="H16" s="1"/>
      <c r="I16" s="1"/>
      <c r="J16" s="1"/>
      <c r="K16" s="1"/>
      <c r="X16" s="1"/>
    </row>
    <row r="17" spans="1:32" x14ac:dyDescent="0.2">
      <c r="A17" t="s">
        <v>11</v>
      </c>
      <c r="C17">
        <f t="shared" ref="C17:J17" si="1">AVERAGE(C6:C16)</f>
        <v>2.5177777777777783</v>
      </c>
      <c r="D17">
        <f t="shared" si="1"/>
        <v>6.8900000000000006</v>
      </c>
      <c r="E17">
        <f t="shared" si="1"/>
        <v>4.54</v>
      </c>
      <c r="F17">
        <f t="shared" si="1"/>
        <v>3.2511111111111113</v>
      </c>
      <c r="G17">
        <f t="shared" si="1"/>
        <v>7.2488888888888887</v>
      </c>
      <c r="H17">
        <f t="shared" si="1"/>
        <v>17.12777777777778</v>
      </c>
      <c r="I17">
        <f t="shared" si="1"/>
        <v>23.121111111111112</v>
      </c>
      <c r="J17">
        <f t="shared" si="1"/>
        <v>25.588888888888889</v>
      </c>
      <c r="K17" s="1"/>
      <c r="M17" t="s">
        <v>11</v>
      </c>
      <c r="O17">
        <f t="shared" ref="O17:W17" si="2">AVERAGE(O6:O16)</f>
        <v>17.512222222222224</v>
      </c>
      <c r="P17">
        <f t="shared" si="2"/>
        <v>23.198888888888892</v>
      </c>
      <c r="Q17">
        <f t="shared" si="2"/>
        <v>21.382222222222222</v>
      </c>
      <c r="R17">
        <f t="shared" si="2"/>
        <v>26.094444444444445</v>
      </c>
      <c r="S17">
        <f t="shared" si="2"/>
        <v>23.498888888888889</v>
      </c>
      <c r="T17">
        <f t="shared" si="2"/>
        <v>21.675555555555555</v>
      </c>
      <c r="U17">
        <f t="shared" si="2"/>
        <v>21.597777777777779</v>
      </c>
      <c r="V17">
        <f t="shared" si="2"/>
        <v>20.341250000000002</v>
      </c>
      <c r="W17">
        <f t="shared" si="2"/>
        <v>23.200937500000002</v>
      </c>
      <c r="X17" s="1"/>
      <c r="Z17" t="s">
        <v>11</v>
      </c>
      <c r="AB17">
        <f>AVERAGE(AB6:AB14)</f>
        <v>0.818888888888889</v>
      </c>
      <c r="AC17">
        <f>AVERAGE(AC6:AC14)</f>
        <v>0.73222222222222222</v>
      </c>
      <c r="AD17">
        <f>AVERAGE(AD6:AD14)</f>
        <v>3.7855555555555558</v>
      </c>
      <c r="AE17">
        <f>AVERAGE(AE6:AE14)</f>
        <v>17.993333333333332</v>
      </c>
      <c r="AF17">
        <f>AVERAGE(AF6:AF14)</f>
        <v>7.0377777777777766</v>
      </c>
    </row>
    <row r="18" spans="1:32" x14ac:dyDescent="0.2">
      <c r="K18" s="1"/>
    </row>
    <row r="19" spans="1:32" x14ac:dyDescent="0.2">
      <c r="A19" s="8" t="s">
        <v>80</v>
      </c>
      <c r="B19" s="8"/>
      <c r="C19" s="8"/>
      <c r="D19" s="8"/>
      <c r="E19" s="8"/>
      <c r="F19" s="8"/>
      <c r="G19" s="8"/>
      <c r="H19" s="8"/>
      <c r="I19" s="8"/>
      <c r="J19" s="8"/>
      <c r="K19" s="12"/>
      <c r="M19" s="8" t="s">
        <v>80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Z19" s="8" t="s">
        <v>80</v>
      </c>
      <c r="AA19" s="8"/>
      <c r="AB19" s="8"/>
      <c r="AC19" s="8"/>
      <c r="AD19" s="8"/>
      <c r="AE19" s="8"/>
      <c r="AF19" s="8"/>
    </row>
    <row r="20" spans="1:32" x14ac:dyDescent="0.2">
      <c r="A20" s="8" t="s">
        <v>114</v>
      </c>
      <c r="B20" s="12" t="s">
        <v>4</v>
      </c>
      <c r="C20" s="12">
        <v>1.67</v>
      </c>
      <c r="D20" s="12">
        <v>3.24</v>
      </c>
      <c r="E20" s="12">
        <v>6.25</v>
      </c>
      <c r="F20" s="12">
        <v>2.0099999999999998</v>
      </c>
      <c r="G20" s="12">
        <v>1.9</v>
      </c>
      <c r="H20" s="12">
        <v>3.69</v>
      </c>
      <c r="I20" s="12">
        <v>20.2</v>
      </c>
      <c r="J20" s="12">
        <v>18.12</v>
      </c>
      <c r="K20" s="12">
        <v>2</v>
      </c>
      <c r="M20" s="8"/>
      <c r="N20" s="12" t="s">
        <v>14</v>
      </c>
      <c r="O20" s="12">
        <v>28.83</v>
      </c>
      <c r="P20" s="12">
        <v>50.89</v>
      </c>
      <c r="Q20" s="12">
        <v>20.45</v>
      </c>
      <c r="R20" s="12">
        <v>5.0199999999999996</v>
      </c>
      <c r="S20" s="12">
        <v>23.44</v>
      </c>
      <c r="T20" s="12">
        <v>27.15</v>
      </c>
      <c r="U20" s="12">
        <v>42.86</v>
      </c>
      <c r="V20" s="12">
        <v>36.020000000000003</v>
      </c>
      <c r="W20" s="8">
        <f t="shared" ref="W20:W23" si="3">AVERAGE(O20:R20)</f>
        <v>26.297499999999999</v>
      </c>
      <c r="X20" s="12">
        <v>2</v>
      </c>
      <c r="Z20" s="8"/>
      <c r="AA20" s="12" t="s">
        <v>20</v>
      </c>
      <c r="AB20" s="12">
        <v>1.56</v>
      </c>
      <c r="AC20" s="12">
        <v>0</v>
      </c>
      <c r="AD20" s="12">
        <v>1</v>
      </c>
      <c r="AE20" s="12">
        <v>8.16</v>
      </c>
      <c r="AF20" s="12">
        <v>1</v>
      </c>
    </row>
    <row r="21" spans="1:32" x14ac:dyDescent="0.2">
      <c r="A21" s="8" t="s">
        <v>114</v>
      </c>
      <c r="B21" s="12" t="s">
        <v>10</v>
      </c>
      <c r="C21" s="12">
        <v>1.1200000000000001</v>
      </c>
      <c r="D21" s="12">
        <v>14.17</v>
      </c>
      <c r="E21" s="12">
        <v>9.0500000000000007</v>
      </c>
      <c r="F21" s="12">
        <v>11.05</v>
      </c>
      <c r="G21" s="12">
        <v>11.72</v>
      </c>
      <c r="H21" s="12">
        <v>17.079999999999998</v>
      </c>
      <c r="I21" s="12">
        <v>26.79</v>
      </c>
      <c r="J21" s="12">
        <v>32.21</v>
      </c>
      <c r="K21" s="12">
        <v>2</v>
      </c>
      <c r="M21" s="8"/>
      <c r="N21" s="12" t="s">
        <v>27</v>
      </c>
      <c r="O21" s="12">
        <v>25.14</v>
      </c>
      <c r="P21" s="12">
        <v>41.74</v>
      </c>
      <c r="Q21" s="12">
        <v>28.83</v>
      </c>
      <c r="R21" s="12">
        <v>43.3</v>
      </c>
      <c r="S21" s="12">
        <v>27.93</v>
      </c>
      <c r="T21" s="12">
        <v>17.41</v>
      </c>
      <c r="U21" s="12">
        <v>22.32</v>
      </c>
      <c r="V21" s="12">
        <v>22.15</v>
      </c>
      <c r="W21" s="8">
        <f t="shared" si="3"/>
        <v>34.752499999999998</v>
      </c>
      <c r="X21" s="12">
        <v>2</v>
      </c>
      <c r="Z21" s="8"/>
      <c r="AA21" s="12" t="s">
        <v>34</v>
      </c>
      <c r="AB21" s="12">
        <v>0.89</v>
      </c>
      <c r="AC21" s="12">
        <v>8.7100000000000009</v>
      </c>
      <c r="AD21" s="12">
        <v>1.1200000000000001</v>
      </c>
      <c r="AE21" s="12">
        <v>9.3699999999999992</v>
      </c>
      <c r="AF21" s="12">
        <v>5.7</v>
      </c>
    </row>
    <row r="22" spans="1:32" x14ac:dyDescent="0.2">
      <c r="A22" s="8" t="s">
        <v>114</v>
      </c>
      <c r="B22" s="12" t="s">
        <v>43</v>
      </c>
      <c r="C22" s="12">
        <v>2.12</v>
      </c>
      <c r="D22" s="12">
        <v>6.82</v>
      </c>
      <c r="E22" s="12">
        <v>3.79</v>
      </c>
      <c r="F22" s="12">
        <v>1.23</v>
      </c>
      <c r="G22" s="12">
        <v>8.7200000000000006</v>
      </c>
      <c r="H22" s="12">
        <v>21.54</v>
      </c>
      <c r="I22" s="12">
        <v>24.02</v>
      </c>
      <c r="J22" s="12">
        <v>17.899999999999999</v>
      </c>
      <c r="K22" s="12">
        <v>2</v>
      </c>
      <c r="M22" s="8"/>
      <c r="N22" s="12" t="s">
        <v>47</v>
      </c>
      <c r="O22" s="12">
        <v>18.64</v>
      </c>
      <c r="P22" s="12">
        <v>33.85</v>
      </c>
      <c r="Q22" s="12">
        <v>26.59</v>
      </c>
      <c r="R22" s="12">
        <v>19.87</v>
      </c>
      <c r="S22" s="12">
        <v>21.12</v>
      </c>
      <c r="T22" s="12">
        <v>15.07</v>
      </c>
      <c r="U22" s="12">
        <v>22.77</v>
      </c>
      <c r="V22" s="12">
        <v>8.9499999999999993</v>
      </c>
      <c r="W22" s="8">
        <f t="shared" si="3"/>
        <v>24.737500000000001</v>
      </c>
      <c r="X22" s="12">
        <v>2</v>
      </c>
      <c r="Z22" s="8"/>
      <c r="AA22" s="12" t="s">
        <v>52</v>
      </c>
      <c r="AB22" s="12">
        <v>2.23</v>
      </c>
      <c r="AC22" s="12">
        <v>14.73</v>
      </c>
      <c r="AD22" s="12">
        <v>4.3600000000000003</v>
      </c>
      <c r="AE22" s="12">
        <v>23.46</v>
      </c>
      <c r="AF22" s="12">
        <v>0</v>
      </c>
    </row>
    <row r="23" spans="1:32" x14ac:dyDescent="0.2">
      <c r="A23" s="8" t="s">
        <v>114</v>
      </c>
      <c r="B23" s="12" t="s">
        <v>53</v>
      </c>
      <c r="C23" s="12">
        <v>2.68</v>
      </c>
      <c r="D23" s="12">
        <v>5.81</v>
      </c>
      <c r="E23" s="12">
        <v>1.9</v>
      </c>
      <c r="F23" s="12">
        <v>3.35</v>
      </c>
      <c r="G23" s="12">
        <v>11.38</v>
      </c>
      <c r="H23" s="12">
        <v>9.16</v>
      </c>
      <c r="I23" s="12">
        <v>20.09</v>
      </c>
      <c r="J23" s="12">
        <v>53.47</v>
      </c>
      <c r="K23" s="12">
        <v>2</v>
      </c>
      <c r="M23" s="8"/>
      <c r="N23" s="12" t="s">
        <v>57</v>
      </c>
      <c r="O23" s="12">
        <v>10.83</v>
      </c>
      <c r="P23" s="12">
        <v>29.94</v>
      </c>
      <c r="Q23" s="12">
        <v>39.22</v>
      </c>
      <c r="R23" s="12">
        <v>16.850000000000001</v>
      </c>
      <c r="S23" s="12">
        <v>27.68</v>
      </c>
      <c r="T23" s="12">
        <v>34.68</v>
      </c>
      <c r="U23" s="12">
        <v>24.25</v>
      </c>
      <c r="V23" s="12">
        <v>61.41</v>
      </c>
      <c r="W23" s="8">
        <f t="shared" si="3"/>
        <v>24.21</v>
      </c>
      <c r="X23" s="12">
        <v>2</v>
      </c>
      <c r="Z23" s="8"/>
      <c r="AA23" s="12" t="s">
        <v>59</v>
      </c>
      <c r="AB23" s="12">
        <v>9.6</v>
      </c>
      <c r="AC23" s="12">
        <v>0</v>
      </c>
      <c r="AD23" s="12">
        <v>5.58</v>
      </c>
      <c r="AE23" s="12">
        <v>33.479999999999997</v>
      </c>
      <c r="AF23" s="12">
        <v>7.71</v>
      </c>
    </row>
    <row r="24" spans="1:32" x14ac:dyDescent="0.2">
      <c r="A24" s="8" t="s">
        <v>72</v>
      </c>
      <c r="B24" s="8" t="s">
        <v>63</v>
      </c>
      <c r="C24" s="8">
        <v>0</v>
      </c>
      <c r="D24" s="8">
        <v>1</v>
      </c>
      <c r="E24" s="8">
        <v>4.3600000000000003</v>
      </c>
      <c r="F24" s="8">
        <v>14.84</v>
      </c>
      <c r="G24" s="8">
        <v>20.09</v>
      </c>
      <c r="H24" s="8">
        <v>21.23</v>
      </c>
      <c r="I24" s="8">
        <v>38.619999999999997</v>
      </c>
      <c r="J24" s="8">
        <v>41.95</v>
      </c>
      <c r="K24" s="12">
        <v>2</v>
      </c>
      <c r="M24" s="8"/>
      <c r="N24" s="8" t="s">
        <v>63</v>
      </c>
      <c r="O24" s="8">
        <v>21.32</v>
      </c>
      <c r="P24" s="8">
        <v>41.12</v>
      </c>
      <c r="Q24" s="8">
        <v>41.12</v>
      </c>
      <c r="R24" s="8">
        <v>48.77</v>
      </c>
      <c r="S24" s="8">
        <v>48.6</v>
      </c>
      <c r="T24" s="8">
        <v>29.58</v>
      </c>
      <c r="U24" s="8">
        <v>42.3</v>
      </c>
      <c r="V24" s="8"/>
      <c r="W24" s="8">
        <f>AVERAGE(O24:R24)</f>
        <v>38.082500000000003</v>
      </c>
      <c r="X24" s="12">
        <v>2</v>
      </c>
      <c r="Z24" s="8"/>
      <c r="AA24" s="12" t="s">
        <v>75</v>
      </c>
      <c r="AB24" s="12">
        <v>1.1200000000000001</v>
      </c>
      <c r="AC24" s="12">
        <v>0</v>
      </c>
      <c r="AD24" s="12">
        <v>3.24</v>
      </c>
      <c r="AE24" s="12">
        <v>17</v>
      </c>
      <c r="AF24" s="12">
        <v>7.14</v>
      </c>
    </row>
    <row r="25" spans="1:32" x14ac:dyDescent="0.2">
      <c r="A25" s="8" t="s">
        <v>72</v>
      </c>
      <c r="B25" s="8" t="s">
        <v>64</v>
      </c>
      <c r="C25" s="8">
        <v>1.56</v>
      </c>
      <c r="D25" s="8">
        <v>5.58</v>
      </c>
      <c r="E25" s="8">
        <v>8.27</v>
      </c>
      <c r="F25" s="8">
        <v>4.13</v>
      </c>
      <c r="G25" s="8">
        <v>14.4</v>
      </c>
      <c r="H25" s="8">
        <v>19.64</v>
      </c>
      <c r="I25" s="8">
        <v>12.85</v>
      </c>
      <c r="J25" s="8">
        <v>13.85</v>
      </c>
      <c r="K25" s="12">
        <v>2</v>
      </c>
      <c r="M25" s="8"/>
      <c r="N25" s="8" t="s">
        <v>64</v>
      </c>
      <c r="O25" s="8">
        <v>11.17</v>
      </c>
      <c r="P25" s="8">
        <v>52.01</v>
      </c>
      <c r="Q25" s="8">
        <v>25.67</v>
      </c>
      <c r="R25" s="8">
        <v>23.02</v>
      </c>
      <c r="S25" s="8">
        <v>44.42</v>
      </c>
      <c r="T25" s="8">
        <v>34.97</v>
      </c>
      <c r="U25" s="8">
        <v>20.2</v>
      </c>
      <c r="V25" s="8"/>
      <c r="W25" s="8">
        <f>AVERAGE(O25:R25)</f>
        <v>27.967499999999998</v>
      </c>
      <c r="X25" s="12">
        <v>2</v>
      </c>
      <c r="Z25" s="8"/>
      <c r="AA25" s="12" t="s">
        <v>76</v>
      </c>
      <c r="AB25" s="12">
        <v>0</v>
      </c>
      <c r="AC25" s="12">
        <v>2.12</v>
      </c>
      <c r="AD25" s="12">
        <v>1.9</v>
      </c>
      <c r="AE25" s="12">
        <v>12.39</v>
      </c>
      <c r="AF25" s="12">
        <v>14.41</v>
      </c>
    </row>
    <row r="26" spans="1:32" x14ac:dyDescent="0.2">
      <c r="A26" s="8" t="s">
        <v>72</v>
      </c>
      <c r="B26" s="8" t="s">
        <v>65</v>
      </c>
      <c r="C26" s="8">
        <v>0.89</v>
      </c>
      <c r="D26" s="8">
        <v>7.03</v>
      </c>
      <c r="E26" s="8">
        <v>1.34</v>
      </c>
      <c r="F26" s="8">
        <v>7.93</v>
      </c>
      <c r="G26" s="8">
        <v>16.41</v>
      </c>
      <c r="H26" s="8">
        <v>30.73</v>
      </c>
      <c r="I26" s="8">
        <v>22.35</v>
      </c>
      <c r="J26" s="8">
        <v>34.86</v>
      </c>
      <c r="K26" s="12">
        <v>2</v>
      </c>
      <c r="M26" s="8"/>
      <c r="N26" s="8" t="s">
        <v>65</v>
      </c>
      <c r="O26" s="8">
        <v>4.24</v>
      </c>
      <c r="P26" s="8">
        <v>31.92</v>
      </c>
      <c r="Q26" s="8">
        <v>36.869999999999997</v>
      </c>
      <c r="R26" s="8">
        <v>64.62</v>
      </c>
      <c r="S26" s="8">
        <v>17.09</v>
      </c>
      <c r="T26" s="8">
        <v>17.52</v>
      </c>
      <c r="U26" s="8">
        <v>15.08</v>
      </c>
      <c r="V26" s="8"/>
      <c r="W26" s="8">
        <f>AVERAGE(O26:R26)</f>
        <v>34.412500000000001</v>
      </c>
      <c r="X26" s="12">
        <v>2</v>
      </c>
      <c r="Z26" s="8"/>
      <c r="AA26" s="12" t="s">
        <v>77</v>
      </c>
      <c r="AB26" s="12">
        <v>0</v>
      </c>
      <c r="AC26" s="12">
        <v>1.23</v>
      </c>
      <c r="AD26" s="12">
        <v>1.34</v>
      </c>
      <c r="AE26" s="12">
        <v>57.81</v>
      </c>
      <c r="AF26" s="12">
        <v>31.06</v>
      </c>
    </row>
    <row r="27" spans="1:32" x14ac:dyDescent="0.2">
      <c r="X27" s="1"/>
    </row>
    <row r="28" spans="1:32" x14ac:dyDescent="0.2">
      <c r="X28" s="1"/>
    </row>
    <row r="29" spans="1:32" x14ac:dyDescent="0.2">
      <c r="K29" s="1"/>
      <c r="X29" s="1"/>
    </row>
    <row r="30" spans="1:32" x14ac:dyDescent="0.2">
      <c r="A30" t="s">
        <v>11</v>
      </c>
      <c r="C30">
        <f t="shared" ref="C30:J30" si="4">AVERAGE(C20:C29)</f>
        <v>1.4342857142857144</v>
      </c>
      <c r="D30">
        <f t="shared" si="4"/>
        <v>6.2357142857142858</v>
      </c>
      <c r="E30">
        <f t="shared" si="4"/>
        <v>4.9942857142857147</v>
      </c>
      <c r="F30">
        <f t="shared" si="4"/>
        <v>6.3628571428571439</v>
      </c>
      <c r="G30">
        <f t="shared" si="4"/>
        <v>12.088571428571429</v>
      </c>
      <c r="H30">
        <f t="shared" si="4"/>
        <v>17.581428571428571</v>
      </c>
      <c r="I30">
        <f t="shared" si="4"/>
        <v>23.56</v>
      </c>
      <c r="J30">
        <f t="shared" si="4"/>
        <v>30.337142857142851</v>
      </c>
      <c r="K30" s="1"/>
      <c r="M30" t="s">
        <v>11</v>
      </c>
      <c r="N30" s="3" t="s">
        <v>66</v>
      </c>
      <c r="O30">
        <f>AVERAGE(O20:O26)</f>
        <v>17.167142857142856</v>
      </c>
      <c r="P30">
        <f t="shared" ref="P30:W30" si="5">AVERAGE(P20:P26)</f>
        <v>40.209999999999994</v>
      </c>
      <c r="Q30">
        <f t="shared" si="5"/>
        <v>31.25</v>
      </c>
      <c r="R30">
        <f t="shared" si="5"/>
        <v>31.63571428571429</v>
      </c>
      <c r="S30">
        <f t="shared" si="5"/>
        <v>30.04</v>
      </c>
      <c r="T30">
        <f t="shared" si="5"/>
        <v>25.197142857142861</v>
      </c>
      <c r="U30">
        <f t="shared" si="5"/>
        <v>27.111428571428572</v>
      </c>
      <c r="V30">
        <f t="shared" si="5"/>
        <v>32.1325</v>
      </c>
      <c r="W30">
        <f t="shared" si="5"/>
        <v>30.065714285714286</v>
      </c>
      <c r="X30" s="1"/>
      <c r="Z30" t="s">
        <v>11</v>
      </c>
      <c r="AB30">
        <f>AVERAGE(AB20:AB26)</f>
        <v>2.1999999999999997</v>
      </c>
      <c r="AC30">
        <f>AVERAGE(AC20:AC26)</f>
        <v>3.8271428571428574</v>
      </c>
      <c r="AD30">
        <f>AVERAGE(AD20:AD26)</f>
        <v>2.6485714285714286</v>
      </c>
      <c r="AE30">
        <f>AVERAGE(AE20:AE26)</f>
        <v>23.095714285714287</v>
      </c>
      <c r="AF30">
        <f>AVERAGE(AF20:AF26)</f>
        <v>9.574285714285713</v>
      </c>
    </row>
    <row r="31" spans="1:32" x14ac:dyDescent="0.2">
      <c r="K31" s="1"/>
      <c r="X31" s="1"/>
    </row>
    <row r="32" spans="1:32" x14ac:dyDescent="0.2">
      <c r="A32" s="13" t="s">
        <v>79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M32" s="13" t="s">
        <v>79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4"/>
      <c r="Z32" s="13" t="s">
        <v>81</v>
      </c>
      <c r="AA32" s="13"/>
      <c r="AB32" s="13"/>
      <c r="AC32" s="13"/>
      <c r="AD32" s="13"/>
      <c r="AE32" s="13"/>
      <c r="AF32" s="13"/>
    </row>
    <row r="33" spans="1:32" x14ac:dyDescent="0.2">
      <c r="A33" s="13" t="s">
        <v>114</v>
      </c>
      <c r="B33" s="14" t="s">
        <v>6</v>
      </c>
      <c r="C33" s="14">
        <v>5.36</v>
      </c>
      <c r="D33" s="14">
        <v>0</v>
      </c>
      <c r="E33" s="14">
        <v>3.01</v>
      </c>
      <c r="F33" s="14">
        <v>1.1200000000000001</v>
      </c>
      <c r="G33" s="14">
        <v>8.3699999999999992</v>
      </c>
      <c r="H33" s="14">
        <v>1.34</v>
      </c>
      <c r="I33" s="14">
        <v>22.88</v>
      </c>
      <c r="J33" s="14">
        <v>61.41</v>
      </c>
      <c r="K33" s="14">
        <v>3</v>
      </c>
      <c r="M33" s="13"/>
      <c r="N33" s="14" t="s">
        <v>16</v>
      </c>
      <c r="O33" s="14">
        <v>16.41</v>
      </c>
      <c r="P33" s="14">
        <v>34.409999999999997</v>
      </c>
      <c r="Q33" s="14">
        <v>42.63</v>
      </c>
      <c r="R33" s="14">
        <v>13.52</v>
      </c>
      <c r="S33" s="14">
        <v>19.53</v>
      </c>
      <c r="T33" s="14">
        <v>21.12</v>
      </c>
      <c r="U33" s="14">
        <v>9.15</v>
      </c>
      <c r="V33" s="14">
        <v>30.2</v>
      </c>
      <c r="W33" s="13">
        <f t="shared" ref="W33:W39" si="6">AVERAGE(O33:R33)</f>
        <v>26.742499999999996</v>
      </c>
      <c r="X33" s="14">
        <v>3</v>
      </c>
      <c r="Z33" s="13"/>
      <c r="AA33" s="14" t="s">
        <v>22</v>
      </c>
      <c r="AB33" s="14">
        <v>0</v>
      </c>
      <c r="AC33" s="14">
        <v>0</v>
      </c>
      <c r="AD33" s="14">
        <v>0</v>
      </c>
      <c r="AE33" s="14">
        <v>17.079999999999998</v>
      </c>
      <c r="AF33" s="14">
        <v>1.34</v>
      </c>
    </row>
    <row r="34" spans="1:32" x14ac:dyDescent="0.2">
      <c r="A34" s="13" t="s">
        <v>114</v>
      </c>
      <c r="B34" s="14" t="s">
        <v>7</v>
      </c>
      <c r="C34" s="14">
        <v>4.13</v>
      </c>
      <c r="D34" s="14">
        <v>1.56</v>
      </c>
      <c r="E34" s="14">
        <v>1.23</v>
      </c>
      <c r="F34" s="14">
        <v>1.23</v>
      </c>
      <c r="G34" s="14">
        <v>3.13</v>
      </c>
      <c r="H34" s="14">
        <v>12.72</v>
      </c>
      <c r="I34" s="14">
        <v>22.46</v>
      </c>
      <c r="J34" s="14">
        <v>21.45</v>
      </c>
      <c r="K34" s="14">
        <v>3</v>
      </c>
      <c r="M34" s="13"/>
      <c r="N34" s="14" t="s">
        <v>17</v>
      </c>
      <c r="O34" s="14">
        <v>24.89</v>
      </c>
      <c r="P34" s="14">
        <v>11.83</v>
      </c>
      <c r="Q34" s="14">
        <v>13.85</v>
      </c>
      <c r="R34" s="14">
        <v>9.7100000000000009</v>
      </c>
      <c r="S34" s="14">
        <v>7.37</v>
      </c>
      <c r="T34" s="14">
        <v>19.309999999999999</v>
      </c>
      <c r="U34" s="14">
        <v>15.53</v>
      </c>
      <c r="V34" s="14">
        <v>15.42</v>
      </c>
      <c r="W34" s="13">
        <f t="shared" si="6"/>
        <v>15.07</v>
      </c>
      <c r="X34" s="14">
        <v>3</v>
      </c>
      <c r="Z34" s="13"/>
      <c r="AA34" s="14" t="s">
        <v>23</v>
      </c>
      <c r="AB34" s="14">
        <v>8.15</v>
      </c>
      <c r="AC34" s="14">
        <v>0.89</v>
      </c>
      <c r="AD34" s="14">
        <v>3.24</v>
      </c>
      <c r="AE34" s="14">
        <v>12.05</v>
      </c>
      <c r="AF34" s="14">
        <v>8.94</v>
      </c>
    </row>
    <row r="35" spans="1:32" x14ac:dyDescent="0.2">
      <c r="A35" s="13" t="s">
        <v>114</v>
      </c>
      <c r="B35" s="14" t="s">
        <v>30</v>
      </c>
      <c r="C35" s="14">
        <v>3.01</v>
      </c>
      <c r="D35" s="14">
        <v>5.36</v>
      </c>
      <c r="E35" s="14">
        <v>3.13</v>
      </c>
      <c r="F35" s="14">
        <v>1</v>
      </c>
      <c r="G35" s="14">
        <v>1.9</v>
      </c>
      <c r="H35" s="14">
        <v>4.58</v>
      </c>
      <c r="I35" s="14">
        <v>9.6</v>
      </c>
      <c r="J35" s="14">
        <v>7.6</v>
      </c>
      <c r="K35" s="14">
        <v>3</v>
      </c>
      <c r="M35" s="13"/>
      <c r="N35" s="14" t="s">
        <v>36</v>
      </c>
      <c r="O35" s="14">
        <v>20.22</v>
      </c>
      <c r="P35" s="14">
        <v>22.23</v>
      </c>
      <c r="Q35" s="14">
        <v>23.44</v>
      </c>
      <c r="R35" s="14">
        <v>8.83</v>
      </c>
      <c r="S35" s="14">
        <v>10.16</v>
      </c>
      <c r="T35" s="14">
        <v>18.66</v>
      </c>
      <c r="U35" s="14">
        <v>15.51</v>
      </c>
      <c r="V35" s="14">
        <v>17</v>
      </c>
      <c r="W35" s="13">
        <f t="shared" si="6"/>
        <v>18.68</v>
      </c>
      <c r="X35" s="14">
        <v>3</v>
      </c>
      <c r="Z35" s="13"/>
      <c r="AA35" s="14" t="s">
        <v>38</v>
      </c>
      <c r="AB35" s="14">
        <v>1.1200000000000001</v>
      </c>
      <c r="AC35" s="14">
        <v>6.03</v>
      </c>
      <c r="AD35" s="14">
        <v>0.89</v>
      </c>
      <c r="AE35" s="14">
        <v>3.01</v>
      </c>
      <c r="AF35" s="14">
        <v>11.17</v>
      </c>
    </row>
    <row r="36" spans="1:32" x14ac:dyDescent="0.2">
      <c r="A36" s="13" t="s">
        <v>114</v>
      </c>
      <c r="B36" s="14" t="s">
        <v>31</v>
      </c>
      <c r="C36" s="14">
        <v>5.25</v>
      </c>
      <c r="D36" s="14">
        <v>13.39</v>
      </c>
      <c r="E36" s="14">
        <v>6.82</v>
      </c>
      <c r="F36" s="14">
        <v>4.13</v>
      </c>
      <c r="G36" s="14">
        <v>3.35</v>
      </c>
      <c r="H36" s="14">
        <v>18.440000000000001</v>
      </c>
      <c r="I36" s="14">
        <v>13.5</v>
      </c>
      <c r="J36" s="14">
        <v>16.09</v>
      </c>
      <c r="K36" s="14">
        <v>3</v>
      </c>
      <c r="M36" s="13"/>
      <c r="N36" s="14" t="s">
        <v>37</v>
      </c>
      <c r="O36" s="14">
        <v>6.48</v>
      </c>
      <c r="P36" s="14">
        <v>20.420000000000002</v>
      </c>
      <c r="Q36" s="14">
        <v>7.14</v>
      </c>
      <c r="R36" s="14">
        <v>18.86</v>
      </c>
      <c r="S36" s="14">
        <v>13.07</v>
      </c>
      <c r="T36" s="14">
        <v>15.2</v>
      </c>
      <c r="U36" s="14">
        <v>34.93</v>
      </c>
      <c r="V36" s="14">
        <v>15.42</v>
      </c>
      <c r="W36" s="13">
        <f t="shared" si="6"/>
        <v>13.225</v>
      </c>
      <c r="X36" s="14">
        <v>3</v>
      </c>
      <c r="Z36" s="13"/>
      <c r="AA36" s="14" t="s">
        <v>39</v>
      </c>
      <c r="AB36" s="14">
        <v>0</v>
      </c>
      <c r="AC36" s="14">
        <v>12.72</v>
      </c>
      <c r="AD36" s="14">
        <v>0.89</v>
      </c>
      <c r="AE36" s="14">
        <v>4.46</v>
      </c>
      <c r="AF36" s="14">
        <v>0.89</v>
      </c>
    </row>
    <row r="37" spans="1:32" x14ac:dyDescent="0.2">
      <c r="A37" s="13" t="s">
        <v>114</v>
      </c>
      <c r="B37" s="14" t="s">
        <v>44</v>
      </c>
      <c r="C37" s="14">
        <v>6.94</v>
      </c>
      <c r="D37" s="14">
        <v>2.57</v>
      </c>
      <c r="E37" s="14">
        <v>8.7200000000000006</v>
      </c>
      <c r="F37" s="14">
        <v>2.34</v>
      </c>
      <c r="G37" s="14">
        <v>1.23</v>
      </c>
      <c r="H37" s="14">
        <v>7.15</v>
      </c>
      <c r="I37" s="14">
        <v>16.18</v>
      </c>
      <c r="J37" s="14">
        <v>27.85</v>
      </c>
      <c r="K37" s="14">
        <v>3</v>
      </c>
      <c r="M37" s="13"/>
      <c r="N37" s="14" t="s">
        <v>54</v>
      </c>
      <c r="O37" s="14">
        <v>15.08</v>
      </c>
      <c r="P37" s="14">
        <v>18.86</v>
      </c>
      <c r="Q37" s="14">
        <v>13.07</v>
      </c>
      <c r="R37" s="14">
        <v>25.78</v>
      </c>
      <c r="S37" s="14">
        <v>23.13</v>
      </c>
      <c r="T37" s="14">
        <v>16.52</v>
      </c>
      <c r="U37" s="14">
        <v>24.92</v>
      </c>
      <c r="V37" s="14">
        <v>11.4</v>
      </c>
      <c r="W37" s="13">
        <f t="shared" si="6"/>
        <v>18.197499999999998</v>
      </c>
      <c r="X37" s="14">
        <v>3</v>
      </c>
      <c r="Z37" s="13"/>
      <c r="AA37" s="14" t="s">
        <v>60</v>
      </c>
      <c r="AB37" s="14">
        <v>5.03</v>
      </c>
      <c r="AC37" s="14">
        <v>0</v>
      </c>
      <c r="AD37" s="14">
        <v>0</v>
      </c>
      <c r="AE37" s="14">
        <v>11.38</v>
      </c>
      <c r="AF37" s="14">
        <v>7.82</v>
      </c>
    </row>
    <row r="38" spans="1:32" x14ac:dyDescent="0.2">
      <c r="A38" s="13" t="s">
        <v>114</v>
      </c>
      <c r="B38" s="14" t="s">
        <v>45</v>
      </c>
      <c r="C38" s="14">
        <v>4.46</v>
      </c>
      <c r="D38" s="14">
        <v>5.8</v>
      </c>
      <c r="E38" s="14">
        <v>0</v>
      </c>
      <c r="F38" s="14">
        <v>5.25</v>
      </c>
      <c r="G38" s="14">
        <v>9.0500000000000007</v>
      </c>
      <c r="H38" s="14">
        <v>7.26</v>
      </c>
      <c r="I38" s="14">
        <v>10.17</v>
      </c>
      <c r="J38" s="14">
        <v>13.3</v>
      </c>
      <c r="K38" s="14">
        <v>3</v>
      </c>
      <c r="M38" s="13"/>
      <c r="N38" s="14" t="s">
        <v>55</v>
      </c>
      <c r="O38" s="14">
        <v>7.59</v>
      </c>
      <c r="P38" s="14">
        <v>5.7</v>
      </c>
      <c r="Q38" s="14">
        <v>4.58</v>
      </c>
      <c r="R38" s="14">
        <v>18.86</v>
      </c>
      <c r="S38" s="14">
        <v>3.8</v>
      </c>
      <c r="T38" s="14">
        <v>13.84</v>
      </c>
      <c r="U38" s="14">
        <v>8.7200000000000006</v>
      </c>
      <c r="V38" s="14">
        <v>15.64</v>
      </c>
      <c r="W38" s="13">
        <f t="shared" si="6"/>
        <v>9.1824999999999992</v>
      </c>
      <c r="X38" s="14">
        <v>3</v>
      </c>
      <c r="Z38" s="13"/>
      <c r="AA38" s="14" t="s">
        <v>61</v>
      </c>
      <c r="AB38" s="14">
        <v>0</v>
      </c>
      <c r="AC38" s="14">
        <v>0</v>
      </c>
      <c r="AD38" s="14">
        <v>0</v>
      </c>
      <c r="AE38" s="14">
        <v>22.99</v>
      </c>
      <c r="AF38" s="14">
        <v>5.25</v>
      </c>
    </row>
    <row r="39" spans="1:32" x14ac:dyDescent="0.2">
      <c r="A39" s="13" t="s">
        <v>114</v>
      </c>
      <c r="B39" s="14" t="s">
        <v>56</v>
      </c>
      <c r="C39" s="14">
        <v>0.89</v>
      </c>
      <c r="D39" s="14">
        <v>5.25</v>
      </c>
      <c r="E39" s="14">
        <v>9.93</v>
      </c>
      <c r="F39" s="14">
        <v>2.79</v>
      </c>
      <c r="G39" s="14">
        <v>2.23</v>
      </c>
      <c r="H39" s="14">
        <v>2.91</v>
      </c>
      <c r="I39" s="14">
        <v>17.52</v>
      </c>
      <c r="J39" s="14">
        <v>11.84</v>
      </c>
      <c r="K39" s="14">
        <v>3</v>
      </c>
      <c r="M39" s="13"/>
      <c r="N39" s="14" t="s">
        <v>58</v>
      </c>
      <c r="O39" s="14">
        <v>13.52</v>
      </c>
      <c r="P39" s="14">
        <v>26</v>
      </c>
      <c r="Q39" s="14">
        <v>1.01</v>
      </c>
      <c r="R39" s="14">
        <v>7.92</v>
      </c>
      <c r="S39" s="14">
        <v>5.03</v>
      </c>
      <c r="T39" s="14">
        <v>8.3699999999999992</v>
      </c>
      <c r="U39" s="14">
        <v>3.91</v>
      </c>
      <c r="V39" s="14">
        <v>2.46</v>
      </c>
      <c r="W39" s="13">
        <f t="shared" si="6"/>
        <v>12.112499999999999</v>
      </c>
      <c r="X39" s="14">
        <v>3</v>
      </c>
      <c r="Z39" s="13"/>
      <c r="AA39" s="14" t="s">
        <v>62</v>
      </c>
      <c r="AB39" s="14">
        <v>2.57</v>
      </c>
      <c r="AC39" s="14">
        <v>4.24</v>
      </c>
      <c r="AD39" s="14">
        <v>0</v>
      </c>
      <c r="AE39" s="14">
        <v>15.42</v>
      </c>
      <c r="AF39" s="14">
        <v>1</v>
      </c>
    </row>
    <row r="40" spans="1:32" x14ac:dyDescent="0.2">
      <c r="A40" s="13" t="s">
        <v>72</v>
      </c>
      <c r="B40" s="13" t="s">
        <v>68</v>
      </c>
      <c r="C40" s="13">
        <v>0</v>
      </c>
      <c r="D40" s="13">
        <v>5.25</v>
      </c>
      <c r="E40" s="13">
        <v>5.81</v>
      </c>
      <c r="F40" s="13">
        <v>2.46</v>
      </c>
      <c r="G40" s="13">
        <v>8.83</v>
      </c>
      <c r="H40" s="13">
        <v>13.95</v>
      </c>
      <c r="I40" s="13">
        <v>26.82</v>
      </c>
      <c r="J40" s="13">
        <v>30.73</v>
      </c>
      <c r="K40" s="14">
        <v>3</v>
      </c>
      <c r="M40" s="13"/>
      <c r="N40" s="13" t="s">
        <v>67</v>
      </c>
      <c r="O40" s="13">
        <v>9.27</v>
      </c>
      <c r="P40" s="13">
        <v>4.6900000000000004</v>
      </c>
      <c r="Q40" s="13">
        <v>11.28</v>
      </c>
      <c r="R40" s="13">
        <v>8.15</v>
      </c>
      <c r="S40" s="13">
        <v>8.83</v>
      </c>
      <c r="T40" s="13">
        <v>3.02</v>
      </c>
      <c r="U40" s="13">
        <v>7.54</v>
      </c>
      <c r="V40" s="13"/>
      <c r="W40" s="13">
        <f>AVERAGE(O40:R40)</f>
        <v>8.3475000000000001</v>
      </c>
      <c r="X40" s="14">
        <v>3</v>
      </c>
      <c r="Z40" s="13"/>
      <c r="AA40" s="13" t="s">
        <v>70</v>
      </c>
      <c r="AB40" s="13">
        <v>4.6900000000000004</v>
      </c>
      <c r="AC40" s="13">
        <v>2.57</v>
      </c>
      <c r="AD40" s="13">
        <v>1.45</v>
      </c>
      <c r="AE40" s="13">
        <v>33.590000000000003</v>
      </c>
      <c r="AF40" s="13">
        <v>10.17</v>
      </c>
    </row>
    <row r="41" spans="1:32" x14ac:dyDescent="0.2">
      <c r="K41" s="1"/>
      <c r="N41" s="5"/>
      <c r="O41" s="6"/>
      <c r="P41" s="6"/>
      <c r="Q41" s="6"/>
      <c r="R41" s="6"/>
      <c r="S41" s="6"/>
      <c r="T41" s="6"/>
      <c r="U41" s="6"/>
      <c r="V41" s="6"/>
      <c r="X41" s="1"/>
    </row>
    <row r="42" spans="1:32" x14ac:dyDescent="0.2">
      <c r="K42" s="1"/>
    </row>
    <row r="43" spans="1:32" x14ac:dyDescent="0.2">
      <c r="K43" s="1"/>
    </row>
    <row r="45" spans="1:32" x14ac:dyDescent="0.2">
      <c r="A45" t="s">
        <v>11</v>
      </c>
      <c r="C45">
        <f t="shared" ref="C45:J45" si="7">AVERAGE(C33:C42)</f>
        <v>3.7550000000000003</v>
      </c>
      <c r="D45">
        <f t="shared" si="7"/>
        <v>4.8975000000000009</v>
      </c>
      <c r="E45">
        <f t="shared" si="7"/>
        <v>4.8312500000000007</v>
      </c>
      <c r="F45">
        <f t="shared" si="7"/>
        <v>2.54</v>
      </c>
      <c r="G45">
        <f t="shared" si="7"/>
        <v>4.7612500000000004</v>
      </c>
      <c r="H45">
        <f t="shared" si="7"/>
        <v>8.5437499999999993</v>
      </c>
      <c r="I45">
        <f t="shared" si="7"/>
        <v>17.391249999999999</v>
      </c>
      <c r="J45">
        <f t="shared" si="7"/>
        <v>23.783750000000001</v>
      </c>
      <c r="M45" t="s">
        <v>11</v>
      </c>
      <c r="O45">
        <f>AVERAGE(O33:O40)</f>
        <v>14.182499999999999</v>
      </c>
      <c r="P45">
        <f>AVERAGE(P33:P40)</f>
        <v>18.017499999999998</v>
      </c>
      <c r="Q45">
        <f>AVERAGE(Q33:Q40)</f>
        <v>14.625</v>
      </c>
      <c r="R45">
        <f>AVERAGE(R33:R40)</f>
        <v>13.953750000000001</v>
      </c>
      <c r="S45">
        <f>AVERAGE(S33:S40)</f>
        <v>11.365</v>
      </c>
      <c r="T45">
        <f>AVERAGE(T33:T40)</f>
        <v>14.505000000000001</v>
      </c>
      <c r="U45">
        <f>AVERAGE(U33:U40)</f>
        <v>15.026250000000001</v>
      </c>
      <c r="V45">
        <f>AVERAGE(V33:V40)</f>
        <v>15.362857142857141</v>
      </c>
      <c r="W45">
        <f>AVERAGE(W33:W40)</f>
        <v>15.194687499999999</v>
      </c>
      <c r="X45" s="1"/>
      <c r="Z45" t="s">
        <v>11</v>
      </c>
      <c r="AB45">
        <f>AVERAGE(AB33:AB41)</f>
        <v>2.6950000000000003</v>
      </c>
      <c r="AC45">
        <f>AVERAGE(AC33:AC41)</f>
        <v>3.3062500000000004</v>
      </c>
      <c r="AD45">
        <f>AVERAGE(AD33:AD41)</f>
        <v>0.80874999999999997</v>
      </c>
      <c r="AE45">
        <f>AVERAGE(AE33:AE41)</f>
        <v>14.9975</v>
      </c>
      <c r="AF45">
        <f>AVERAGE(AF33:AF41)</f>
        <v>5.8224999999999998</v>
      </c>
    </row>
    <row r="46" spans="1:32" x14ac:dyDescent="0.2">
      <c r="X46" s="1"/>
    </row>
    <row r="47" spans="1:32" x14ac:dyDescent="0.2">
      <c r="A47" t="s">
        <v>48</v>
      </c>
      <c r="C47">
        <f>TTEST(C6:C15,C20:C26,2,2)</f>
        <v>0.26832396129677721</v>
      </c>
      <c r="D47">
        <f t="shared" ref="D47:J47" si="8">TTEST(D6:D15,D20:D26,2,2)</f>
        <v>0.772273729721211</v>
      </c>
      <c r="E47">
        <f t="shared" si="8"/>
        <v>0.70530689638362309</v>
      </c>
      <c r="F47">
        <f t="shared" si="8"/>
        <v>0.11619632553942914</v>
      </c>
      <c r="G47">
        <f t="shared" si="8"/>
        <v>0.10074760317183212</v>
      </c>
      <c r="H47">
        <f t="shared" si="8"/>
        <v>0.91804348907650046</v>
      </c>
      <c r="I47">
        <f t="shared" si="8"/>
        <v>0.92368641104241966</v>
      </c>
      <c r="J47">
        <f t="shared" si="8"/>
        <v>0.49206545989450612</v>
      </c>
      <c r="M47" t="s">
        <v>48</v>
      </c>
      <c r="O47">
        <f>TTEST(O6:O15,O20:O30,2,2)</f>
        <v>0.94037238023416281</v>
      </c>
      <c r="P47">
        <f>TTEST(P6:P15,P20:P30,2,2)</f>
        <v>7.6840864894304074E-4</v>
      </c>
      <c r="Q47">
        <f>TTEST(Q6:Q15,Q20:Q30,2,2)</f>
        <v>6.039554193893076E-3</v>
      </c>
      <c r="R47">
        <f>TTEST(R6:R15,R20:R30,2,2)</f>
        <v>0.46846167933916438</v>
      </c>
      <c r="S47">
        <f>TTEST(S6:S15,S20:S30,2,2)</f>
        <v>0.15396043011447935</v>
      </c>
      <c r="T47">
        <f>TTEST(T6:T15,T20:T30,2,2)</f>
        <v>0.34440686869474146</v>
      </c>
      <c r="U47">
        <f>TTEST(U6:U15,U20:U30,2,2)</f>
        <v>0.20750037640603419</v>
      </c>
      <c r="V47">
        <f>TTEST(V6:V15,V20:V30,2,2)</f>
        <v>0.15933115238937226</v>
      </c>
      <c r="W47">
        <f>TTEST(W6:W15,W20:W30,2,2)</f>
        <v>1.3175127627265493E-2</v>
      </c>
      <c r="X47" s="1"/>
      <c r="Z47" t="s">
        <v>48</v>
      </c>
      <c r="AB47">
        <f>TTEST(AB20:AB26,AB6:AB14,2,2)</f>
        <v>0.27929769111542885</v>
      </c>
      <c r="AC47">
        <f>TTEST(AC20:AC26,AC6:AC14,2,2)</f>
        <v>0.12933132539851899</v>
      </c>
      <c r="AD47">
        <f>TTEST(AD20:AD26,AD6:AD14,2,2)</f>
        <v>0.56051807714945867</v>
      </c>
      <c r="AE47">
        <f>TTEST(AE20:AE26,AE6:AE14,2,2)</f>
        <v>0.51828746447716223</v>
      </c>
      <c r="AF47">
        <f>TTEST(AF20:AF26,AF6:AF14,2,2)</f>
        <v>0.58085280191028765</v>
      </c>
    </row>
    <row r="48" spans="1:32" x14ac:dyDescent="0.2">
      <c r="A48" t="s">
        <v>49</v>
      </c>
      <c r="C48">
        <f>TTEST(C6:C15,C33:C40,2,2)</f>
        <v>0.29507086479720535</v>
      </c>
      <c r="D48">
        <f t="shared" ref="D48:J48" si="9">TTEST(D6:D15,D33:D40,2,2)</f>
        <v>0.3609819021762295</v>
      </c>
      <c r="E48">
        <f t="shared" si="9"/>
        <v>0.82886189183097603</v>
      </c>
      <c r="F48">
        <f t="shared" si="9"/>
        <v>0.43880865901940813</v>
      </c>
      <c r="G48">
        <f t="shared" si="9"/>
        <v>0.26567854669990665</v>
      </c>
      <c r="H48">
        <f t="shared" si="9"/>
        <v>2.9659300343995259E-2</v>
      </c>
      <c r="I48">
        <f t="shared" si="9"/>
        <v>0.17193196202966693</v>
      </c>
      <c r="J48">
        <f t="shared" si="9"/>
        <v>0.80524913732766557</v>
      </c>
      <c r="M48" t="s">
        <v>49</v>
      </c>
      <c r="O48">
        <f>TTEST(O6:O15,O34:O41,2,2)</f>
        <v>0.43264406008032308</v>
      </c>
      <c r="P48">
        <f>TTEST(P6:P15,P34:P41,2,2)</f>
        <v>9.7103925463463678E-2</v>
      </c>
      <c r="Q48">
        <f>TTEST(Q6:Q15,Q34:Q41,2,2)</f>
        <v>4.5503516858528097E-3</v>
      </c>
      <c r="R48">
        <f>TTEST(R6:R15,R34:R41,2,2)</f>
        <v>2.0130578270100931E-2</v>
      </c>
      <c r="S48">
        <f>TTEST(S6:S15,S34:S41,2,2)</f>
        <v>1.2903687562380588E-3</v>
      </c>
      <c r="T48">
        <f>TTEST(T6:T15,T34:T41,2,2)</f>
        <v>2.8020480276308508E-2</v>
      </c>
      <c r="U48">
        <f>TTEST(U6:U15,U34:U41,2,2)</f>
        <v>0.22040119496373842</v>
      </c>
      <c r="V48">
        <f>TTEST(V6:V15,V34:V41,2,2)</f>
        <v>9.679867536604167E-2</v>
      </c>
      <c r="W48">
        <f>TTEST(W6:W15,W34:W41,2,2)</f>
        <v>7.9762371044005435E-4</v>
      </c>
      <c r="X48" s="1"/>
      <c r="Z48" t="s">
        <v>49</v>
      </c>
      <c r="AB48">
        <f>TTEST(AB6:AB14,AB33:AB41,2,2)</f>
        <v>0.11265189335340901</v>
      </c>
      <c r="AC48">
        <f>TTEST(AC6:AC14,AC33:AC41,2,2)</f>
        <v>0.10684039232060022</v>
      </c>
      <c r="AD48">
        <f>TTEST(AD6:AD14,AD33:AD41,2,2)</f>
        <v>0.1059071663383825</v>
      </c>
      <c r="AE48">
        <f>TTEST(AE6:AE14,AE33:AE41,2,2)</f>
        <v>0.60841388065223301</v>
      </c>
      <c r="AF48">
        <f>TTEST(AF6:AF14,AF33:AF41,2,2)</f>
        <v>0.68930067490151403</v>
      </c>
    </row>
    <row r="49" spans="1:32" x14ac:dyDescent="0.2">
      <c r="A49" t="s">
        <v>50</v>
      </c>
      <c r="C49">
        <f>TTEST(C20:C27,C33:C40,2,2)</f>
        <v>2.8375880826294643E-2</v>
      </c>
      <c r="D49">
        <f t="shared" ref="D49:J49" si="10">TTEST(D20:D27,D33:D40,2,2)</f>
        <v>0.53580761717450354</v>
      </c>
      <c r="E49">
        <f t="shared" si="10"/>
        <v>0.92554239536522731</v>
      </c>
      <c r="F49">
        <f t="shared" si="10"/>
        <v>6.3076452083684509E-2</v>
      </c>
      <c r="G49">
        <f t="shared" si="10"/>
        <v>9.6349036841142464E-3</v>
      </c>
      <c r="H49">
        <f t="shared" si="10"/>
        <v>3.5222181863705439E-2</v>
      </c>
      <c r="I49">
        <f t="shared" si="10"/>
        <v>0.11599668669457545</v>
      </c>
      <c r="J49">
        <f t="shared" si="10"/>
        <v>0.443003306547058</v>
      </c>
      <c r="M49" t="s">
        <v>50</v>
      </c>
      <c r="O49">
        <f>TTEST(O20:O30,O34:O41,2,2)</f>
        <v>0.41318037796115636</v>
      </c>
      <c r="P49">
        <f>TTEST(P20:P30,P34:P41,2,2)</f>
        <v>6.882572204969764E-5</v>
      </c>
      <c r="Q49">
        <f>TTEST(Q20:Q30,Q34:Q41,2,2)</f>
        <v>1.0748185873825489E-4</v>
      </c>
      <c r="R49">
        <f>TTEST(R20:R30,R34:R41,2,2)</f>
        <v>4.1911962753108267E-2</v>
      </c>
      <c r="S49">
        <f>TTEST(S20:S30,S34:S41,2,2)</f>
        <v>1.1241646840360264E-3</v>
      </c>
      <c r="T49">
        <f>TTEST(T20:T30,T34:T41,2,2)</f>
        <v>6.8800777975835323E-3</v>
      </c>
      <c r="U49">
        <f>TTEST(U20:U30,U34:U41,2,2)</f>
        <v>5.8758883846397506E-2</v>
      </c>
      <c r="V49">
        <f>TTEST(V20:V30,V34:V41,2,2)</f>
        <v>4.3908470492772252E-2</v>
      </c>
      <c r="W49">
        <f>TTEST(W20:W30,W34:W41,2,2)</f>
        <v>1.2282241697162795E-5</v>
      </c>
      <c r="X49" s="1"/>
      <c r="Z49" t="s">
        <v>50</v>
      </c>
      <c r="AB49">
        <f>TTEST(AB17:AB30,AB33:AB41,2,2)</f>
        <v>0.66032090182998604</v>
      </c>
      <c r="AC49">
        <f>TTEST(AC17:AC30,AC33:AC41,2,2)</f>
        <v>0.94009999481020534</v>
      </c>
      <c r="AD49">
        <f>TTEST(AD17:AD30,AD33:AD41,2,2)</f>
        <v>1.11032139661817E-2</v>
      </c>
      <c r="AE49">
        <f>TTEST(AE17:AE30,AE33:AE41,2,2)</f>
        <v>0.25656172551638284</v>
      </c>
      <c r="AF49">
        <f>TTEST(AF17:AF30,AF33:AF41,2,2)</f>
        <v>0.34643973210430334</v>
      </c>
    </row>
    <row r="51" spans="1:32" x14ac:dyDescent="0.2">
      <c r="A51" s="7" t="s">
        <v>82</v>
      </c>
      <c r="B51" s="7"/>
      <c r="C51" s="7"/>
      <c r="D51" s="7"/>
      <c r="E51" s="7"/>
      <c r="F51" s="7"/>
      <c r="G51" s="7"/>
      <c r="H51" s="7"/>
      <c r="I51" s="7"/>
      <c r="J51" s="7"/>
      <c r="K51" s="7"/>
      <c r="M51" s="7" t="s">
        <v>89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Z51" s="7" t="s">
        <v>82</v>
      </c>
      <c r="AA51" s="7"/>
      <c r="AB51" s="7"/>
      <c r="AC51" s="7"/>
      <c r="AD51" s="7"/>
      <c r="AE51" s="7"/>
      <c r="AF51" s="7"/>
    </row>
    <row r="52" spans="1:32" x14ac:dyDescent="0.2">
      <c r="A52" s="7" t="s">
        <v>114</v>
      </c>
      <c r="B52" s="15" t="s">
        <v>83</v>
      </c>
      <c r="C52" s="15">
        <v>0</v>
      </c>
      <c r="D52" s="15">
        <v>3.35</v>
      </c>
      <c r="E52" s="15">
        <v>1.79</v>
      </c>
      <c r="F52" s="15">
        <v>1.01</v>
      </c>
      <c r="G52" s="15">
        <v>2.9</v>
      </c>
      <c r="H52" s="15">
        <v>8.7200000000000006</v>
      </c>
      <c r="I52" s="15">
        <v>1.67</v>
      </c>
      <c r="J52" s="15">
        <v>18.57</v>
      </c>
      <c r="K52" s="15">
        <v>4</v>
      </c>
      <c r="M52" s="7"/>
      <c r="N52" s="15" t="s">
        <v>90</v>
      </c>
      <c r="O52" s="15">
        <v>0</v>
      </c>
      <c r="P52" s="15">
        <v>26.26</v>
      </c>
      <c r="Q52" s="15">
        <v>23.24</v>
      </c>
      <c r="R52" s="15">
        <v>26.79</v>
      </c>
      <c r="S52" s="15">
        <v>8.7100000000000009</v>
      </c>
      <c r="T52" s="15">
        <v>10.95</v>
      </c>
      <c r="U52" s="15">
        <v>13.06</v>
      </c>
      <c r="V52" s="15">
        <v>8.0500000000000007</v>
      </c>
      <c r="W52" s="7">
        <f>AVERAGE(O52:R52)</f>
        <v>19.072499999999998</v>
      </c>
      <c r="X52" s="15">
        <v>4</v>
      </c>
      <c r="Z52" s="7"/>
      <c r="AA52" s="15" t="s">
        <v>98</v>
      </c>
      <c r="AB52" s="15">
        <v>3.57</v>
      </c>
      <c r="AC52" s="15">
        <v>3.46</v>
      </c>
      <c r="AD52" s="15">
        <v>1.23</v>
      </c>
      <c r="AE52" s="15">
        <v>18.3</v>
      </c>
      <c r="AF52" s="15">
        <v>4.3499999999999996</v>
      </c>
    </row>
    <row r="53" spans="1:32" x14ac:dyDescent="0.2">
      <c r="A53" s="7" t="s">
        <v>114</v>
      </c>
      <c r="B53" s="15" t="s">
        <v>84</v>
      </c>
      <c r="C53" s="15">
        <v>0</v>
      </c>
      <c r="D53" s="15">
        <v>3.01</v>
      </c>
      <c r="E53" s="15">
        <v>0</v>
      </c>
      <c r="F53" s="15">
        <v>2.68</v>
      </c>
      <c r="G53" s="15">
        <v>2.34</v>
      </c>
      <c r="H53" s="15">
        <v>4.91</v>
      </c>
      <c r="I53" s="15">
        <v>13.97</v>
      </c>
      <c r="J53" s="15">
        <v>30.06</v>
      </c>
      <c r="K53" s="15">
        <v>4</v>
      </c>
      <c r="M53" s="7"/>
      <c r="N53" s="15" t="s">
        <v>91</v>
      </c>
      <c r="O53" s="15">
        <v>24.67</v>
      </c>
      <c r="P53" s="15">
        <v>38.619999999999997</v>
      </c>
      <c r="Q53" s="15">
        <v>28.94</v>
      </c>
      <c r="R53" s="15">
        <v>36.270000000000003</v>
      </c>
      <c r="S53" s="15">
        <v>27.49</v>
      </c>
      <c r="T53" s="15">
        <v>27.57</v>
      </c>
      <c r="U53" s="15">
        <v>1.01</v>
      </c>
      <c r="V53" s="15">
        <v>13.52</v>
      </c>
      <c r="W53" s="7">
        <f t="shared" ref="W53:W58" si="11">AVERAGE(O53:R53)</f>
        <v>32.125</v>
      </c>
      <c r="X53" s="15">
        <v>4</v>
      </c>
      <c r="Z53" s="7"/>
      <c r="AA53" s="15" t="s">
        <v>99</v>
      </c>
      <c r="AB53" s="15">
        <v>0</v>
      </c>
      <c r="AC53" s="15">
        <v>0</v>
      </c>
      <c r="AD53" s="15">
        <v>0</v>
      </c>
      <c r="AE53" s="15">
        <v>33.74</v>
      </c>
      <c r="AF53" s="15">
        <v>1</v>
      </c>
    </row>
    <row r="54" spans="1:32" x14ac:dyDescent="0.2">
      <c r="A54" s="7" t="s">
        <v>114</v>
      </c>
      <c r="B54" s="15" t="s">
        <v>85</v>
      </c>
      <c r="C54" s="15">
        <v>2.12</v>
      </c>
      <c r="D54" s="15">
        <v>4.24</v>
      </c>
      <c r="E54" s="15">
        <v>2.35</v>
      </c>
      <c r="F54" s="15">
        <v>9.0399999999999991</v>
      </c>
      <c r="G54" s="15">
        <v>4.58</v>
      </c>
      <c r="H54" s="15">
        <v>2.91</v>
      </c>
      <c r="I54" s="15">
        <v>21.09</v>
      </c>
      <c r="J54" s="15">
        <v>33.78</v>
      </c>
      <c r="K54" s="15">
        <v>4</v>
      </c>
      <c r="M54" s="7"/>
      <c r="N54" s="15" t="s">
        <v>92</v>
      </c>
      <c r="O54" s="15">
        <v>29.46</v>
      </c>
      <c r="P54" s="15">
        <v>25</v>
      </c>
      <c r="Q54" s="15">
        <v>41.45</v>
      </c>
      <c r="R54" s="15">
        <v>7.48</v>
      </c>
      <c r="S54" s="15">
        <v>8.16</v>
      </c>
      <c r="T54" s="15">
        <v>24.33</v>
      </c>
      <c r="U54" s="15">
        <v>22.99</v>
      </c>
      <c r="V54" s="15">
        <v>3.13</v>
      </c>
      <c r="W54" s="7">
        <f t="shared" si="11"/>
        <v>25.8475</v>
      </c>
      <c r="X54" s="15">
        <v>4</v>
      </c>
      <c r="Z54" s="7"/>
      <c r="AA54" s="15" t="s">
        <v>100</v>
      </c>
      <c r="AB54" s="15">
        <v>0.89</v>
      </c>
      <c r="AC54" s="15">
        <v>0</v>
      </c>
      <c r="AD54" s="15">
        <v>6.93</v>
      </c>
      <c r="AE54" s="15">
        <v>43.13</v>
      </c>
      <c r="AF54" s="15">
        <v>5.8</v>
      </c>
    </row>
    <row r="55" spans="1:32" x14ac:dyDescent="0.2">
      <c r="A55" s="7" t="s">
        <v>114</v>
      </c>
      <c r="B55" s="15" t="s">
        <v>86</v>
      </c>
      <c r="C55" s="15">
        <v>2.23</v>
      </c>
      <c r="D55" s="15">
        <v>0</v>
      </c>
      <c r="E55" s="15">
        <v>2.9</v>
      </c>
      <c r="F55" s="15">
        <v>0</v>
      </c>
      <c r="G55" s="15">
        <v>3.57</v>
      </c>
      <c r="H55" s="15">
        <v>3.46</v>
      </c>
      <c r="I55" s="15">
        <v>6.92</v>
      </c>
      <c r="J55" s="15">
        <v>19.600000000000001</v>
      </c>
      <c r="K55" s="15">
        <v>4</v>
      </c>
      <c r="M55" s="7"/>
      <c r="N55" s="15" t="s">
        <v>93</v>
      </c>
      <c r="O55" s="15">
        <v>1.23</v>
      </c>
      <c r="P55" s="15">
        <v>12.07</v>
      </c>
      <c r="Q55" s="15">
        <v>18.86</v>
      </c>
      <c r="R55" s="15">
        <v>15.08</v>
      </c>
      <c r="S55" s="15">
        <v>4.58</v>
      </c>
      <c r="T55" s="15">
        <v>4.25</v>
      </c>
      <c r="U55" s="15">
        <v>16.54</v>
      </c>
      <c r="V55" s="15">
        <v>5.7</v>
      </c>
      <c r="W55" s="7">
        <f t="shared" si="11"/>
        <v>11.809999999999999</v>
      </c>
      <c r="X55" s="15">
        <v>4</v>
      </c>
      <c r="Z55" s="7"/>
      <c r="AA55" s="15" t="s">
        <v>101</v>
      </c>
      <c r="AB55" s="15">
        <v>0</v>
      </c>
      <c r="AC55" s="15">
        <v>0</v>
      </c>
      <c r="AD55" s="15">
        <v>0</v>
      </c>
      <c r="AE55" s="15">
        <v>20.34</v>
      </c>
      <c r="AF55" s="15">
        <v>7.48</v>
      </c>
    </row>
    <row r="56" spans="1:32" x14ac:dyDescent="0.2">
      <c r="A56" s="7" t="s">
        <v>114</v>
      </c>
      <c r="B56" s="15" t="s">
        <v>87</v>
      </c>
      <c r="C56" s="15">
        <v>1.01</v>
      </c>
      <c r="D56" s="15">
        <v>3.46</v>
      </c>
      <c r="E56" s="15">
        <v>1.01</v>
      </c>
      <c r="F56" s="15">
        <v>0.89</v>
      </c>
      <c r="G56" s="15">
        <v>5.25</v>
      </c>
      <c r="H56" s="15">
        <v>5.92</v>
      </c>
      <c r="I56" s="15">
        <v>16.29</v>
      </c>
      <c r="J56" s="15">
        <v>14.43</v>
      </c>
      <c r="K56" s="15">
        <v>4</v>
      </c>
      <c r="M56" s="7"/>
      <c r="N56" s="15" t="s">
        <v>94</v>
      </c>
      <c r="O56" s="15">
        <v>23.1</v>
      </c>
      <c r="P56" s="15">
        <v>50.28</v>
      </c>
      <c r="Q56" s="15">
        <v>38.729999999999997</v>
      </c>
      <c r="R56" s="15">
        <v>23.58</v>
      </c>
      <c r="S56" s="15">
        <v>11.72</v>
      </c>
      <c r="T56" s="15">
        <v>3.46</v>
      </c>
      <c r="U56" s="15">
        <v>3.35</v>
      </c>
      <c r="V56" s="15">
        <v>7.16</v>
      </c>
      <c r="W56" s="7">
        <f t="shared" si="11"/>
        <v>33.922499999999999</v>
      </c>
      <c r="X56" s="15">
        <v>4</v>
      </c>
      <c r="Z56" s="7"/>
      <c r="AA56" s="15" t="s">
        <v>102</v>
      </c>
      <c r="AB56" s="15">
        <v>0</v>
      </c>
      <c r="AC56" s="15">
        <v>1.01</v>
      </c>
      <c r="AD56" s="15">
        <v>0</v>
      </c>
      <c r="AE56" s="15">
        <v>33.299999999999997</v>
      </c>
      <c r="AF56" s="15">
        <v>0</v>
      </c>
    </row>
    <row r="57" spans="1:32" x14ac:dyDescent="0.2">
      <c r="A57" s="7" t="s">
        <v>117</v>
      </c>
      <c r="B57" s="16" t="s">
        <v>104</v>
      </c>
      <c r="C57" s="17">
        <v>0</v>
      </c>
      <c r="D57" s="17">
        <v>10.38</v>
      </c>
      <c r="E57" s="17">
        <v>6.58</v>
      </c>
      <c r="F57" s="17">
        <v>9.7200000000000006</v>
      </c>
      <c r="G57" s="17">
        <v>18.55</v>
      </c>
      <c r="H57" s="17">
        <v>11.05</v>
      </c>
      <c r="I57" s="17">
        <v>20.34</v>
      </c>
      <c r="J57" s="17">
        <v>33.630000000000003</v>
      </c>
      <c r="K57" s="15">
        <v>4</v>
      </c>
      <c r="M57" s="7"/>
      <c r="N57" s="16" t="s">
        <v>106</v>
      </c>
      <c r="O57" s="17">
        <v>26.15</v>
      </c>
      <c r="P57" s="17">
        <v>39.51</v>
      </c>
      <c r="Q57" s="17">
        <v>34.71</v>
      </c>
      <c r="R57" s="17">
        <v>14.64</v>
      </c>
      <c r="S57" s="17">
        <v>14.97</v>
      </c>
      <c r="T57" s="17">
        <v>32.14</v>
      </c>
      <c r="U57" s="17">
        <v>12.85</v>
      </c>
      <c r="V57" s="17">
        <v>26.7</v>
      </c>
      <c r="W57" s="7">
        <f t="shared" si="11"/>
        <v>28.752500000000001</v>
      </c>
      <c r="X57" s="15">
        <v>4</v>
      </c>
      <c r="Z57" s="7"/>
      <c r="AA57" s="16" t="s">
        <v>108</v>
      </c>
      <c r="AB57" s="17">
        <v>7.14</v>
      </c>
      <c r="AC57" s="17">
        <v>5.7</v>
      </c>
      <c r="AD57" s="17">
        <v>7.7</v>
      </c>
      <c r="AE57" s="17">
        <v>22.23</v>
      </c>
      <c r="AF57" s="17">
        <v>4.91</v>
      </c>
    </row>
    <row r="58" spans="1:32" x14ac:dyDescent="0.2">
      <c r="A58" s="7" t="s">
        <v>117</v>
      </c>
      <c r="B58" s="16" t="s">
        <v>105</v>
      </c>
      <c r="C58" s="17">
        <v>3.8</v>
      </c>
      <c r="D58" s="17">
        <v>1</v>
      </c>
      <c r="E58" s="17">
        <v>10.49</v>
      </c>
      <c r="F58" s="17">
        <v>9.94</v>
      </c>
      <c r="G58" s="17">
        <v>11.16</v>
      </c>
      <c r="H58" s="17">
        <v>42.91</v>
      </c>
      <c r="I58" s="17">
        <v>9.7100000000000009</v>
      </c>
      <c r="J58" s="17">
        <v>14.43</v>
      </c>
      <c r="K58" s="15">
        <v>4</v>
      </c>
      <c r="M58" s="7"/>
      <c r="N58" s="16" t="s">
        <v>107</v>
      </c>
      <c r="O58" s="17">
        <v>12.83</v>
      </c>
      <c r="P58" s="17">
        <v>31.4</v>
      </c>
      <c r="Q58" s="17">
        <v>40.85</v>
      </c>
      <c r="R58" s="17">
        <v>48.6</v>
      </c>
      <c r="S58" s="17">
        <v>52.57</v>
      </c>
      <c r="T58" s="17">
        <v>39.33</v>
      </c>
      <c r="U58" s="17">
        <v>4.3499999999999996</v>
      </c>
      <c r="V58" s="17">
        <v>18.100000000000001</v>
      </c>
      <c r="W58" s="7">
        <f t="shared" si="11"/>
        <v>33.42</v>
      </c>
      <c r="X58" s="15">
        <v>4</v>
      </c>
      <c r="Z58" s="7"/>
      <c r="AA58" s="16" t="s">
        <v>109</v>
      </c>
      <c r="AB58" s="17">
        <v>0.78</v>
      </c>
      <c r="AC58" s="17">
        <v>0</v>
      </c>
      <c r="AD58" s="17">
        <v>1.01</v>
      </c>
      <c r="AE58" s="17">
        <v>32.29</v>
      </c>
      <c r="AF58" s="17">
        <v>0</v>
      </c>
    </row>
    <row r="59" spans="1:32" x14ac:dyDescent="0.2">
      <c r="B59" s="5"/>
      <c r="C59" s="6"/>
      <c r="D59" s="6"/>
      <c r="E59" s="6"/>
      <c r="F59" s="6"/>
      <c r="G59" s="6"/>
      <c r="H59" s="6"/>
      <c r="I59" s="6"/>
      <c r="J59" s="6"/>
      <c r="N59" s="5"/>
      <c r="O59" s="6"/>
      <c r="P59" s="6"/>
      <c r="Q59" s="6"/>
      <c r="R59" s="6"/>
      <c r="S59" s="6"/>
      <c r="T59" s="6"/>
      <c r="U59" s="6"/>
      <c r="V59" s="6"/>
    </row>
    <row r="60" spans="1:32" x14ac:dyDescent="0.2">
      <c r="A60" t="s">
        <v>11</v>
      </c>
      <c r="C60">
        <f>AVERAGE(C52:C58)</f>
        <v>1.3085714285714285</v>
      </c>
      <c r="D60">
        <f t="shared" ref="D60:I60" si="12">AVERAGE(D52:D58)</f>
        <v>3.6342857142857139</v>
      </c>
      <c r="E60">
        <f t="shared" si="12"/>
        <v>3.5885714285714285</v>
      </c>
      <c r="F60">
        <f t="shared" si="12"/>
        <v>4.7542857142857144</v>
      </c>
      <c r="G60">
        <f t="shared" si="12"/>
        <v>6.9071428571428566</v>
      </c>
      <c r="H60">
        <f t="shared" si="12"/>
        <v>11.411428571428571</v>
      </c>
      <c r="I60">
        <f t="shared" si="12"/>
        <v>12.855714285714287</v>
      </c>
      <c r="J60">
        <f>AVERAGE(J52:J58)</f>
        <v>23.5</v>
      </c>
      <c r="N60" s="1" t="s">
        <v>11</v>
      </c>
      <c r="O60">
        <f>AVERAGE(O52:O59)</f>
        <v>16.777142857142859</v>
      </c>
      <c r="P60">
        <f>AVERAGE(P52:P59)</f>
        <v>31.877142857142854</v>
      </c>
      <c r="Q60">
        <f>AVERAGE(Q52:Q59)</f>
        <v>32.39714285714286</v>
      </c>
      <c r="R60">
        <f>AVERAGE(R52:R59)</f>
        <v>24.634285714285713</v>
      </c>
      <c r="S60">
        <f>AVERAGE(S52:S59)</f>
        <v>18.314285714285713</v>
      </c>
      <c r="T60">
        <f>AVERAGE(T52:T59)</f>
        <v>20.289999999999996</v>
      </c>
      <c r="U60">
        <f>AVERAGE(U52:U59)</f>
        <v>10.592857142857142</v>
      </c>
      <c r="V60">
        <f>AVERAGE(V52:V59)</f>
        <v>11.765714285714287</v>
      </c>
      <c r="W60">
        <f>AVERAGE(W52:W59)</f>
        <v>26.421428571428571</v>
      </c>
      <c r="AA60" s="1" t="s">
        <v>11</v>
      </c>
      <c r="AB60">
        <f>AVERAGE(AB52:AB57)</f>
        <v>1.9333333333333333</v>
      </c>
      <c r="AC60">
        <f>AVERAGE(AC52:AC57)</f>
        <v>1.6950000000000001</v>
      </c>
      <c r="AD60">
        <f>AVERAGE(AD52:AD57)</f>
        <v>2.6433333333333331</v>
      </c>
      <c r="AE60">
        <f>AVERAGE(AE52:AE57)</f>
        <v>28.506666666666664</v>
      </c>
      <c r="AF60">
        <f>AVERAGE(AF52:AF57)</f>
        <v>3.9233333333333333</v>
      </c>
    </row>
    <row r="63" spans="1:32" x14ac:dyDescent="0.2">
      <c r="M63" t="s">
        <v>96</v>
      </c>
      <c r="O63">
        <f>TTEST(O6:O15,O52:O58,2,2)</f>
        <v>0.89761862888009514</v>
      </c>
      <c r="P63">
        <f>TTEST(P6:P15,P52:P58,2,2)</f>
        <v>0.11653190553317101</v>
      </c>
      <c r="Q63">
        <f>TTEST(Q6:Q15,Q52:Q58,2,2)</f>
        <v>8.559610859194846E-3</v>
      </c>
      <c r="R63">
        <f>TTEST(R6:R15,R52:R58,2,2)</f>
        <v>0.81508087414602626</v>
      </c>
      <c r="S63">
        <f>TTEST(S6:S15,S52:S58,2,2)</f>
        <v>0.40949647974454129</v>
      </c>
      <c r="T63">
        <f>TTEST(T6:T15,T52:T58,2,2)</f>
        <v>0.80053969755615084</v>
      </c>
      <c r="U63">
        <f>TTEST(U6:U15,U52:U58,2,2)</f>
        <v>1.0872019620402804E-2</v>
      </c>
      <c r="V63">
        <f>TTEST(V6:V15,V52:V58,2,2)</f>
        <v>7.7082430566311269E-2</v>
      </c>
      <c r="W63">
        <f>TTEST(W6:W15,W52:W58,2,2)</f>
        <v>0.35721823772854766</v>
      </c>
    </row>
    <row r="64" spans="1:32" x14ac:dyDescent="0.2">
      <c r="M64" t="s">
        <v>97</v>
      </c>
      <c r="O64">
        <f>TTEST(O33:O41,O52:O58,2,2)</f>
        <v>0.6066953500299368</v>
      </c>
      <c r="P64">
        <f>TTEST(P33:P41,P52:P58,2,2)</f>
        <v>3.2958712827971762E-2</v>
      </c>
      <c r="Q64">
        <f>TTEST(Q33:Q41,Q52:Q58,2,2)</f>
        <v>1.0120629940076068E-2</v>
      </c>
      <c r="R64">
        <f>TTEST(R33:R41,R52:R58,2,2)</f>
        <v>7.7213499718604334E-2</v>
      </c>
      <c r="S64">
        <f>TTEST(S33:S41,S52:S58,2,2)</f>
        <v>0.30161619620881414</v>
      </c>
      <c r="T64">
        <f>TTEST(T33:T41,T52:T58,2,2)</f>
        <v>0.31053964679434237</v>
      </c>
      <c r="U64">
        <f>TTEST(U33:U41,U52:U58,2,2)</f>
        <v>0.37533679814548038</v>
      </c>
      <c r="V64">
        <f>TTEST(V33:V41,V52:V58,2,2)</f>
        <v>0.43082253135372095</v>
      </c>
      <c r="W64">
        <f>TTEST(W33:W40,W52:W56,2,2)</f>
        <v>4.6559925390927646E-2</v>
      </c>
    </row>
    <row r="65" spans="13:23" x14ac:dyDescent="0.2">
      <c r="M65" t="s">
        <v>103</v>
      </c>
      <c r="O65">
        <f>TTEST(O20:O27,O52:O58,2,2)</f>
        <v>0.9463295518253152</v>
      </c>
      <c r="P65">
        <f>TTEST(P20:P27,P52:P58,2,2)</f>
        <v>0.17237748633976263</v>
      </c>
      <c r="Q65">
        <f>TTEST(Q20:Q27,Q52:Q58,2,2)</f>
        <v>0.80256599181062949</v>
      </c>
      <c r="R65">
        <f>TTEST(R20:R27,R52:R58,2,2)</f>
        <v>0.479107105188184</v>
      </c>
      <c r="S65">
        <f>TTEST(S20:S27,S52:S58,2,2)</f>
        <v>0.15810135998316163</v>
      </c>
      <c r="T65">
        <f>TTEST(T20:T27,T52:T58,2,2)</f>
        <v>0.4462389937088147</v>
      </c>
      <c r="U65">
        <f>TTEST(U20:U27,U52:U58,2,2)</f>
        <v>7.3430268336156313E-3</v>
      </c>
      <c r="V65">
        <f>TTEST(V20:V27,V52:V58,2,2)</f>
        <v>5.3252543493662333E-2</v>
      </c>
      <c r="W65">
        <f>TTEST(W20:W27,W52:W58,2,2)</f>
        <v>0.3529934686094901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selection sqref="A1:K58"/>
    </sheetView>
  </sheetViews>
  <sheetFormatPr baseColWidth="10" defaultColWidth="8.83203125" defaultRowHeight="15" x14ac:dyDescent="0.2"/>
  <cols>
    <col min="2" max="2" width="11.33203125" customWidth="1"/>
  </cols>
  <sheetData>
    <row r="1" spans="1:11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1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</row>
    <row r="3" spans="1:11" x14ac:dyDescent="0.2">
      <c r="A3" t="s">
        <v>78</v>
      </c>
      <c r="C3">
        <v>60</v>
      </c>
      <c r="D3">
        <v>60</v>
      </c>
      <c r="E3">
        <v>60</v>
      </c>
      <c r="F3">
        <v>60</v>
      </c>
      <c r="G3">
        <v>60</v>
      </c>
      <c r="H3">
        <v>60</v>
      </c>
      <c r="I3">
        <v>60</v>
      </c>
      <c r="J3">
        <v>60</v>
      </c>
    </row>
    <row r="4" spans="1:11" x14ac:dyDescent="0.2">
      <c r="A4" s="3"/>
      <c r="B4" s="1" t="s">
        <v>2</v>
      </c>
      <c r="C4" s="1">
        <v>1.9</v>
      </c>
      <c r="D4" s="1">
        <v>3.36</v>
      </c>
      <c r="E4" s="1">
        <v>3.57</v>
      </c>
      <c r="F4" s="1">
        <v>1.23</v>
      </c>
      <c r="G4" s="1">
        <v>5.25</v>
      </c>
      <c r="H4" s="1">
        <v>10.17</v>
      </c>
      <c r="I4" s="1">
        <v>20.87</v>
      </c>
      <c r="J4" s="1">
        <v>19.13</v>
      </c>
      <c r="K4" s="1">
        <v>1</v>
      </c>
    </row>
    <row r="5" spans="1:11" x14ac:dyDescent="0.2">
      <c r="B5" s="1" t="s">
        <v>3</v>
      </c>
      <c r="C5" s="1">
        <v>7.59</v>
      </c>
      <c r="D5" s="1">
        <v>12.74</v>
      </c>
      <c r="E5" s="1">
        <v>5.25</v>
      </c>
      <c r="F5" s="1">
        <v>7.71</v>
      </c>
      <c r="G5" s="1">
        <v>9.49</v>
      </c>
      <c r="H5" s="1">
        <v>20.45</v>
      </c>
      <c r="I5" s="1">
        <v>18.97</v>
      </c>
      <c r="J5" s="1">
        <v>41.39</v>
      </c>
      <c r="K5" s="1">
        <v>1</v>
      </c>
    </row>
    <row r="6" spans="1:11" x14ac:dyDescent="0.2">
      <c r="B6" s="1" t="s">
        <v>5</v>
      </c>
      <c r="C6" s="1">
        <v>2.23</v>
      </c>
      <c r="D6" s="1">
        <v>12.28</v>
      </c>
      <c r="E6" s="1">
        <v>4.13</v>
      </c>
      <c r="F6" s="1">
        <v>1.56</v>
      </c>
      <c r="G6" s="1">
        <v>5.81</v>
      </c>
      <c r="H6" s="1">
        <v>13.28</v>
      </c>
      <c r="I6" s="1">
        <v>8.27</v>
      </c>
      <c r="J6" s="1">
        <v>40.450000000000003</v>
      </c>
      <c r="K6" s="1">
        <v>1</v>
      </c>
    </row>
    <row r="7" spans="1:11" x14ac:dyDescent="0.2">
      <c r="B7" s="1" t="s">
        <v>8</v>
      </c>
      <c r="C7" s="1">
        <v>1.1200000000000001</v>
      </c>
      <c r="D7" s="1">
        <v>1</v>
      </c>
      <c r="E7" s="1">
        <v>5.8</v>
      </c>
      <c r="F7" s="1">
        <v>1.9</v>
      </c>
      <c r="G7" s="1">
        <v>1</v>
      </c>
      <c r="H7" s="1">
        <v>6.03</v>
      </c>
      <c r="I7" s="1">
        <v>26.12</v>
      </c>
      <c r="J7" s="1">
        <v>32.549999999999997</v>
      </c>
      <c r="K7" s="1">
        <v>1</v>
      </c>
    </row>
    <row r="8" spans="1:11" x14ac:dyDescent="0.2">
      <c r="B8" s="1" t="s">
        <v>9</v>
      </c>
      <c r="C8" s="1">
        <v>0</v>
      </c>
      <c r="D8" s="1">
        <v>5.36</v>
      </c>
      <c r="E8" s="1">
        <v>5.7</v>
      </c>
      <c r="F8" s="1">
        <v>3.91</v>
      </c>
      <c r="G8" s="1">
        <v>8.15</v>
      </c>
      <c r="H8" s="1">
        <v>13.52</v>
      </c>
      <c r="I8" s="1">
        <v>22.54</v>
      </c>
      <c r="J8" s="1">
        <v>18.12</v>
      </c>
      <c r="K8" s="1">
        <v>1</v>
      </c>
    </row>
    <row r="9" spans="1:11" x14ac:dyDescent="0.2">
      <c r="B9" s="1" t="s">
        <v>28</v>
      </c>
      <c r="C9" s="1">
        <v>3.12</v>
      </c>
      <c r="D9" s="1">
        <v>10.06</v>
      </c>
      <c r="E9" s="1">
        <v>2.0099999999999998</v>
      </c>
      <c r="F9" s="1">
        <v>4.24</v>
      </c>
      <c r="G9" s="1">
        <v>9.26</v>
      </c>
      <c r="H9" s="1">
        <v>29.5</v>
      </c>
      <c r="I9" s="1">
        <v>41.9</v>
      </c>
      <c r="J9" s="1">
        <v>15.31</v>
      </c>
      <c r="K9" s="1">
        <v>1</v>
      </c>
    </row>
    <row r="10" spans="1:11" x14ac:dyDescent="0.2">
      <c r="B10" s="1" t="s">
        <v>29</v>
      </c>
      <c r="C10" s="1">
        <v>0</v>
      </c>
      <c r="D10" s="1">
        <v>10.17</v>
      </c>
      <c r="E10" s="1">
        <v>4.13</v>
      </c>
      <c r="F10" s="1">
        <v>4.58</v>
      </c>
      <c r="G10" s="1">
        <v>18.809999999999999</v>
      </c>
      <c r="H10" s="1">
        <v>25.81</v>
      </c>
      <c r="I10" s="1">
        <v>30.25</v>
      </c>
      <c r="J10" s="1">
        <v>36.200000000000003</v>
      </c>
      <c r="K10" s="1">
        <v>1</v>
      </c>
    </row>
    <row r="11" spans="1:11" x14ac:dyDescent="0.2">
      <c r="B11" s="1" t="s">
        <v>42</v>
      </c>
      <c r="C11" s="1">
        <v>2.46</v>
      </c>
      <c r="D11" s="1">
        <v>6.15</v>
      </c>
      <c r="E11" s="1">
        <v>7.48</v>
      </c>
      <c r="F11" s="1">
        <v>2.23</v>
      </c>
      <c r="G11" s="1">
        <v>3.01</v>
      </c>
      <c r="H11" s="1">
        <v>9.83</v>
      </c>
      <c r="I11" s="1">
        <v>14.17</v>
      </c>
      <c r="J11" s="1">
        <v>6.37</v>
      </c>
      <c r="K11" s="1">
        <v>1</v>
      </c>
    </row>
    <row r="12" spans="1:11" x14ac:dyDescent="0.2">
      <c r="A12" t="s">
        <v>72</v>
      </c>
      <c r="B12" t="s">
        <v>73</v>
      </c>
      <c r="C12">
        <v>4.24</v>
      </c>
      <c r="D12">
        <v>0.89</v>
      </c>
      <c r="E12">
        <v>2.79</v>
      </c>
      <c r="F12">
        <v>1.9</v>
      </c>
      <c r="G12">
        <v>4.46</v>
      </c>
      <c r="H12">
        <v>25.56</v>
      </c>
      <c r="I12">
        <v>25</v>
      </c>
      <c r="J12">
        <v>20.78</v>
      </c>
      <c r="K12" s="1">
        <v>1</v>
      </c>
    </row>
    <row r="13" spans="1:11" x14ac:dyDescent="0.2">
      <c r="K13" s="1"/>
    </row>
    <row r="14" spans="1:11" x14ac:dyDescent="0.2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t="s">
        <v>11</v>
      </c>
      <c r="C15">
        <f t="shared" ref="C15:J15" si="0">AVERAGE(C4:C14)</f>
        <v>2.5177777777777783</v>
      </c>
      <c r="D15">
        <f t="shared" si="0"/>
        <v>6.8900000000000006</v>
      </c>
      <c r="E15">
        <f t="shared" si="0"/>
        <v>4.54</v>
      </c>
      <c r="F15">
        <f t="shared" si="0"/>
        <v>3.2511111111111113</v>
      </c>
      <c r="G15">
        <f t="shared" si="0"/>
        <v>7.2488888888888887</v>
      </c>
      <c r="H15">
        <f t="shared" si="0"/>
        <v>17.12777777777778</v>
      </c>
      <c r="I15">
        <f t="shared" si="0"/>
        <v>23.121111111111112</v>
      </c>
      <c r="J15">
        <f t="shared" si="0"/>
        <v>25.588888888888889</v>
      </c>
      <c r="K15" s="1"/>
    </row>
    <row r="16" spans="1:11" x14ac:dyDescent="0.2">
      <c r="K16" s="1"/>
    </row>
    <row r="17" spans="1:11" x14ac:dyDescent="0.2">
      <c r="A17" t="s">
        <v>80</v>
      </c>
      <c r="K17" s="1"/>
    </row>
    <row r="18" spans="1:11" x14ac:dyDescent="0.2">
      <c r="B18" s="1" t="s">
        <v>4</v>
      </c>
      <c r="C18" s="1">
        <v>1.67</v>
      </c>
      <c r="D18" s="1">
        <v>3.24</v>
      </c>
      <c r="E18" s="1">
        <v>6.25</v>
      </c>
      <c r="F18" s="1">
        <v>2.0099999999999998</v>
      </c>
      <c r="G18" s="1">
        <v>1.9</v>
      </c>
      <c r="H18" s="1">
        <v>3.69</v>
      </c>
      <c r="I18" s="1">
        <v>20.2</v>
      </c>
      <c r="J18" s="1">
        <v>18.12</v>
      </c>
      <c r="K18" s="1">
        <v>2</v>
      </c>
    </row>
    <row r="19" spans="1:11" x14ac:dyDescent="0.2">
      <c r="B19" s="1" t="s">
        <v>10</v>
      </c>
      <c r="C19" s="1">
        <v>1.1200000000000001</v>
      </c>
      <c r="D19" s="1">
        <v>14.17</v>
      </c>
      <c r="E19" s="1">
        <v>9.0500000000000007</v>
      </c>
      <c r="F19" s="1">
        <v>11.05</v>
      </c>
      <c r="G19" s="1">
        <v>11.72</v>
      </c>
      <c r="H19" s="1">
        <v>17.079999999999998</v>
      </c>
      <c r="I19" s="1">
        <v>26.79</v>
      </c>
      <c r="J19" s="1">
        <v>32.21</v>
      </c>
      <c r="K19" s="1">
        <v>2</v>
      </c>
    </row>
    <row r="20" spans="1:11" x14ac:dyDescent="0.2">
      <c r="B20" s="1" t="s">
        <v>43</v>
      </c>
      <c r="C20" s="1">
        <v>2.12</v>
      </c>
      <c r="D20" s="1">
        <v>6.82</v>
      </c>
      <c r="E20" s="1">
        <v>3.79</v>
      </c>
      <c r="F20" s="1">
        <v>1.23</v>
      </c>
      <c r="G20" s="1">
        <v>8.7200000000000006</v>
      </c>
      <c r="H20" s="1">
        <v>21.54</v>
      </c>
      <c r="I20" s="1">
        <v>24.02</v>
      </c>
      <c r="J20" s="1">
        <v>17.899999999999999</v>
      </c>
      <c r="K20" s="1">
        <v>2</v>
      </c>
    </row>
    <row r="21" spans="1:11" x14ac:dyDescent="0.2">
      <c r="B21" s="1" t="s">
        <v>53</v>
      </c>
      <c r="C21" s="1">
        <v>2.68</v>
      </c>
      <c r="D21" s="1">
        <v>5.81</v>
      </c>
      <c r="E21" s="1">
        <v>1.9</v>
      </c>
      <c r="F21" s="1">
        <v>3.35</v>
      </c>
      <c r="G21" s="1">
        <v>11.38</v>
      </c>
      <c r="H21" s="1">
        <v>9.16</v>
      </c>
      <c r="I21" s="1">
        <v>20.09</v>
      </c>
      <c r="J21" s="1">
        <v>53.47</v>
      </c>
      <c r="K21" s="1">
        <v>2</v>
      </c>
    </row>
    <row r="22" spans="1:11" x14ac:dyDescent="0.2">
      <c r="A22" t="s">
        <v>72</v>
      </c>
      <c r="B22" t="s">
        <v>63</v>
      </c>
      <c r="C22">
        <v>0</v>
      </c>
      <c r="D22">
        <v>1</v>
      </c>
      <c r="E22">
        <v>4.3600000000000003</v>
      </c>
      <c r="F22">
        <v>14.84</v>
      </c>
      <c r="G22">
        <v>20.09</v>
      </c>
      <c r="H22">
        <v>21.23</v>
      </c>
      <c r="I22">
        <v>38.619999999999997</v>
      </c>
      <c r="J22">
        <v>41.95</v>
      </c>
      <c r="K22" s="1">
        <v>2</v>
      </c>
    </row>
    <row r="23" spans="1:11" x14ac:dyDescent="0.2">
      <c r="A23" t="s">
        <v>72</v>
      </c>
      <c r="B23" t="s">
        <v>64</v>
      </c>
      <c r="C23">
        <v>1.56</v>
      </c>
      <c r="D23">
        <v>5.58</v>
      </c>
      <c r="E23">
        <v>8.27</v>
      </c>
      <c r="F23">
        <v>4.13</v>
      </c>
      <c r="G23">
        <v>14.4</v>
      </c>
      <c r="H23">
        <v>19.64</v>
      </c>
      <c r="I23">
        <v>12.85</v>
      </c>
      <c r="J23">
        <v>13.85</v>
      </c>
      <c r="K23" s="1">
        <v>2</v>
      </c>
    </row>
    <row r="24" spans="1:11" x14ac:dyDescent="0.2">
      <c r="A24" t="s">
        <v>72</v>
      </c>
      <c r="B24" t="s">
        <v>65</v>
      </c>
      <c r="C24">
        <v>0.89</v>
      </c>
      <c r="D24">
        <v>7.03</v>
      </c>
      <c r="E24">
        <v>1.34</v>
      </c>
      <c r="F24">
        <v>7.93</v>
      </c>
      <c r="G24">
        <v>16.41</v>
      </c>
      <c r="H24">
        <v>30.73</v>
      </c>
      <c r="I24">
        <v>22.35</v>
      </c>
      <c r="J24">
        <v>34.86</v>
      </c>
      <c r="K24" s="1">
        <v>2</v>
      </c>
    </row>
    <row r="27" spans="1:11" x14ac:dyDescent="0.2">
      <c r="K27" s="1"/>
    </row>
    <row r="28" spans="1:11" x14ac:dyDescent="0.2">
      <c r="A28" t="s">
        <v>11</v>
      </c>
      <c r="C28">
        <f t="shared" ref="C28:J28" si="1">AVERAGE(C18:C27)</f>
        <v>1.4342857142857144</v>
      </c>
      <c r="D28">
        <f t="shared" si="1"/>
        <v>6.2357142857142858</v>
      </c>
      <c r="E28">
        <f t="shared" si="1"/>
        <v>4.9942857142857147</v>
      </c>
      <c r="F28">
        <f t="shared" si="1"/>
        <v>6.3628571428571439</v>
      </c>
      <c r="G28">
        <f t="shared" si="1"/>
        <v>12.088571428571429</v>
      </c>
      <c r="H28">
        <f t="shared" si="1"/>
        <v>17.581428571428571</v>
      </c>
      <c r="I28">
        <f t="shared" si="1"/>
        <v>23.56</v>
      </c>
      <c r="J28">
        <f t="shared" si="1"/>
        <v>30.337142857142851</v>
      </c>
      <c r="K28" s="1"/>
    </row>
    <row r="29" spans="1:11" x14ac:dyDescent="0.2">
      <c r="K29" s="1"/>
    </row>
    <row r="30" spans="1:11" x14ac:dyDescent="0.2">
      <c r="A30" t="s">
        <v>79</v>
      </c>
    </row>
    <row r="31" spans="1:11" x14ac:dyDescent="0.2">
      <c r="A31" s="3"/>
      <c r="B31" s="1" t="s">
        <v>6</v>
      </c>
      <c r="C31" s="1">
        <v>5.36</v>
      </c>
      <c r="D31" s="1">
        <v>0</v>
      </c>
      <c r="E31" s="1">
        <v>3.01</v>
      </c>
      <c r="F31" s="1">
        <v>1.1200000000000001</v>
      </c>
      <c r="G31" s="1">
        <v>8.3699999999999992</v>
      </c>
      <c r="H31" s="1">
        <v>1.34</v>
      </c>
      <c r="I31" s="1">
        <v>22.88</v>
      </c>
      <c r="J31" s="1">
        <v>61.41</v>
      </c>
      <c r="K31" s="1">
        <v>3</v>
      </c>
    </row>
    <row r="32" spans="1:11" x14ac:dyDescent="0.2">
      <c r="A32" s="3"/>
      <c r="B32" s="1" t="s">
        <v>7</v>
      </c>
      <c r="C32" s="1">
        <v>4.13</v>
      </c>
      <c r="D32" s="1">
        <v>1.56</v>
      </c>
      <c r="E32" s="1">
        <v>1.23</v>
      </c>
      <c r="F32" s="1">
        <v>1.23</v>
      </c>
      <c r="G32" s="1">
        <v>3.13</v>
      </c>
      <c r="H32" s="1">
        <v>12.72</v>
      </c>
      <c r="I32" s="1">
        <v>22.46</v>
      </c>
      <c r="J32" s="1">
        <v>21.45</v>
      </c>
      <c r="K32" s="1">
        <v>3</v>
      </c>
    </row>
    <row r="33" spans="1:11" x14ac:dyDescent="0.2">
      <c r="A33" s="3"/>
      <c r="B33" s="1" t="s">
        <v>30</v>
      </c>
      <c r="C33" s="1">
        <v>3.01</v>
      </c>
      <c r="D33" s="1">
        <v>5.36</v>
      </c>
      <c r="E33" s="1">
        <v>3.13</v>
      </c>
      <c r="F33" s="1">
        <v>1</v>
      </c>
      <c r="G33" s="1">
        <v>1.9</v>
      </c>
      <c r="H33" s="1">
        <v>4.58</v>
      </c>
      <c r="I33" s="1">
        <v>9.6</v>
      </c>
      <c r="J33" s="1">
        <v>7.6</v>
      </c>
      <c r="K33" s="1">
        <v>3</v>
      </c>
    </row>
    <row r="34" spans="1:11" x14ac:dyDescent="0.2">
      <c r="B34" s="1" t="s">
        <v>31</v>
      </c>
      <c r="C34" s="1">
        <v>5.25</v>
      </c>
      <c r="D34" s="1">
        <v>13.39</v>
      </c>
      <c r="E34" s="1">
        <v>6.82</v>
      </c>
      <c r="F34" s="1">
        <v>4.13</v>
      </c>
      <c r="G34" s="1">
        <v>3.35</v>
      </c>
      <c r="H34" s="1">
        <v>18.440000000000001</v>
      </c>
      <c r="I34" s="1">
        <v>13.5</v>
      </c>
      <c r="J34" s="1">
        <v>16.09</v>
      </c>
      <c r="K34" s="1">
        <v>3</v>
      </c>
    </row>
    <row r="35" spans="1:11" x14ac:dyDescent="0.2">
      <c r="B35" s="1" t="s">
        <v>44</v>
      </c>
      <c r="C35" s="1">
        <v>6.94</v>
      </c>
      <c r="D35" s="1">
        <v>2.57</v>
      </c>
      <c r="E35" s="1">
        <v>8.7200000000000006</v>
      </c>
      <c r="F35" s="1">
        <v>2.34</v>
      </c>
      <c r="G35" s="1">
        <v>1.23</v>
      </c>
      <c r="H35" s="1">
        <v>7.15</v>
      </c>
      <c r="I35" s="1">
        <v>16.18</v>
      </c>
      <c r="J35" s="1">
        <v>27.85</v>
      </c>
      <c r="K35" s="1">
        <v>3</v>
      </c>
    </row>
    <row r="36" spans="1:11" x14ac:dyDescent="0.2">
      <c r="B36" s="1" t="s">
        <v>45</v>
      </c>
      <c r="C36" s="1">
        <v>4.46</v>
      </c>
      <c r="D36" s="1">
        <v>5.8</v>
      </c>
      <c r="E36" s="1">
        <v>0</v>
      </c>
      <c r="F36" s="1">
        <v>5.25</v>
      </c>
      <c r="G36" s="1">
        <v>9.0500000000000007</v>
      </c>
      <c r="H36" s="1">
        <v>7.26</v>
      </c>
      <c r="I36" s="1">
        <v>10.17</v>
      </c>
      <c r="J36" s="1">
        <v>13.3</v>
      </c>
      <c r="K36" s="1">
        <v>3</v>
      </c>
    </row>
    <row r="37" spans="1:11" x14ac:dyDescent="0.2">
      <c r="B37" s="1" t="s">
        <v>56</v>
      </c>
      <c r="C37" s="1">
        <v>0.89</v>
      </c>
      <c r="D37" s="1">
        <v>5.25</v>
      </c>
      <c r="E37" s="1">
        <v>9.93</v>
      </c>
      <c r="F37" s="1">
        <v>2.79</v>
      </c>
      <c r="G37" s="1">
        <v>2.23</v>
      </c>
      <c r="H37" s="1">
        <v>2.91</v>
      </c>
      <c r="I37" s="1">
        <v>17.52</v>
      </c>
      <c r="J37" s="1">
        <v>11.84</v>
      </c>
      <c r="K37" s="1">
        <v>3</v>
      </c>
    </row>
    <row r="38" spans="1:11" x14ac:dyDescent="0.2">
      <c r="A38" t="s">
        <v>72</v>
      </c>
      <c r="B38" t="s">
        <v>68</v>
      </c>
      <c r="C38">
        <v>0</v>
      </c>
      <c r="D38">
        <v>5.25</v>
      </c>
      <c r="E38">
        <v>5.81</v>
      </c>
      <c r="F38">
        <v>2.46</v>
      </c>
      <c r="G38">
        <v>8.83</v>
      </c>
      <c r="H38">
        <v>13.95</v>
      </c>
      <c r="I38">
        <v>26.82</v>
      </c>
      <c r="J38">
        <v>30.73</v>
      </c>
      <c r="K38" s="1">
        <v>3</v>
      </c>
    </row>
    <row r="39" spans="1:11" x14ac:dyDescent="0.2">
      <c r="K39" s="1">
        <v>3</v>
      </c>
    </row>
    <row r="40" spans="1:11" x14ac:dyDescent="0.2">
      <c r="K40" s="1">
        <v>3</v>
      </c>
    </row>
    <row r="41" spans="1:11" x14ac:dyDescent="0.2">
      <c r="K41" s="1">
        <v>3</v>
      </c>
    </row>
    <row r="43" spans="1:11" x14ac:dyDescent="0.2">
      <c r="A43" t="s">
        <v>11</v>
      </c>
      <c r="C43">
        <f t="shared" ref="C43:J43" si="2">AVERAGE(C31:C40)</f>
        <v>3.7550000000000003</v>
      </c>
      <c r="D43">
        <f t="shared" si="2"/>
        <v>4.8975000000000009</v>
      </c>
      <c r="E43">
        <f t="shared" si="2"/>
        <v>4.8312500000000007</v>
      </c>
      <c r="F43">
        <f t="shared" si="2"/>
        <v>2.54</v>
      </c>
      <c r="G43">
        <f t="shared" si="2"/>
        <v>4.7612500000000004</v>
      </c>
      <c r="H43">
        <f t="shared" si="2"/>
        <v>8.5437499999999993</v>
      </c>
      <c r="I43">
        <f t="shared" si="2"/>
        <v>17.391249999999999</v>
      </c>
      <c r="J43">
        <f t="shared" si="2"/>
        <v>23.783750000000001</v>
      </c>
    </row>
    <row r="45" spans="1:11" x14ac:dyDescent="0.2">
      <c r="A45" t="s">
        <v>48</v>
      </c>
      <c r="C45">
        <f>TTEST(C4:C13,C18:C24,2,2)</f>
        <v>0.26832396129677721</v>
      </c>
      <c r="D45">
        <f t="shared" ref="D45:J45" si="3">TTEST(D4:D13,D18:D24,2,2)</f>
        <v>0.772273729721211</v>
      </c>
      <c r="E45">
        <f t="shared" si="3"/>
        <v>0.70530689638362309</v>
      </c>
      <c r="F45">
        <f t="shared" si="3"/>
        <v>0.11619632553942914</v>
      </c>
      <c r="G45">
        <f t="shared" si="3"/>
        <v>0.10074760317183212</v>
      </c>
      <c r="H45">
        <f t="shared" si="3"/>
        <v>0.91804348907650046</v>
      </c>
      <c r="I45">
        <f t="shared" si="3"/>
        <v>0.92368641104241966</v>
      </c>
      <c r="J45">
        <f t="shared" si="3"/>
        <v>0.49206545989450612</v>
      </c>
    </row>
    <row r="46" spans="1:11" x14ac:dyDescent="0.2">
      <c r="A46" t="s">
        <v>49</v>
      </c>
      <c r="C46">
        <f>TTEST(C4:C13,C31:C38,2,2)</f>
        <v>0.29507086479720535</v>
      </c>
      <c r="D46">
        <f t="shared" ref="D46:J46" si="4">TTEST(D4:D13,D31:D38,2,2)</f>
        <v>0.3609819021762295</v>
      </c>
      <c r="E46">
        <f t="shared" si="4"/>
        <v>0.82886189183097603</v>
      </c>
      <c r="F46">
        <f t="shared" si="4"/>
        <v>0.43880865901940813</v>
      </c>
      <c r="G46">
        <f t="shared" si="4"/>
        <v>0.26567854669990665</v>
      </c>
      <c r="H46">
        <f t="shared" si="4"/>
        <v>2.9659300343995259E-2</v>
      </c>
      <c r="I46">
        <f t="shared" si="4"/>
        <v>0.17193196202966693</v>
      </c>
      <c r="J46">
        <f t="shared" si="4"/>
        <v>0.80524913732766557</v>
      </c>
    </row>
    <row r="47" spans="1:11" x14ac:dyDescent="0.2">
      <c r="A47" t="s">
        <v>50</v>
      </c>
      <c r="C47">
        <f>TTEST(C18:C25,C31:C38,2,2)</f>
        <v>2.8375880826294643E-2</v>
      </c>
      <c r="D47">
        <f t="shared" ref="D47:J47" si="5">TTEST(D18:D25,D31:D38,2,2)</f>
        <v>0.53580761717450354</v>
      </c>
      <c r="E47">
        <f t="shared" si="5"/>
        <v>0.92554239536522731</v>
      </c>
      <c r="F47">
        <f t="shared" si="5"/>
        <v>6.3076452083684509E-2</v>
      </c>
      <c r="G47">
        <f t="shared" si="5"/>
        <v>9.6349036841142464E-3</v>
      </c>
      <c r="H47">
        <f t="shared" si="5"/>
        <v>3.5222181863705439E-2</v>
      </c>
      <c r="I47">
        <f t="shared" si="5"/>
        <v>0.11599668669457545</v>
      </c>
      <c r="J47">
        <f t="shared" si="5"/>
        <v>0.443003306547058</v>
      </c>
    </row>
    <row r="50" spans="1:11" x14ac:dyDescent="0.2">
      <c r="A50" t="s">
        <v>82</v>
      </c>
      <c r="B50" s="1" t="s">
        <v>83</v>
      </c>
      <c r="C50" s="1">
        <v>0</v>
      </c>
      <c r="D50" s="1">
        <v>3.35</v>
      </c>
      <c r="E50" s="1">
        <v>1.79</v>
      </c>
      <c r="F50" s="1">
        <v>1.01</v>
      </c>
      <c r="G50" s="1">
        <v>2.9</v>
      </c>
      <c r="H50" s="1">
        <v>8.7200000000000006</v>
      </c>
      <c r="I50" s="1">
        <v>1.67</v>
      </c>
      <c r="J50" s="1">
        <v>18.57</v>
      </c>
      <c r="K50" s="1">
        <v>4</v>
      </c>
    </row>
    <row r="51" spans="1:11" x14ac:dyDescent="0.2">
      <c r="B51" s="1" t="s">
        <v>84</v>
      </c>
      <c r="C51" s="1">
        <v>0</v>
      </c>
      <c r="D51" s="1">
        <v>3.01</v>
      </c>
      <c r="E51" s="1">
        <v>0</v>
      </c>
      <c r="F51" s="1">
        <v>2.68</v>
      </c>
      <c r="G51" s="1">
        <v>2.34</v>
      </c>
      <c r="H51" s="1">
        <v>4.91</v>
      </c>
      <c r="I51" s="1">
        <v>13.97</v>
      </c>
      <c r="J51" s="1">
        <v>30.06</v>
      </c>
      <c r="K51" s="1">
        <v>4</v>
      </c>
    </row>
    <row r="52" spans="1:11" x14ac:dyDescent="0.2">
      <c r="B52" s="1" t="s">
        <v>85</v>
      </c>
      <c r="C52" s="1">
        <v>2.12</v>
      </c>
      <c r="D52" s="1">
        <v>4.24</v>
      </c>
      <c r="E52" s="1">
        <v>2.35</v>
      </c>
      <c r="F52" s="1">
        <v>9.0399999999999991</v>
      </c>
      <c r="G52" s="1">
        <v>4.58</v>
      </c>
      <c r="H52" s="1">
        <v>2.91</v>
      </c>
      <c r="I52" s="1">
        <v>21.09</v>
      </c>
      <c r="J52" s="1">
        <v>33.78</v>
      </c>
      <c r="K52" s="1">
        <v>4</v>
      </c>
    </row>
    <row r="53" spans="1:11" x14ac:dyDescent="0.2">
      <c r="B53" s="1" t="s">
        <v>86</v>
      </c>
      <c r="C53" s="1">
        <v>2.23</v>
      </c>
      <c r="D53" s="1">
        <v>0</v>
      </c>
      <c r="E53" s="1">
        <v>2.9</v>
      </c>
      <c r="F53" s="1">
        <v>0</v>
      </c>
      <c r="G53" s="1">
        <v>3.57</v>
      </c>
      <c r="H53" s="1">
        <v>3.46</v>
      </c>
      <c r="I53" s="1">
        <v>6.92</v>
      </c>
      <c r="J53" s="1">
        <v>19.600000000000001</v>
      </c>
      <c r="K53" s="1">
        <v>4</v>
      </c>
    </row>
    <row r="54" spans="1:11" x14ac:dyDescent="0.2">
      <c r="B54" s="1" t="s">
        <v>87</v>
      </c>
      <c r="C54" s="1">
        <v>1.01</v>
      </c>
      <c r="D54" s="1">
        <v>3.46</v>
      </c>
      <c r="E54" s="1">
        <v>1.01</v>
      </c>
      <c r="F54" s="1">
        <v>0.89</v>
      </c>
      <c r="G54" s="1">
        <v>5.25</v>
      </c>
      <c r="H54" s="1">
        <v>5.92</v>
      </c>
      <c r="I54" s="1">
        <v>16.29</v>
      </c>
      <c r="J54" s="1">
        <v>14.43</v>
      </c>
      <c r="K54" s="1">
        <v>4</v>
      </c>
    </row>
    <row r="55" spans="1:11" x14ac:dyDescent="0.2">
      <c r="B55" s="5" t="s">
        <v>104</v>
      </c>
      <c r="C55" s="6">
        <v>0</v>
      </c>
      <c r="D55" s="6">
        <v>10.38</v>
      </c>
      <c r="E55" s="6">
        <v>6.58</v>
      </c>
      <c r="F55" s="6">
        <v>9.7200000000000006</v>
      </c>
      <c r="G55" s="6">
        <v>18.55</v>
      </c>
      <c r="H55" s="6">
        <v>11.05</v>
      </c>
      <c r="I55" s="6">
        <v>20.34</v>
      </c>
      <c r="J55" s="6">
        <v>33.630000000000003</v>
      </c>
      <c r="K55" s="1">
        <v>4</v>
      </c>
    </row>
    <row r="56" spans="1:11" x14ac:dyDescent="0.2">
      <c r="B56" s="5" t="s">
        <v>105</v>
      </c>
      <c r="C56" s="6">
        <v>3.8</v>
      </c>
      <c r="D56" s="6">
        <v>1</v>
      </c>
      <c r="E56" s="6">
        <v>10.49</v>
      </c>
      <c r="F56" s="6">
        <v>9.94</v>
      </c>
      <c r="G56" s="6">
        <v>11.16</v>
      </c>
      <c r="H56" s="6">
        <v>42.91</v>
      </c>
      <c r="I56" s="6">
        <v>9.7100000000000009</v>
      </c>
      <c r="J56" s="6">
        <v>14.43</v>
      </c>
      <c r="K56" s="1">
        <v>4</v>
      </c>
    </row>
    <row r="57" spans="1:11" x14ac:dyDescent="0.2">
      <c r="B57" s="5"/>
      <c r="C57" s="6"/>
      <c r="D57" s="6"/>
      <c r="E57" s="6"/>
      <c r="F57" s="6"/>
      <c r="G57" s="6"/>
      <c r="H57" s="6"/>
      <c r="I57" s="6"/>
      <c r="J57" s="6"/>
    </row>
    <row r="58" spans="1:11" x14ac:dyDescent="0.2">
      <c r="A58" t="s">
        <v>88</v>
      </c>
      <c r="C58">
        <f>AVERAGE(C50:C56)</f>
        <v>1.3085714285714285</v>
      </c>
      <c r="D58">
        <f t="shared" ref="D58:I58" si="6">AVERAGE(D50:D56)</f>
        <v>3.6342857142857139</v>
      </c>
      <c r="E58">
        <f t="shared" si="6"/>
        <v>3.5885714285714285</v>
      </c>
      <c r="F58">
        <f t="shared" si="6"/>
        <v>4.7542857142857144</v>
      </c>
      <c r="G58">
        <f t="shared" si="6"/>
        <v>6.9071428571428566</v>
      </c>
      <c r="H58">
        <f t="shared" si="6"/>
        <v>11.411428571428571</v>
      </c>
      <c r="I58">
        <f t="shared" si="6"/>
        <v>12.855714285714287</v>
      </c>
      <c r="J58">
        <f>AVERAGE(J50:J56)</f>
        <v>23.5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4" zoomScale="70" zoomScaleNormal="70" zoomScalePageLayoutView="70" workbookViewId="0">
      <selection activeCell="N34" sqref="N34"/>
    </sheetView>
  </sheetViews>
  <sheetFormatPr baseColWidth="10" defaultColWidth="8.83203125" defaultRowHeight="15" x14ac:dyDescent="0.2"/>
  <cols>
    <col min="2" max="2" width="11.6640625" customWidth="1"/>
  </cols>
  <sheetData>
    <row r="1" spans="1:13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3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  <c r="H2" s="1">
        <v>300</v>
      </c>
      <c r="I2" s="1">
        <v>360</v>
      </c>
      <c r="J2" s="1">
        <v>420</v>
      </c>
      <c r="K2" t="s">
        <v>24</v>
      </c>
    </row>
    <row r="3" spans="1:13" x14ac:dyDescent="0.2">
      <c r="A3" t="s">
        <v>78</v>
      </c>
    </row>
    <row r="4" spans="1:13" x14ac:dyDescent="0.2">
      <c r="B4" s="1" t="s">
        <v>12</v>
      </c>
      <c r="C4" s="1">
        <v>41.07</v>
      </c>
      <c r="D4" s="1">
        <v>26.26</v>
      </c>
      <c r="E4" s="1">
        <v>19.2</v>
      </c>
      <c r="F4" s="1">
        <v>33.18</v>
      </c>
      <c r="G4" s="1">
        <v>34.71</v>
      </c>
      <c r="H4" s="1">
        <v>27.6</v>
      </c>
      <c r="I4" s="1">
        <v>26</v>
      </c>
      <c r="J4" s="1">
        <v>12.64</v>
      </c>
      <c r="K4">
        <f>AVERAGE(C4:F4)</f>
        <v>29.927500000000002</v>
      </c>
      <c r="L4" s="1">
        <v>1</v>
      </c>
      <c r="M4" s="1"/>
    </row>
    <row r="5" spans="1:13" x14ac:dyDescent="0.2">
      <c r="B5" s="1" t="s">
        <v>13</v>
      </c>
      <c r="C5" s="1">
        <v>13.74</v>
      </c>
      <c r="D5" s="1">
        <v>19.079999999999998</v>
      </c>
      <c r="E5" s="1">
        <v>24.36</v>
      </c>
      <c r="F5" s="1">
        <v>31.36</v>
      </c>
      <c r="G5" s="1">
        <v>28.49</v>
      </c>
      <c r="H5" s="1">
        <v>25.89</v>
      </c>
      <c r="I5" s="1">
        <v>32.479999999999997</v>
      </c>
      <c r="J5" s="1">
        <v>20.34</v>
      </c>
      <c r="K5">
        <f t="shared" ref="K5:K12" si="0">AVERAGE(C5:F5)</f>
        <v>22.134999999999998</v>
      </c>
      <c r="L5" s="1">
        <v>1</v>
      </c>
      <c r="M5" s="1"/>
    </row>
    <row r="6" spans="1:13" x14ac:dyDescent="0.2">
      <c r="B6" s="1" t="s">
        <v>15</v>
      </c>
      <c r="C6" s="1">
        <v>8.0399999999999991</v>
      </c>
      <c r="D6" s="1">
        <v>12.83</v>
      </c>
      <c r="E6" s="1">
        <v>25.25</v>
      </c>
      <c r="F6" s="1">
        <v>21.32</v>
      </c>
      <c r="G6" s="1">
        <v>19.11</v>
      </c>
      <c r="H6" s="1">
        <v>28.12</v>
      </c>
      <c r="I6" s="1">
        <v>24.58</v>
      </c>
      <c r="J6" s="1">
        <v>34.97</v>
      </c>
      <c r="K6">
        <f t="shared" si="0"/>
        <v>16.86</v>
      </c>
      <c r="L6" s="1">
        <v>1</v>
      </c>
      <c r="M6" s="1"/>
    </row>
    <row r="7" spans="1:13" x14ac:dyDescent="0.2">
      <c r="B7" s="1" t="s">
        <v>25</v>
      </c>
      <c r="C7" s="1">
        <v>16.29</v>
      </c>
      <c r="D7" s="1">
        <v>26.45</v>
      </c>
      <c r="E7" s="1">
        <v>21.9</v>
      </c>
      <c r="F7" s="1">
        <v>26.15</v>
      </c>
      <c r="G7" s="1">
        <v>15.85</v>
      </c>
      <c r="H7" s="1">
        <v>26.34</v>
      </c>
      <c r="I7" s="1">
        <v>17.649999999999999</v>
      </c>
      <c r="J7" s="1">
        <v>7.49</v>
      </c>
      <c r="K7">
        <f t="shared" si="0"/>
        <v>22.697499999999998</v>
      </c>
      <c r="L7" s="1">
        <v>1</v>
      </c>
      <c r="M7" s="1"/>
    </row>
    <row r="8" spans="1:13" x14ac:dyDescent="0.2">
      <c r="B8" s="1" t="s">
        <v>26</v>
      </c>
      <c r="C8" s="1">
        <v>12.72</v>
      </c>
      <c r="D8" s="1">
        <v>29.8</v>
      </c>
      <c r="E8" s="1">
        <v>23.46</v>
      </c>
      <c r="F8" s="1">
        <v>38.06</v>
      </c>
      <c r="G8" s="1">
        <v>16.309999999999999</v>
      </c>
      <c r="H8" s="1">
        <v>18.190000000000001</v>
      </c>
      <c r="I8" s="1">
        <v>22.23</v>
      </c>
      <c r="J8" s="1">
        <v>28.6</v>
      </c>
      <c r="K8">
        <f t="shared" si="0"/>
        <v>26.01</v>
      </c>
      <c r="L8" s="1">
        <v>1</v>
      </c>
      <c r="M8" s="1"/>
    </row>
    <row r="9" spans="1:13" x14ac:dyDescent="0.2">
      <c r="B9" s="1" t="s">
        <v>35</v>
      </c>
      <c r="C9" s="1">
        <v>20.54</v>
      </c>
      <c r="D9" s="1">
        <v>28.01</v>
      </c>
      <c r="E9" s="1">
        <v>12.07</v>
      </c>
      <c r="F9" s="1">
        <v>9.49</v>
      </c>
      <c r="G9" s="1">
        <v>28.91</v>
      </c>
      <c r="H9" s="1">
        <v>17.43</v>
      </c>
      <c r="I9" s="1">
        <v>15.08</v>
      </c>
      <c r="J9" s="1">
        <v>22.01</v>
      </c>
      <c r="K9">
        <f t="shared" si="0"/>
        <v>17.5275</v>
      </c>
      <c r="L9" s="1">
        <v>1</v>
      </c>
      <c r="M9" s="1"/>
    </row>
    <row r="10" spans="1:13" x14ac:dyDescent="0.2">
      <c r="B10" s="1" t="s">
        <v>74</v>
      </c>
      <c r="C10" s="1">
        <v>24.55</v>
      </c>
      <c r="D10" s="1">
        <v>34.97</v>
      </c>
      <c r="E10" s="1">
        <v>14.17</v>
      </c>
      <c r="F10" s="1">
        <v>34.299999999999997</v>
      </c>
      <c r="G10" s="1">
        <v>19.309999999999999</v>
      </c>
      <c r="H10" s="1">
        <v>27.93</v>
      </c>
      <c r="I10" s="1">
        <v>26.12</v>
      </c>
      <c r="J10" s="1">
        <v>13.97</v>
      </c>
      <c r="K10">
        <f t="shared" si="0"/>
        <v>26.997499999999999</v>
      </c>
      <c r="L10" s="1">
        <v>1</v>
      </c>
      <c r="M10" s="1"/>
    </row>
    <row r="11" spans="1:13" x14ac:dyDescent="0.2">
      <c r="A11" s="3"/>
      <c r="B11" s="1" t="s">
        <v>46</v>
      </c>
      <c r="C11" s="1">
        <v>10.28</v>
      </c>
      <c r="D11" s="1">
        <v>8.3699999999999992</v>
      </c>
      <c r="E11" s="1">
        <v>22.57</v>
      </c>
      <c r="F11" s="1">
        <v>10.039999999999999</v>
      </c>
      <c r="G11" s="1">
        <v>27.93</v>
      </c>
      <c r="H11" s="1">
        <v>9.0399999999999991</v>
      </c>
      <c r="I11" s="1">
        <v>8.7100000000000009</v>
      </c>
      <c r="J11" s="1">
        <v>22.71</v>
      </c>
      <c r="L11" s="1">
        <v>1</v>
      </c>
      <c r="M11" s="1"/>
    </row>
    <row r="12" spans="1:13" x14ac:dyDescent="0.2">
      <c r="A12" s="3"/>
      <c r="B12" t="s">
        <v>69</v>
      </c>
      <c r="C12">
        <v>10.38</v>
      </c>
      <c r="D12">
        <v>23.02</v>
      </c>
      <c r="E12">
        <v>29.46</v>
      </c>
      <c r="F12">
        <v>30.95</v>
      </c>
      <c r="G12">
        <v>20.87</v>
      </c>
      <c r="H12">
        <v>14.54</v>
      </c>
      <c r="I12">
        <v>21.53</v>
      </c>
      <c r="J12" s="1"/>
      <c r="K12">
        <f t="shared" si="0"/>
        <v>23.452500000000001</v>
      </c>
      <c r="L12" s="1">
        <v>1</v>
      </c>
      <c r="M12" s="1"/>
    </row>
    <row r="13" spans="1:13" x14ac:dyDescent="0.2">
      <c r="A13" s="3"/>
      <c r="J13" s="1"/>
      <c r="L13" s="1"/>
      <c r="M13" s="1"/>
    </row>
    <row r="14" spans="1:13" x14ac:dyDescent="0.2">
      <c r="L14" s="1"/>
      <c r="M14" s="1"/>
    </row>
    <row r="15" spans="1:13" x14ac:dyDescent="0.2">
      <c r="A15" t="s">
        <v>11</v>
      </c>
      <c r="C15">
        <f t="shared" ref="C15:K15" si="1">AVERAGE(C4:C14)</f>
        <v>17.512222222222224</v>
      </c>
      <c r="D15">
        <f t="shared" si="1"/>
        <v>23.198888888888892</v>
      </c>
      <c r="E15">
        <f t="shared" si="1"/>
        <v>21.382222222222222</v>
      </c>
      <c r="F15">
        <f t="shared" si="1"/>
        <v>26.094444444444445</v>
      </c>
      <c r="G15">
        <f t="shared" si="1"/>
        <v>23.498888888888889</v>
      </c>
      <c r="H15">
        <f t="shared" si="1"/>
        <v>21.675555555555555</v>
      </c>
      <c r="I15">
        <f t="shared" si="1"/>
        <v>21.597777777777779</v>
      </c>
      <c r="J15">
        <f t="shared" si="1"/>
        <v>20.341250000000002</v>
      </c>
      <c r="K15">
        <f t="shared" si="1"/>
        <v>23.200937500000002</v>
      </c>
      <c r="L15" s="1"/>
      <c r="M15" s="1"/>
    </row>
    <row r="16" spans="1:13" x14ac:dyDescent="0.2">
      <c r="M16" s="1"/>
    </row>
    <row r="17" spans="1:13" x14ac:dyDescent="0.2">
      <c r="A17" t="s">
        <v>80</v>
      </c>
    </row>
    <row r="18" spans="1:13" x14ac:dyDescent="0.2">
      <c r="B18" s="4" t="s">
        <v>14</v>
      </c>
      <c r="C18" s="1">
        <v>28.83</v>
      </c>
      <c r="D18" s="1">
        <v>50.89</v>
      </c>
      <c r="E18" s="1">
        <v>20.45</v>
      </c>
      <c r="F18" s="1">
        <v>5.0199999999999996</v>
      </c>
      <c r="G18" s="1">
        <v>23.44</v>
      </c>
      <c r="H18" s="1">
        <v>27.15</v>
      </c>
      <c r="I18" s="1">
        <v>42.86</v>
      </c>
      <c r="J18" s="1">
        <v>36.020000000000003</v>
      </c>
      <c r="K18">
        <f t="shared" ref="K18:K21" si="2">AVERAGE(C18:F18)</f>
        <v>26.297499999999999</v>
      </c>
      <c r="L18" s="1">
        <v>2</v>
      </c>
    </row>
    <row r="19" spans="1:13" x14ac:dyDescent="0.2">
      <c r="B19" s="4" t="s">
        <v>27</v>
      </c>
      <c r="C19" s="1">
        <v>25.14</v>
      </c>
      <c r="D19" s="1">
        <v>41.74</v>
      </c>
      <c r="E19" s="1">
        <v>28.83</v>
      </c>
      <c r="F19" s="1">
        <v>43.3</v>
      </c>
      <c r="G19" s="1">
        <v>27.93</v>
      </c>
      <c r="H19" s="1">
        <v>17.41</v>
      </c>
      <c r="I19" s="1">
        <v>22.32</v>
      </c>
      <c r="J19" s="1">
        <v>22.15</v>
      </c>
      <c r="K19">
        <f t="shared" si="2"/>
        <v>34.752499999999998</v>
      </c>
      <c r="L19" s="1">
        <v>2</v>
      </c>
    </row>
    <row r="20" spans="1:13" x14ac:dyDescent="0.2">
      <c r="B20" s="4" t="s">
        <v>47</v>
      </c>
      <c r="C20" s="1">
        <v>18.64</v>
      </c>
      <c r="D20" s="1">
        <v>33.85</v>
      </c>
      <c r="E20" s="1">
        <v>26.59</v>
      </c>
      <c r="F20" s="1">
        <v>19.87</v>
      </c>
      <c r="G20" s="1">
        <v>21.12</v>
      </c>
      <c r="H20" s="1">
        <v>15.07</v>
      </c>
      <c r="I20" s="1">
        <v>22.77</v>
      </c>
      <c r="J20" s="1">
        <v>8.9499999999999993</v>
      </c>
      <c r="K20">
        <f t="shared" si="2"/>
        <v>24.737500000000001</v>
      </c>
      <c r="L20" s="1">
        <v>2</v>
      </c>
      <c r="M20" s="1"/>
    </row>
    <row r="21" spans="1:13" x14ac:dyDescent="0.2">
      <c r="B21" s="1" t="s">
        <v>57</v>
      </c>
      <c r="C21" s="1">
        <v>10.83</v>
      </c>
      <c r="D21" s="1">
        <v>29.94</v>
      </c>
      <c r="E21" s="1">
        <v>39.22</v>
      </c>
      <c r="F21" s="1">
        <v>16.850000000000001</v>
      </c>
      <c r="G21" s="1">
        <v>27.68</v>
      </c>
      <c r="H21" s="1">
        <v>34.68</v>
      </c>
      <c r="I21" s="1">
        <v>24.25</v>
      </c>
      <c r="J21" s="1">
        <v>61.41</v>
      </c>
      <c r="K21">
        <f t="shared" si="2"/>
        <v>24.21</v>
      </c>
      <c r="L21" s="1">
        <v>2</v>
      </c>
      <c r="M21" s="1"/>
    </row>
    <row r="22" spans="1:13" x14ac:dyDescent="0.2">
      <c r="B22" t="s">
        <v>63</v>
      </c>
      <c r="C22">
        <v>21.32</v>
      </c>
      <c r="D22">
        <v>41.12</v>
      </c>
      <c r="E22">
        <v>41.12</v>
      </c>
      <c r="F22">
        <v>48.77</v>
      </c>
      <c r="G22">
        <v>48.6</v>
      </c>
      <c r="H22">
        <v>29.58</v>
      </c>
      <c r="I22">
        <v>42.3</v>
      </c>
      <c r="K22">
        <f>AVERAGE(C22:F22)</f>
        <v>38.082500000000003</v>
      </c>
      <c r="L22" s="1">
        <v>2</v>
      </c>
      <c r="M22" s="1"/>
    </row>
    <row r="23" spans="1:13" x14ac:dyDescent="0.2">
      <c r="B23" t="s">
        <v>64</v>
      </c>
      <c r="C23">
        <v>11.17</v>
      </c>
      <c r="D23">
        <v>52.01</v>
      </c>
      <c r="E23">
        <v>25.67</v>
      </c>
      <c r="F23">
        <v>23.02</v>
      </c>
      <c r="G23">
        <v>44.42</v>
      </c>
      <c r="H23">
        <v>34.97</v>
      </c>
      <c r="I23">
        <v>20.2</v>
      </c>
      <c r="K23">
        <f>AVERAGE(C23:F23)</f>
        <v>27.967499999999998</v>
      </c>
      <c r="L23" s="1">
        <v>2</v>
      </c>
      <c r="M23" s="1"/>
    </row>
    <row r="24" spans="1:13" x14ac:dyDescent="0.2">
      <c r="B24" t="s">
        <v>65</v>
      </c>
      <c r="C24">
        <v>4.24</v>
      </c>
      <c r="D24">
        <v>31.92</v>
      </c>
      <c r="E24">
        <v>36.869999999999997</v>
      </c>
      <c r="F24">
        <v>64.62</v>
      </c>
      <c r="G24">
        <v>17.09</v>
      </c>
      <c r="H24">
        <v>17.52</v>
      </c>
      <c r="I24">
        <v>15.08</v>
      </c>
      <c r="K24">
        <f>AVERAGE(C24:F24)</f>
        <v>34.412500000000001</v>
      </c>
      <c r="L24" s="1">
        <v>2</v>
      </c>
      <c r="M24" s="1"/>
    </row>
    <row r="25" spans="1:13" x14ac:dyDescent="0.2">
      <c r="L25" s="1">
        <v>2</v>
      </c>
      <c r="M25" s="1"/>
    </row>
    <row r="26" spans="1:13" x14ac:dyDescent="0.2">
      <c r="L26" s="1"/>
      <c r="M26" s="1"/>
    </row>
    <row r="27" spans="1:13" x14ac:dyDescent="0.2">
      <c r="L27" s="1"/>
      <c r="M27" s="1"/>
    </row>
    <row r="28" spans="1:13" x14ac:dyDescent="0.2">
      <c r="L28" s="1"/>
    </row>
    <row r="29" spans="1:13" x14ac:dyDescent="0.2">
      <c r="A29" t="s">
        <v>11</v>
      </c>
      <c r="B29" s="3" t="s">
        <v>66</v>
      </c>
      <c r="C29">
        <f t="shared" ref="C29:K29" si="3">AVERAGE(C18:C28)</f>
        <v>17.167142857142856</v>
      </c>
      <c r="D29">
        <f t="shared" si="3"/>
        <v>40.209999999999994</v>
      </c>
      <c r="E29">
        <f t="shared" si="3"/>
        <v>31.25</v>
      </c>
      <c r="F29">
        <f t="shared" si="3"/>
        <v>31.63571428571429</v>
      </c>
      <c r="G29">
        <f t="shared" si="3"/>
        <v>30.04</v>
      </c>
      <c r="H29">
        <f t="shared" si="3"/>
        <v>25.197142857142861</v>
      </c>
      <c r="I29">
        <f t="shared" si="3"/>
        <v>27.111428571428572</v>
      </c>
      <c r="J29">
        <f t="shared" si="3"/>
        <v>32.1325</v>
      </c>
      <c r="K29">
        <f t="shared" si="3"/>
        <v>30.065714285714286</v>
      </c>
      <c r="L29" s="1"/>
    </row>
    <row r="30" spans="1:13" x14ac:dyDescent="0.2">
      <c r="B30" s="3"/>
      <c r="L30" s="1"/>
    </row>
    <row r="31" spans="1:13" x14ac:dyDescent="0.2">
      <c r="A31" t="s">
        <v>79</v>
      </c>
      <c r="B31" s="1" t="s">
        <v>16</v>
      </c>
      <c r="C31" s="1">
        <v>16.41</v>
      </c>
      <c r="D31" s="1">
        <v>34.409999999999997</v>
      </c>
      <c r="E31" s="1">
        <v>42.63</v>
      </c>
      <c r="F31" s="1">
        <v>13.52</v>
      </c>
      <c r="G31" s="1">
        <v>19.53</v>
      </c>
      <c r="H31" s="1">
        <v>21.12</v>
      </c>
      <c r="I31" s="1">
        <v>9.15</v>
      </c>
      <c r="J31" s="1">
        <v>30.2</v>
      </c>
      <c r="K31">
        <f t="shared" ref="K31:K37" si="4">AVERAGE(C31:F31)</f>
        <v>26.742499999999996</v>
      </c>
      <c r="L31" s="1">
        <v>3</v>
      </c>
    </row>
    <row r="32" spans="1:13" x14ac:dyDescent="0.2">
      <c r="A32" s="3"/>
      <c r="B32" s="4" t="s">
        <v>17</v>
      </c>
      <c r="C32" s="1">
        <v>24.89</v>
      </c>
      <c r="D32" s="1">
        <v>11.83</v>
      </c>
      <c r="E32" s="1">
        <v>13.85</v>
      </c>
      <c r="F32" s="1">
        <v>9.7100000000000009</v>
      </c>
      <c r="G32" s="1">
        <v>7.37</v>
      </c>
      <c r="H32" s="1">
        <v>19.309999999999999</v>
      </c>
      <c r="I32" s="1">
        <v>15.53</v>
      </c>
      <c r="J32" s="1">
        <v>15.42</v>
      </c>
      <c r="K32">
        <f t="shared" si="4"/>
        <v>15.07</v>
      </c>
      <c r="L32" s="1">
        <v>3</v>
      </c>
    </row>
    <row r="33" spans="1:13" x14ac:dyDescent="0.2">
      <c r="A33" s="3"/>
      <c r="B33" s="1" t="s">
        <v>36</v>
      </c>
      <c r="C33" s="1">
        <v>20.22</v>
      </c>
      <c r="D33" s="1">
        <v>22.23</v>
      </c>
      <c r="E33" s="1">
        <v>23.44</v>
      </c>
      <c r="F33" s="1">
        <v>8.83</v>
      </c>
      <c r="G33" s="1">
        <v>10.16</v>
      </c>
      <c r="H33" s="1">
        <v>18.66</v>
      </c>
      <c r="I33" s="1">
        <v>15.51</v>
      </c>
      <c r="J33" s="1">
        <v>17</v>
      </c>
      <c r="K33">
        <f t="shared" si="4"/>
        <v>18.68</v>
      </c>
      <c r="L33" s="1">
        <v>3</v>
      </c>
    </row>
    <row r="34" spans="1:13" x14ac:dyDescent="0.2">
      <c r="A34" s="3"/>
      <c r="B34" s="1" t="s">
        <v>37</v>
      </c>
      <c r="C34" s="1">
        <v>6.48</v>
      </c>
      <c r="D34" s="1">
        <v>20.420000000000002</v>
      </c>
      <c r="E34" s="1">
        <v>7.14</v>
      </c>
      <c r="F34" s="1">
        <v>18.86</v>
      </c>
      <c r="G34" s="1">
        <v>13.07</v>
      </c>
      <c r="H34" s="1">
        <v>15.2</v>
      </c>
      <c r="I34" s="1">
        <v>34.93</v>
      </c>
      <c r="J34" s="1">
        <v>15.42</v>
      </c>
      <c r="K34">
        <f t="shared" si="4"/>
        <v>13.225</v>
      </c>
      <c r="L34" s="1">
        <v>3</v>
      </c>
    </row>
    <row r="35" spans="1:13" x14ac:dyDescent="0.2">
      <c r="A35" s="3"/>
      <c r="B35" s="1" t="s">
        <v>54</v>
      </c>
      <c r="C35" s="1">
        <v>15.08</v>
      </c>
      <c r="D35" s="1">
        <v>18.86</v>
      </c>
      <c r="E35" s="1">
        <v>13.07</v>
      </c>
      <c r="F35" s="1">
        <v>25.78</v>
      </c>
      <c r="G35" s="1">
        <v>23.13</v>
      </c>
      <c r="H35" s="1">
        <v>16.52</v>
      </c>
      <c r="I35" s="1">
        <v>24.92</v>
      </c>
      <c r="J35" s="1">
        <v>11.4</v>
      </c>
      <c r="K35">
        <f t="shared" si="4"/>
        <v>18.197499999999998</v>
      </c>
      <c r="L35" s="1">
        <v>3</v>
      </c>
    </row>
    <row r="36" spans="1:13" x14ac:dyDescent="0.2">
      <c r="A36" s="3"/>
      <c r="B36" s="1" t="s">
        <v>55</v>
      </c>
      <c r="C36" s="1">
        <v>7.59</v>
      </c>
      <c r="D36" s="1">
        <v>5.7</v>
      </c>
      <c r="E36" s="1">
        <v>4.58</v>
      </c>
      <c r="F36" s="1">
        <v>18.86</v>
      </c>
      <c r="G36" s="1">
        <v>3.8</v>
      </c>
      <c r="H36" s="1">
        <v>13.84</v>
      </c>
      <c r="I36" s="1">
        <v>8.7200000000000006</v>
      </c>
      <c r="J36" s="1">
        <v>15.64</v>
      </c>
      <c r="K36">
        <f t="shared" si="4"/>
        <v>9.1824999999999992</v>
      </c>
      <c r="L36" s="1">
        <v>3</v>
      </c>
    </row>
    <row r="37" spans="1:13" x14ac:dyDescent="0.2">
      <c r="B37" s="1" t="s">
        <v>58</v>
      </c>
      <c r="C37" s="1">
        <v>13.52</v>
      </c>
      <c r="D37" s="1">
        <v>26</v>
      </c>
      <c r="E37" s="1">
        <v>1.01</v>
      </c>
      <c r="F37" s="1">
        <v>7.92</v>
      </c>
      <c r="G37" s="1">
        <v>5.03</v>
      </c>
      <c r="H37" s="1">
        <v>8.3699999999999992</v>
      </c>
      <c r="I37" s="1">
        <v>3.91</v>
      </c>
      <c r="J37" s="1">
        <v>2.46</v>
      </c>
      <c r="K37">
        <f t="shared" si="4"/>
        <v>12.112499999999999</v>
      </c>
      <c r="L37" s="1">
        <v>3</v>
      </c>
    </row>
    <row r="38" spans="1:13" x14ac:dyDescent="0.2">
      <c r="B38" t="s">
        <v>67</v>
      </c>
      <c r="C38">
        <v>9.27</v>
      </c>
      <c r="D38">
        <v>4.6900000000000004</v>
      </c>
      <c r="E38">
        <v>11.28</v>
      </c>
      <c r="F38">
        <v>8.15</v>
      </c>
      <c r="G38">
        <v>8.83</v>
      </c>
      <c r="H38">
        <v>3.02</v>
      </c>
      <c r="I38">
        <v>7.54</v>
      </c>
      <c r="K38">
        <f>AVERAGE(C38:F38)</f>
        <v>8.3475000000000001</v>
      </c>
      <c r="L38" s="1">
        <v>3</v>
      </c>
      <c r="M38" s="1"/>
    </row>
    <row r="39" spans="1:13" x14ac:dyDescent="0.2">
      <c r="B39" s="5"/>
      <c r="C39" s="6"/>
      <c r="D39" s="6"/>
      <c r="E39" s="6"/>
      <c r="F39" s="6"/>
      <c r="G39" s="6"/>
      <c r="H39" s="6"/>
      <c r="I39" s="6"/>
      <c r="J39" s="6"/>
      <c r="L39" s="1"/>
      <c r="M39" s="1"/>
    </row>
    <row r="40" spans="1:13" x14ac:dyDescent="0.2">
      <c r="A40" t="s">
        <v>11</v>
      </c>
      <c r="C40">
        <f>AVERAGE(C31:C38)</f>
        <v>14.182499999999999</v>
      </c>
      <c r="D40">
        <f t="shared" ref="D40:K40" si="5">AVERAGE(D31:D38)</f>
        <v>18.017499999999998</v>
      </c>
      <c r="E40">
        <f t="shared" si="5"/>
        <v>14.625</v>
      </c>
      <c r="F40">
        <f t="shared" si="5"/>
        <v>13.953750000000001</v>
      </c>
      <c r="G40">
        <f t="shared" si="5"/>
        <v>11.365</v>
      </c>
      <c r="H40">
        <f t="shared" si="5"/>
        <v>14.505000000000001</v>
      </c>
      <c r="I40">
        <f t="shared" si="5"/>
        <v>15.026250000000001</v>
      </c>
      <c r="J40">
        <f t="shared" si="5"/>
        <v>15.362857142857141</v>
      </c>
      <c r="K40">
        <f t="shared" si="5"/>
        <v>15.194687499999999</v>
      </c>
      <c r="L40" s="1"/>
      <c r="M40" s="1"/>
    </row>
    <row r="41" spans="1:13" x14ac:dyDescent="0.2">
      <c r="L41" s="1"/>
      <c r="M41" s="1"/>
    </row>
    <row r="42" spans="1:13" x14ac:dyDescent="0.2">
      <c r="A42" t="s">
        <v>48</v>
      </c>
      <c r="C42">
        <f t="shared" ref="C42:K42" si="6">TTEST(C4:C13,C18:C28,2,2)</f>
        <v>0.94451496368015864</v>
      </c>
      <c r="D42">
        <f t="shared" si="6"/>
        <v>1.555089010672506E-3</v>
      </c>
      <c r="E42">
        <f t="shared" si="6"/>
        <v>1.0034816544584229E-2</v>
      </c>
      <c r="F42">
        <f t="shared" si="6"/>
        <v>0.49970598613643269</v>
      </c>
      <c r="G42">
        <f t="shared" si="6"/>
        <v>0.18365260683274248</v>
      </c>
      <c r="H42">
        <f t="shared" si="6"/>
        <v>0.37852044969925591</v>
      </c>
      <c r="I42">
        <f t="shared" si="6"/>
        <v>0.24002298870882363</v>
      </c>
      <c r="J42">
        <f t="shared" si="6"/>
        <v>0.20991975904986757</v>
      </c>
      <c r="K42">
        <f t="shared" si="6"/>
        <v>2.0341525029589899E-2</v>
      </c>
      <c r="L42" s="1"/>
      <c r="M42" s="1"/>
    </row>
    <row r="43" spans="1:13" x14ac:dyDescent="0.2">
      <c r="A43" t="s">
        <v>49</v>
      </c>
      <c r="C43">
        <f t="shared" ref="C43:K43" si="7">TTEST(C4:C13,C32:C39,2,2)</f>
        <v>0.43264406008032308</v>
      </c>
      <c r="D43">
        <f t="shared" si="7"/>
        <v>9.7103925463463678E-2</v>
      </c>
      <c r="E43">
        <f t="shared" si="7"/>
        <v>4.5503516858528097E-3</v>
      </c>
      <c r="F43">
        <f t="shared" si="7"/>
        <v>2.0130578270100931E-2</v>
      </c>
      <c r="G43">
        <f t="shared" si="7"/>
        <v>1.2903687562380588E-3</v>
      </c>
      <c r="H43">
        <f t="shared" si="7"/>
        <v>2.8020480276308508E-2</v>
      </c>
      <c r="I43">
        <f t="shared" si="7"/>
        <v>0.22040119496373842</v>
      </c>
      <c r="J43">
        <f t="shared" si="7"/>
        <v>9.679867536604167E-2</v>
      </c>
      <c r="K43">
        <f t="shared" si="7"/>
        <v>7.9762371044005435E-4</v>
      </c>
      <c r="L43" s="1"/>
      <c r="M43" s="1"/>
    </row>
    <row r="44" spans="1:13" x14ac:dyDescent="0.2">
      <c r="A44" t="s">
        <v>50</v>
      </c>
      <c r="C44">
        <f t="shared" ref="C44:K44" si="8">TTEST(C18:C28,C32:C39,2,2)</f>
        <v>0.44686440713744557</v>
      </c>
      <c r="D44">
        <f t="shared" si="8"/>
        <v>1.7795914490688111E-4</v>
      </c>
      <c r="E44">
        <f t="shared" si="8"/>
        <v>2.668151433305273E-4</v>
      </c>
      <c r="F44">
        <f t="shared" si="8"/>
        <v>5.7646643954915006E-2</v>
      </c>
      <c r="G44">
        <f t="shared" si="8"/>
        <v>2.2356466603876191E-3</v>
      </c>
      <c r="H44">
        <f t="shared" si="8"/>
        <v>1.1423145571567593E-2</v>
      </c>
      <c r="I44">
        <f t="shared" si="8"/>
        <v>7.7969001694103646E-2</v>
      </c>
      <c r="J44">
        <f t="shared" si="8"/>
        <v>7.2122855523103505E-2</v>
      </c>
      <c r="K44">
        <f t="shared" si="8"/>
        <v>3.7047229606362819E-5</v>
      </c>
      <c r="L44" s="1"/>
    </row>
    <row r="47" spans="1:13" x14ac:dyDescent="0.2">
      <c r="A47" t="s">
        <v>89</v>
      </c>
      <c r="B47" s="1" t="s">
        <v>90</v>
      </c>
      <c r="C47" s="1">
        <v>0</v>
      </c>
      <c r="D47" s="1">
        <v>26.26</v>
      </c>
      <c r="E47" s="1">
        <v>23.24</v>
      </c>
      <c r="F47" s="1">
        <v>26.79</v>
      </c>
      <c r="G47" s="1">
        <v>8.7100000000000009</v>
      </c>
      <c r="H47" s="1">
        <v>10.95</v>
      </c>
      <c r="I47" s="1">
        <v>13.06</v>
      </c>
      <c r="J47" s="1">
        <v>8.0500000000000007</v>
      </c>
      <c r="K47">
        <f>AVERAGE(C47:F47)</f>
        <v>19.072499999999998</v>
      </c>
      <c r="L47" s="1">
        <v>4</v>
      </c>
    </row>
    <row r="48" spans="1:13" x14ac:dyDescent="0.2">
      <c r="B48" s="1" t="s">
        <v>91</v>
      </c>
      <c r="C48" s="1">
        <v>24.67</v>
      </c>
      <c r="D48" s="1">
        <v>38.619999999999997</v>
      </c>
      <c r="E48" s="1">
        <v>28.94</v>
      </c>
      <c r="F48" s="1">
        <v>36.270000000000003</v>
      </c>
      <c r="G48" s="1">
        <v>27.49</v>
      </c>
      <c r="H48" s="1">
        <v>27.57</v>
      </c>
      <c r="I48" s="1">
        <v>1.01</v>
      </c>
      <c r="J48" s="1">
        <v>13.52</v>
      </c>
      <c r="K48">
        <f t="shared" ref="K48:K53" si="9">AVERAGE(C48:F48)</f>
        <v>32.125</v>
      </c>
      <c r="L48" s="1">
        <v>4</v>
      </c>
    </row>
    <row r="49" spans="1:12" x14ac:dyDescent="0.2">
      <c r="B49" s="1" t="s">
        <v>92</v>
      </c>
      <c r="C49" s="1">
        <v>29.46</v>
      </c>
      <c r="D49" s="1">
        <v>25</v>
      </c>
      <c r="E49" s="1">
        <v>41.45</v>
      </c>
      <c r="F49" s="1">
        <v>7.48</v>
      </c>
      <c r="G49" s="1">
        <v>8.16</v>
      </c>
      <c r="H49" s="1">
        <v>24.33</v>
      </c>
      <c r="I49" s="1">
        <v>22.99</v>
      </c>
      <c r="J49" s="1">
        <v>3.13</v>
      </c>
      <c r="K49">
        <f t="shared" si="9"/>
        <v>25.8475</v>
      </c>
      <c r="L49" s="1">
        <v>4</v>
      </c>
    </row>
    <row r="50" spans="1:12" x14ac:dyDescent="0.2">
      <c r="B50" s="1" t="s">
        <v>93</v>
      </c>
      <c r="C50" s="1">
        <v>1.23</v>
      </c>
      <c r="D50" s="1">
        <v>12.07</v>
      </c>
      <c r="E50" s="1">
        <v>18.86</v>
      </c>
      <c r="F50" s="1">
        <v>15.08</v>
      </c>
      <c r="G50" s="1">
        <v>4.58</v>
      </c>
      <c r="H50" s="1">
        <v>4.25</v>
      </c>
      <c r="I50" s="1">
        <v>16.54</v>
      </c>
      <c r="J50" s="1">
        <v>5.7</v>
      </c>
      <c r="K50">
        <f t="shared" si="9"/>
        <v>11.809999999999999</v>
      </c>
      <c r="L50" s="1">
        <v>4</v>
      </c>
    </row>
    <row r="51" spans="1:12" x14ac:dyDescent="0.2">
      <c r="B51" s="1" t="s">
        <v>94</v>
      </c>
      <c r="C51" s="1">
        <v>23.1</v>
      </c>
      <c r="D51" s="1">
        <v>50.28</v>
      </c>
      <c r="E51" s="1">
        <v>38.729999999999997</v>
      </c>
      <c r="F51" s="1">
        <v>23.58</v>
      </c>
      <c r="G51" s="1">
        <v>11.72</v>
      </c>
      <c r="H51" s="1">
        <v>3.46</v>
      </c>
      <c r="I51" s="1">
        <v>3.35</v>
      </c>
      <c r="J51" s="1">
        <v>7.16</v>
      </c>
      <c r="K51">
        <f t="shared" si="9"/>
        <v>33.922499999999999</v>
      </c>
      <c r="L51" s="1">
        <v>4</v>
      </c>
    </row>
    <row r="52" spans="1:12" x14ac:dyDescent="0.2">
      <c r="B52" s="5" t="s">
        <v>106</v>
      </c>
      <c r="C52" s="6">
        <v>26.15</v>
      </c>
      <c r="D52" s="6">
        <v>39.51</v>
      </c>
      <c r="E52" s="6">
        <v>34.71</v>
      </c>
      <c r="F52" s="6">
        <v>14.64</v>
      </c>
      <c r="G52" s="6">
        <v>14.97</v>
      </c>
      <c r="H52" s="6">
        <v>32.14</v>
      </c>
      <c r="I52" s="6">
        <v>12.85</v>
      </c>
      <c r="J52" s="6">
        <v>26.7</v>
      </c>
      <c r="K52">
        <f t="shared" si="9"/>
        <v>28.752500000000001</v>
      </c>
      <c r="L52" s="1">
        <v>4</v>
      </c>
    </row>
    <row r="53" spans="1:12" x14ac:dyDescent="0.2">
      <c r="B53" s="5" t="s">
        <v>107</v>
      </c>
      <c r="C53" s="6">
        <v>12.83</v>
      </c>
      <c r="D53" s="6">
        <v>31.4</v>
      </c>
      <c r="E53" s="6">
        <v>40.85</v>
      </c>
      <c r="F53" s="6">
        <v>48.6</v>
      </c>
      <c r="G53" s="6">
        <v>52.57</v>
      </c>
      <c r="H53" s="6">
        <v>39.33</v>
      </c>
      <c r="I53" s="6">
        <v>4.3499999999999996</v>
      </c>
      <c r="J53" s="6">
        <v>18.100000000000001</v>
      </c>
      <c r="K53">
        <f t="shared" si="9"/>
        <v>33.42</v>
      </c>
      <c r="L53" s="1">
        <v>4</v>
      </c>
    </row>
    <row r="54" spans="1:12" x14ac:dyDescent="0.2">
      <c r="B54" s="5"/>
      <c r="C54" s="6"/>
      <c r="D54" s="6"/>
      <c r="E54" s="6"/>
      <c r="F54" s="6"/>
      <c r="G54" s="6"/>
      <c r="H54" s="6"/>
      <c r="I54" s="6"/>
      <c r="J54" s="6"/>
    </row>
    <row r="58" spans="1:12" x14ac:dyDescent="0.2">
      <c r="B58" s="1" t="s">
        <v>95</v>
      </c>
      <c r="C58">
        <f>AVERAGE(C47:C54)</f>
        <v>16.777142857142859</v>
      </c>
      <c r="D58">
        <f t="shared" ref="D58:K58" si="10">AVERAGE(D47:D54)</f>
        <v>31.877142857142854</v>
      </c>
      <c r="E58">
        <f t="shared" si="10"/>
        <v>32.39714285714286</v>
      </c>
      <c r="F58">
        <f t="shared" si="10"/>
        <v>24.634285714285713</v>
      </c>
      <c r="G58">
        <f t="shared" si="10"/>
        <v>18.314285714285713</v>
      </c>
      <c r="H58">
        <f t="shared" si="10"/>
        <v>20.289999999999996</v>
      </c>
      <c r="I58">
        <f t="shared" si="10"/>
        <v>10.592857142857142</v>
      </c>
      <c r="J58">
        <f t="shared" si="10"/>
        <v>11.765714285714287</v>
      </c>
      <c r="K58">
        <f t="shared" si="10"/>
        <v>26.421428571428571</v>
      </c>
    </row>
    <row r="61" spans="1:12" x14ac:dyDescent="0.2">
      <c r="A61" t="s">
        <v>96</v>
      </c>
      <c r="C61">
        <f t="shared" ref="C61:K61" si="11">TTEST(C4:C13,C47:C53,2,2)</f>
        <v>0.89761862888009514</v>
      </c>
      <c r="D61">
        <f t="shared" si="11"/>
        <v>0.11653190553317101</v>
      </c>
      <c r="E61">
        <f t="shared" si="11"/>
        <v>8.559610859194846E-3</v>
      </c>
      <c r="F61">
        <f t="shared" si="11"/>
        <v>0.81508087414602626</v>
      </c>
      <c r="G61">
        <f t="shared" si="11"/>
        <v>0.40949647974454129</v>
      </c>
      <c r="H61">
        <f t="shared" si="11"/>
        <v>0.80053969755615084</v>
      </c>
      <c r="I61">
        <f t="shared" si="11"/>
        <v>1.0872019620402804E-2</v>
      </c>
      <c r="J61">
        <f t="shared" si="11"/>
        <v>7.7082430566311269E-2</v>
      </c>
      <c r="K61">
        <f t="shared" si="11"/>
        <v>0.35721823772854766</v>
      </c>
    </row>
    <row r="62" spans="1:12" x14ac:dyDescent="0.2">
      <c r="A62" t="s">
        <v>97</v>
      </c>
      <c r="C62">
        <f t="shared" ref="C62:J62" si="12">TTEST(C31:C39,C47:C53,2,2)</f>
        <v>0.6066953500299368</v>
      </c>
      <c r="D62">
        <f t="shared" si="12"/>
        <v>3.2958712827971762E-2</v>
      </c>
      <c r="E62">
        <f t="shared" si="12"/>
        <v>1.0120629940076068E-2</v>
      </c>
      <c r="F62">
        <f t="shared" si="12"/>
        <v>7.7213499718604334E-2</v>
      </c>
      <c r="G62">
        <f t="shared" si="12"/>
        <v>0.30161619620881414</v>
      </c>
      <c r="H62">
        <f t="shared" si="12"/>
        <v>0.31053964679434237</v>
      </c>
      <c r="I62">
        <f t="shared" si="12"/>
        <v>0.37533679814548038</v>
      </c>
      <c r="J62">
        <f t="shared" si="12"/>
        <v>0.43082253135372095</v>
      </c>
      <c r="K62">
        <f>TTEST(K31:K38,K47:K51,2,2)</f>
        <v>4.6559925390927646E-2</v>
      </c>
    </row>
    <row r="63" spans="1:12" x14ac:dyDescent="0.2">
      <c r="A63" t="s">
        <v>103</v>
      </c>
      <c r="C63">
        <f t="shared" ref="C63:K63" si="13">TTEST(C18:C25,C47:C53,2,2)</f>
        <v>0.9463295518253152</v>
      </c>
      <c r="D63">
        <f t="shared" si="13"/>
        <v>0.17237748633976263</v>
      </c>
      <c r="E63">
        <f t="shared" si="13"/>
        <v>0.80256599181062949</v>
      </c>
      <c r="F63">
        <f t="shared" si="13"/>
        <v>0.479107105188184</v>
      </c>
      <c r="G63">
        <f t="shared" si="13"/>
        <v>0.15810135998316163</v>
      </c>
      <c r="H63">
        <f t="shared" si="13"/>
        <v>0.4462389937088147</v>
      </c>
      <c r="I63">
        <f t="shared" si="13"/>
        <v>7.3430268336156313E-3</v>
      </c>
      <c r="J63">
        <f t="shared" si="13"/>
        <v>5.3252543493662333E-2</v>
      </c>
      <c r="K63">
        <f t="shared" si="13"/>
        <v>0.3529934686094901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3" zoomScale="80" zoomScaleNormal="80" zoomScalePageLayoutView="80" workbookViewId="0">
      <selection sqref="A1:G53"/>
    </sheetView>
  </sheetViews>
  <sheetFormatPr baseColWidth="10" defaultColWidth="8.83203125" defaultRowHeight="15" x14ac:dyDescent="0.2"/>
  <cols>
    <col min="2" max="2" width="11.6640625" customWidth="1"/>
  </cols>
  <sheetData>
    <row r="1" spans="1:10" x14ac:dyDescent="0.2">
      <c r="A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">
      <c r="A2" s="1" t="s">
        <v>1</v>
      </c>
      <c r="C2" s="1">
        <v>0</v>
      </c>
      <c r="D2" s="1">
        <v>60</v>
      </c>
      <c r="E2" s="1">
        <v>120</v>
      </c>
      <c r="F2" s="1">
        <v>180</v>
      </c>
      <c r="G2" s="1">
        <v>240</v>
      </c>
    </row>
    <row r="4" spans="1:10" x14ac:dyDescent="0.2">
      <c r="A4" t="s">
        <v>78</v>
      </c>
      <c r="B4" s="1" t="s">
        <v>18</v>
      </c>
      <c r="C4" s="1">
        <v>3.91</v>
      </c>
      <c r="D4" s="1">
        <v>1.68</v>
      </c>
      <c r="E4" s="1">
        <v>0.89</v>
      </c>
      <c r="F4" s="1">
        <v>24.47</v>
      </c>
      <c r="G4" s="1">
        <v>5.25</v>
      </c>
    </row>
    <row r="5" spans="1:10" x14ac:dyDescent="0.2">
      <c r="B5" s="1" t="s">
        <v>19</v>
      </c>
      <c r="C5" s="1">
        <v>0</v>
      </c>
      <c r="D5" s="1">
        <v>0</v>
      </c>
      <c r="E5" s="1">
        <v>0</v>
      </c>
      <c r="F5" s="1">
        <v>23.24</v>
      </c>
      <c r="G5" s="1">
        <v>0</v>
      </c>
    </row>
    <row r="6" spans="1:10" x14ac:dyDescent="0.2">
      <c r="B6" s="1" t="s">
        <v>21</v>
      </c>
      <c r="C6" s="1">
        <v>0</v>
      </c>
      <c r="D6" s="1">
        <v>0</v>
      </c>
      <c r="E6" s="1">
        <v>5.0199999999999996</v>
      </c>
      <c r="F6" s="1">
        <v>3.13</v>
      </c>
      <c r="G6" s="1">
        <v>3.69</v>
      </c>
    </row>
    <row r="7" spans="1:10" x14ac:dyDescent="0.2">
      <c r="B7" s="1" t="s">
        <v>32</v>
      </c>
      <c r="C7" s="1">
        <v>0</v>
      </c>
      <c r="D7" s="1">
        <v>0</v>
      </c>
      <c r="E7" s="1">
        <v>1.34</v>
      </c>
      <c r="F7" s="1">
        <v>9.49</v>
      </c>
      <c r="G7" s="1">
        <v>4.3499999999999996</v>
      </c>
    </row>
    <row r="8" spans="1:10" x14ac:dyDescent="0.2">
      <c r="B8" s="1" t="s">
        <v>33</v>
      </c>
      <c r="C8" s="1">
        <v>0</v>
      </c>
      <c r="D8" s="1">
        <v>1</v>
      </c>
      <c r="E8" s="1">
        <v>14.08</v>
      </c>
      <c r="F8" s="1">
        <v>4.24</v>
      </c>
      <c r="G8" s="1">
        <v>8.0399999999999991</v>
      </c>
    </row>
    <row r="9" spans="1:10" x14ac:dyDescent="0.2">
      <c r="B9" s="1" t="s">
        <v>40</v>
      </c>
      <c r="C9" s="1">
        <v>0</v>
      </c>
      <c r="D9" s="1">
        <v>1.56</v>
      </c>
      <c r="E9" s="1">
        <v>0</v>
      </c>
      <c r="F9" s="1">
        <v>23.55</v>
      </c>
      <c r="G9" s="1">
        <v>0</v>
      </c>
    </row>
    <row r="10" spans="1:10" x14ac:dyDescent="0.2">
      <c r="B10" s="1" t="s">
        <v>41</v>
      </c>
      <c r="C10" s="1">
        <v>0.11</v>
      </c>
      <c r="D10" s="1">
        <v>2.35</v>
      </c>
      <c r="E10" s="1">
        <v>0</v>
      </c>
      <c r="F10" s="1">
        <v>39.78</v>
      </c>
      <c r="G10" s="1">
        <v>8.27</v>
      </c>
    </row>
    <row r="11" spans="1:10" x14ac:dyDescent="0.2">
      <c r="A11" s="3"/>
      <c r="B11" s="1" t="s">
        <v>51</v>
      </c>
      <c r="C11" s="1">
        <v>2.12</v>
      </c>
      <c r="D11" s="1">
        <v>0</v>
      </c>
      <c r="E11" s="1">
        <v>5.14</v>
      </c>
      <c r="F11" s="1">
        <v>29.91</v>
      </c>
      <c r="G11" s="1">
        <v>24.58</v>
      </c>
    </row>
    <row r="12" spans="1:10" x14ac:dyDescent="0.2">
      <c r="A12" s="3"/>
      <c r="B12" t="s">
        <v>71</v>
      </c>
      <c r="C12">
        <v>1.23</v>
      </c>
      <c r="D12">
        <v>0</v>
      </c>
      <c r="E12">
        <v>7.6</v>
      </c>
      <c r="F12">
        <v>4.13</v>
      </c>
      <c r="G12">
        <v>9.16</v>
      </c>
    </row>
    <row r="13" spans="1:10" x14ac:dyDescent="0.2">
      <c r="A13" t="s">
        <v>11</v>
      </c>
      <c r="C13">
        <f>AVERAGE(C4:C12)</f>
        <v>0.818888888888889</v>
      </c>
      <c r="D13">
        <f t="shared" ref="D13:G13" si="0">AVERAGE(D4:D12)</f>
        <v>0.73222222222222222</v>
      </c>
      <c r="E13">
        <f t="shared" si="0"/>
        <v>3.7855555555555558</v>
      </c>
      <c r="F13">
        <f t="shared" si="0"/>
        <v>17.993333333333332</v>
      </c>
      <c r="G13">
        <f t="shared" si="0"/>
        <v>7.0377777777777766</v>
      </c>
    </row>
    <row r="16" spans="1:10" x14ac:dyDescent="0.2">
      <c r="B16" s="1" t="s">
        <v>20</v>
      </c>
      <c r="C16" s="1">
        <v>1.56</v>
      </c>
      <c r="D16" s="1">
        <v>0</v>
      </c>
      <c r="E16" s="1">
        <v>1</v>
      </c>
      <c r="F16" s="1">
        <v>8.16</v>
      </c>
      <c r="G16" s="1">
        <v>1</v>
      </c>
    </row>
    <row r="17" spans="1:7" x14ac:dyDescent="0.2">
      <c r="A17" t="s">
        <v>80</v>
      </c>
      <c r="B17" s="1" t="s">
        <v>34</v>
      </c>
      <c r="C17" s="1">
        <v>0.89</v>
      </c>
      <c r="D17" s="1">
        <v>8.7100000000000009</v>
      </c>
      <c r="E17" s="1">
        <v>1.1200000000000001</v>
      </c>
      <c r="F17" s="1">
        <v>9.3699999999999992</v>
      </c>
      <c r="G17" s="1">
        <v>5.7</v>
      </c>
    </row>
    <row r="18" spans="1:7" x14ac:dyDescent="0.2">
      <c r="A18" s="3"/>
      <c r="B18" s="1" t="s">
        <v>52</v>
      </c>
      <c r="C18" s="1">
        <v>2.23</v>
      </c>
      <c r="D18" s="1">
        <v>14.73</v>
      </c>
      <c r="E18" s="1">
        <v>4.3600000000000003</v>
      </c>
      <c r="F18" s="1">
        <v>23.46</v>
      </c>
      <c r="G18" s="1">
        <v>0</v>
      </c>
    </row>
    <row r="19" spans="1:7" x14ac:dyDescent="0.2">
      <c r="A19" s="3"/>
      <c r="B19" s="1" t="s">
        <v>59</v>
      </c>
      <c r="C19" s="1">
        <v>9.6</v>
      </c>
      <c r="D19" s="1">
        <v>0</v>
      </c>
      <c r="E19" s="1">
        <v>5.58</v>
      </c>
      <c r="F19" s="1">
        <v>33.479999999999997</v>
      </c>
      <c r="G19" s="1">
        <v>7.71</v>
      </c>
    </row>
    <row r="20" spans="1:7" x14ac:dyDescent="0.2">
      <c r="A20" s="3"/>
      <c r="B20" s="1" t="s">
        <v>75</v>
      </c>
      <c r="C20" s="1">
        <v>1.1200000000000001</v>
      </c>
      <c r="D20" s="1">
        <v>0</v>
      </c>
      <c r="E20" s="1">
        <v>3.24</v>
      </c>
      <c r="F20" s="1">
        <v>17</v>
      </c>
      <c r="G20" s="1">
        <v>7.14</v>
      </c>
    </row>
    <row r="21" spans="1:7" x14ac:dyDescent="0.2">
      <c r="A21" s="3"/>
      <c r="B21" s="1" t="s">
        <v>76</v>
      </c>
      <c r="C21" s="1">
        <v>0</v>
      </c>
      <c r="D21" s="1">
        <v>2.12</v>
      </c>
      <c r="E21" s="1">
        <v>1.9</v>
      </c>
      <c r="F21" s="1">
        <v>12.39</v>
      </c>
      <c r="G21" s="1">
        <v>14.41</v>
      </c>
    </row>
    <row r="22" spans="1:7" x14ac:dyDescent="0.2">
      <c r="A22" s="3"/>
      <c r="B22" s="1" t="s">
        <v>77</v>
      </c>
      <c r="C22" s="1">
        <v>0</v>
      </c>
      <c r="D22" s="1">
        <v>1.23</v>
      </c>
      <c r="E22" s="1">
        <v>1.34</v>
      </c>
      <c r="F22" s="1">
        <v>57.81</v>
      </c>
      <c r="G22" s="1">
        <v>31.06</v>
      </c>
    </row>
    <row r="23" spans="1:7" x14ac:dyDescent="0.2">
      <c r="A23" t="s">
        <v>11</v>
      </c>
      <c r="C23">
        <f>AVERAGE(C16:C22)</f>
        <v>2.1999999999999997</v>
      </c>
      <c r="D23">
        <f t="shared" ref="D23:G23" si="1">AVERAGE(D16:D22)</f>
        <v>3.8271428571428574</v>
      </c>
      <c r="E23">
        <f t="shared" si="1"/>
        <v>2.6485714285714286</v>
      </c>
      <c r="F23">
        <f t="shared" si="1"/>
        <v>23.095714285714287</v>
      </c>
      <c r="G23">
        <f t="shared" si="1"/>
        <v>9.574285714285713</v>
      </c>
    </row>
    <row r="26" spans="1:7" x14ac:dyDescent="0.2">
      <c r="B26" s="4"/>
      <c r="C26" s="1"/>
      <c r="D26" s="1"/>
      <c r="E26" s="1"/>
      <c r="F26" s="1"/>
      <c r="G26" s="1"/>
    </row>
    <row r="27" spans="1:7" x14ac:dyDescent="0.2">
      <c r="A27" t="s">
        <v>81</v>
      </c>
      <c r="B27" s="1" t="s">
        <v>22</v>
      </c>
      <c r="C27" s="1">
        <v>0</v>
      </c>
      <c r="D27" s="1">
        <v>0</v>
      </c>
      <c r="E27" s="1">
        <v>0</v>
      </c>
      <c r="F27" s="1">
        <v>17.079999999999998</v>
      </c>
      <c r="G27" s="1">
        <v>1.34</v>
      </c>
    </row>
    <row r="28" spans="1:7" x14ac:dyDescent="0.2">
      <c r="B28" s="1" t="s">
        <v>23</v>
      </c>
      <c r="C28" s="1">
        <v>8.15</v>
      </c>
      <c r="D28" s="1">
        <v>0.89</v>
      </c>
      <c r="E28" s="1">
        <v>3.24</v>
      </c>
      <c r="F28" s="1">
        <v>12.05</v>
      </c>
      <c r="G28" s="1">
        <v>8.94</v>
      </c>
    </row>
    <row r="29" spans="1:7" x14ac:dyDescent="0.2">
      <c r="B29" s="1" t="s">
        <v>38</v>
      </c>
      <c r="C29" s="1">
        <v>1.1200000000000001</v>
      </c>
      <c r="D29" s="1">
        <v>6.03</v>
      </c>
      <c r="E29" s="1">
        <v>0.89</v>
      </c>
      <c r="F29" s="1">
        <v>3.01</v>
      </c>
      <c r="G29" s="1">
        <v>11.17</v>
      </c>
    </row>
    <row r="30" spans="1:7" x14ac:dyDescent="0.2">
      <c r="B30" s="1" t="s">
        <v>39</v>
      </c>
      <c r="C30" s="1">
        <v>0</v>
      </c>
      <c r="D30" s="1">
        <v>12.72</v>
      </c>
      <c r="E30" s="1">
        <v>0.89</v>
      </c>
      <c r="F30" s="1">
        <v>4.46</v>
      </c>
      <c r="G30" s="1">
        <v>0.89</v>
      </c>
    </row>
    <row r="31" spans="1:7" x14ac:dyDescent="0.2">
      <c r="B31" s="1" t="s">
        <v>60</v>
      </c>
      <c r="C31" s="1">
        <v>5.03</v>
      </c>
      <c r="D31" s="1">
        <v>0</v>
      </c>
      <c r="E31" s="1">
        <v>0</v>
      </c>
      <c r="F31" s="1">
        <v>11.38</v>
      </c>
      <c r="G31" s="1">
        <v>7.82</v>
      </c>
    </row>
    <row r="32" spans="1:7" x14ac:dyDescent="0.2">
      <c r="A32" s="2"/>
      <c r="B32" s="1" t="s">
        <v>61</v>
      </c>
      <c r="C32" s="1">
        <v>0</v>
      </c>
      <c r="D32" s="1">
        <v>0</v>
      </c>
      <c r="E32" s="1">
        <v>0</v>
      </c>
      <c r="F32" s="1">
        <v>22.99</v>
      </c>
      <c r="G32" s="1">
        <v>5.25</v>
      </c>
    </row>
    <row r="33" spans="1:10" x14ac:dyDescent="0.2">
      <c r="B33" s="1" t="s">
        <v>62</v>
      </c>
      <c r="C33" s="1">
        <v>2.57</v>
      </c>
      <c r="D33" s="1">
        <v>4.24</v>
      </c>
      <c r="E33" s="1">
        <v>0</v>
      </c>
      <c r="F33" s="1">
        <v>15.42</v>
      </c>
      <c r="G33" s="1">
        <v>1</v>
      </c>
    </row>
    <row r="34" spans="1:10" x14ac:dyDescent="0.2">
      <c r="A34" s="2"/>
      <c r="B34" t="s">
        <v>70</v>
      </c>
      <c r="C34">
        <v>4.6900000000000004</v>
      </c>
      <c r="D34">
        <v>2.57</v>
      </c>
      <c r="E34">
        <v>1.45</v>
      </c>
      <c r="F34">
        <v>33.590000000000003</v>
      </c>
      <c r="G34">
        <v>10.17</v>
      </c>
    </row>
    <row r="36" spans="1:10" x14ac:dyDescent="0.2">
      <c r="A36" t="s">
        <v>11</v>
      </c>
      <c r="C36">
        <f>AVERAGE(C26:C35)</f>
        <v>2.6950000000000003</v>
      </c>
      <c r="D36">
        <f t="shared" ref="D36:G36" si="2">AVERAGE(D26:D35)</f>
        <v>3.3062500000000004</v>
      </c>
      <c r="E36">
        <f t="shared" si="2"/>
        <v>0.80874999999999997</v>
      </c>
      <c r="F36">
        <f t="shared" si="2"/>
        <v>14.9975</v>
      </c>
      <c r="G36">
        <f t="shared" si="2"/>
        <v>5.8224999999999998</v>
      </c>
    </row>
    <row r="41" spans="1:10" x14ac:dyDescent="0.2">
      <c r="A41" t="s">
        <v>48</v>
      </c>
      <c r="C41">
        <f t="shared" ref="C41:G41" si="3">TTEST(C16:C22,C4:C12,2,2)</f>
        <v>0.27929769111542885</v>
      </c>
      <c r="D41">
        <f t="shared" si="3"/>
        <v>0.12933132539851899</v>
      </c>
      <c r="E41">
        <f t="shared" si="3"/>
        <v>0.56051807714945867</v>
      </c>
      <c r="F41">
        <f t="shared" si="3"/>
        <v>0.51828746447716223</v>
      </c>
      <c r="G41">
        <f t="shared" si="3"/>
        <v>0.58085280191028765</v>
      </c>
    </row>
    <row r="42" spans="1:10" x14ac:dyDescent="0.2">
      <c r="A42" t="s">
        <v>49</v>
      </c>
      <c r="C42">
        <f t="shared" ref="C42:G42" si="4">TTEST(C4:C12,C27:C35,2,2)</f>
        <v>0.11265189335340901</v>
      </c>
      <c r="D42">
        <f t="shared" si="4"/>
        <v>0.10684039232060022</v>
      </c>
      <c r="E42">
        <f t="shared" si="4"/>
        <v>0.1059071663383825</v>
      </c>
      <c r="F42">
        <f t="shared" si="4"/>
        <v>0.60841388065223301</v>
      </c>
      <c r="G42">
        <f t="shared" si="4"/>
        <v>0.68930067490151403</v>
      </c>
    </row>
    <row r="43" spans="1:10" x14ac:dyDescent="0.2">
      <c r="A43" t="s">
        <v>50</v>
      </c>
      <c r="C43">
        <f t="shared" ref="C43:G43" si="5">TTEST(C13:C23,C27:C35,2,2)</f>
        <v>0.66032090182998604</v>
      </c>
      <c r="D43">
        <f t="shared" si="5"/>
        <v>0.94009999481020534</v>
      </c>
      <c r="E43">
        <f t="shared" si="5"/>
        <v>1.11032139661817E-2</v>
      </c>
      <c r="F43">
        <f t="shared" si="5"/>
        <v>0.25656172551638284</v>
      </c>
      <c r="G43">
        <f t="shared" si="5"/>
        <v>0.34643973210430334</v>
      </c>
    </row>
    <row r="46" spans="1:10" x14ac:dyDescent="0.2">
      <c r="A46" t="s">
        <v>82</v>
      </c>
      <c r="B46" s="1" t="s">
        <v>98</v>
      </c>
      <c r="C46" s="1">
        <v>3.57</v>
      </c>
      <c r="D46" s="1">
        <v>3.46</v>
      </c>
      <c r="E46" s="1">
        <v>1.23</v>
      </c>
      <c r="F46" s="1">
        <v>18.3</v>
      </c>
      <c r="G46" s="1">
        <v>4.3499999999999996</v>
      </c>
      <c r="H46" s="1"/>
      <c r="I46" s="1"/>
      <c r="J46" s="1"/>
    </row>
    <row r="47" spans="1:10" x14ac:dyDescent="0.2">
      <c r="B47" s="1" t="s">
        <v>99</v>
      </c>
      <c r="C47" s="1">
        <v>0</v>
      </c>
      <c r="D47" s="1">
        <v>0</v>
      </c>
      <c r="E47" s="1">
        <v>0</v>
      </c>
      <c r="F47" s="1">
        <v>33.74</v>
      </c>
      <c r="G47" s="1">
        <v>1</v>
      </c>
      <c r="H47" s="1"/>
      <c r="I47" s="1"/>
      <c r="J47" s="1"/>
    </row>
    <row r="48" spans="1:10" x14ac:dyDescent="0.2">
      <c r="B48" s="1" t="s">
        <v>100</v>
      </c>
      <c r="C48" s="1">
        <v>0.89</v>
      </c>
      <c r="D48" s="1">
        <v>0</v>
      </c>
      <c r="E48" s="1">
        <v>6.93</v>
      </c>
      <c r="F48" s="1">
        <v>43.13</v>
      </c>
      <c r="G48" s="1">
        <v>5.8</v>
      </c>
      <c r="H48" s="1"/>
      <c r="I48" s="1"/>
      <c r="J48" s="1"/>
    </row>
    <row r="49" spans="2:10" x14ac:dyDescent="0.2">
      <c r="B49" s="1" t="s">
        <v>101</v>
      </c>
      <c r="C49" s="1">
        <v>0</v>
      </c>
      <c r="D49" s="1">
        <v>0</v>
      </c>
      <c r="E49" s="1">
        <v>0</v>
      </c>
      <c r="F49" s="1">
        <v>20.34</v>
      </c>
      <c r="G49" s="1">
        <v>7.48</v>
      </c>
      <c r="H49" s="1"/>
      <c r="I49" s="1"/>
      <c r="J49" s="1"/>
    </row>
    <row r="50" spans="2:10" x14ac:dyDescent="0.2">
      <c r="B50" s="1" t="s">
        <v>102</v>
      </c>
      <c r="C50" s="1">
        <v>0</v>
      </c>
      <c r="D50" s="1">
        <v>1.01</v>
      </c>
      <c r="E50" s="1">
        <v>0</v>
      </c>
      <c r="F50" s="1">
        <v>33.299999999999997</v>
      </c>
      <c r="G50" s="1">
        <v>0</v>
      </c>
      <c r="H50" s="1"/>
      <c r="I50" s="1"/>
      <c r="J50" s="1"/>
    </row>
    <row r="51" spans="2:10" x14ac:dyDescent="0.2">
      <c r="B51" s="5" t="s">
        <v>108</v>
      </c>
      <c r="C51" s="6">
        <v>7.14</v>
      </c>
      <c r="D51" s="6">
        <v>5.7</v>
      </c>
      <c r="E51" s="6">
        <v>7.7</v>
      </c>
      <c r="F51" s="6">
        <v>22.23</v>
      </c>
      <c r="G51" s="6">
        <v>4.91</v>
      </c>
      <c r="H51" s="6"/>
      <c r="I51" s="6"/>
      <c r="J51" s="6"/>
    </row>
    <row r="52" spans="2:10" x14ac:dyDescent="0.2">
      <c r="B52" s="5" t="s">
        <v>109</v>
      </c>
      <c r="C52" s="6">
        <v>0.78</v>
      </c>
      <c r="D52" s="6">
        <v>0</v>
      </c>
      <c r="E52" s="6">
        <v>1.01</v>
      </c>
      <c r="F52" s="6">
        <v>32.29</v>
      </c>
      <c r="G52" s="6">
        <v>0</v>
      </c>
      <c r="H52" s="6"/>
      <c r="I52" s="6"/>
      <c r="J52" s="6"/>
    </row>
    <row r="53" spans="2:10" x14ac:dyDescent="0.2">
      <c r="B53" s="1" t="s">
        <v>88</v>
      </c>
      <c r="C53">
        <f>AVERAGE(C46:C51)</f>
        <v>1.9333333333333333</v>
      </c>
      <c r="D53">
        <f t="shared" ref="D53:G53" si="6">AVERAGE(D46:D51)</f>
        <v>1.6950000000000001</v>
      </c>
      <c r="E53">
        <f t="shared" si="6"/>
        <v>2.6433333333333331</v>
      </c>
      <c r="F53">
        <f t="shared" si="6"/>
        <v>28.506666666666664</v>
      </c>
      <c r="G53">
        <f t="shared" si="6"/>
        <v>3.9233333333333333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Conditions</vt:lpstr>
      <vt:lpstr>Conditioning</vt:lpstr>
      <vt:lpstr>Context</vt:lpstr>
      <vt:lpstr>Tone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2017-03-05T22:30:38Z</dcterms:modified>
</cp:coreProperties>
</file>