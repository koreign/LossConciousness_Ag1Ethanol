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 activeTab="2"/>
  </bookViews>
  <sheets>
    <sheet name="SlowSpindles" sheetId="37" r:id="rId1"/>
    <sheet name="BroadBdSpindles" sheetId="40" r:id="rId2"/>
    <sheet name="SlowSpindles-20Hz" sheetId="41" r:id="rId3"/>
  </sheets>
  <calcPr calcId="145621"/>
</workbook>
</file>

<file path=xl/calcChain.xml><?xml version="1.0" encoding="utf-8"?>
<calcChain xmlns="http://schemas.openxmlformats.org/spreadsheetml/2006/main">
  <c r="C24" i="41" l="1"/>
  <c r="D24" i="41"/>
  <c r="E24" i="41"/>
  <c r="F24" i="41"/>
  <c r="G24" i="41"/>
  <c r="H24" i="41"/>
  <c r="Q23" i="41"/>
  <c r="Q22" i="41"/>
  <c r="I23" i="41"/>
  <c r="I22" i="41"/>
  <c r="D22" i="41"/>
  <c r="E22" i="41"/>
  <c r="F22" i="41"/>
  <c r="G22" i="41"/>
  <c r="H22" i="41"/>
  <c r="K22" i="41"/>
  <c r="L22" i="41"/>
  <c r="M22" i="41"/>
  <c r="N22" i="41"/>
  <c r="O22" i="41"/>
  <c r="P22" i="41"/>
  <c r="D23" i="41"/>
  <c r="E23" i="41"/>
  <c r="F23" i="41"/>
  <c r="G23" i="41"/>
  <c r="H23" i="41"/>
  <c r="K23" i="41"/>
  <c r="L23" i="41"/>
  <c r="M23" i="41"/>
  <c r="N23" i="41"/>
  <c r="O23" i="41"/>
  <c r="P23" i="41"/>
  <c r="C23" i="41"/>
  <c r="C22" i="41"/>
  <c r="C97" i="37" l="1"/>
  <c r="C99" i="40"/>
  <c r="M97" i="40"/>
  <c r="L97" i="40"/>
  <c r="K97" i="40"/>
  <c r="E97" i="40"/>
  <c r="D97" i="40"/>
  <c r="C97" i="40"/>
  <c r="M96" i="40"/>
  <c r="L96" i="40"/>
  <c r="K96" i="40"/>
  <c r="E96" i="40"/>
  <c r="D96" i="40"/>
  <c r="C96" i="40"/>
  <c r="M95" i="40"/>
  <c r="L95" i="40"/>
  <c r="K95" i="40"/>
  <c r="E95" i="40"/>
  <c r="D95" i="40"/>
  <c r="C95" i="40"/>
  <c r="M94" i="40"/>
  <c r="L94" i="40"/>
  <c r="K94" i="40"/>
  <c r="E94" i="40"/>
  <c r="D94" i="40"/>
  <c r="C94" i="40"/>
  <c r="M93" i="40"/>
  <c r="L93" i="40"/>
  <c r="K93" i="40"/>
  <c r="E93" i="40"/>
  <c r="D93" i="40"/>
  <c r="C93" i="40"/>
  <c r="M92" i="40"/>
  <c r="L92" i="40"/>
  <c r="K92" i="40"/>
  <c r="E92" i="40"/>
  <c r="D92" i="40"/>
  <c r="C92" i="40"/>
  <c r="M91" i="40"/>
  <c r="L91" i="40"/>
  <c r="K91" i="40"/>
  <c r="E91" i="40"/>
  <c r="D91" i="40"/>
  <c r="C91" i="40"/>
  <c r="M90" i="40"/>
  <c r="L90" i="40"/>
  <c r="K90" i="40"/>
  <c r="E90" i="40"/>
  <c r="D90" i="40"/>
  <c r="C90" i="40"/>
  <c r="M89" i="40"/>
  <c r="L89" i="40"/>
  <c r="K89" i="40"/>
  <c r="E89" i="40"/>
  <c r="D89" i="40"/>
  <c r="C89" i="40"/>
  <c r="M88" i="40"/>
  <c r="L88" i="40"/>
  <c r="K88" i="40"/>
  <c r="E88" i="40"/>
  <c r="D88" i="40"/>
  <c r="C88" i="40"/>
  <c r="M97" i="37" l="1"/>
  <c r="L97" i="37"/>
  <c r="K97" i="37"/>
  <c r="E97" i="37"/>
  <c r="D97" i="37"/>
  <c r="M96" i="37"/>
  <c r="L96" i="37"/>
  <c r="K96" i="37"/>
  <c r="E96" i="37"/>
  <c r="D96" i="37"/>
  <c r="C96" i="37"/>
  <c r="M95" i="37"/>
  <c r="L95" i="37"/>
  <c r="K95" i="37"/>
  <c r="E95" i="37"/>
  <c r="D95" i="37"/>
  <c r="C95" i="37"/>
  <c r="M94" i="37"/>
  <c r="L94" i="37"/>
  <c r="K94" i="37"/>
  <c r="E94" i="37"/>
  <c r="D94" i="37"/>
  <c r="C94" i="37"/>
  <c r="M93" i="37"/>
  <c r="L93" i="37"/>
  <c r="K93" i="37"/>
  <c r="E93" i="37"/>
  <c r="D93" i="37"/>
  <c r="C93" i="37"/>
  <c r="M92" i="37"/>
  <c r="L92" i="37"/>
  <c r="K92" i="37"/>
  <c r="E92" i="37"/>
  <c r="D92" i="37"/>
  <c r="C92" i="37"/>
  <c r="M91" i="37"/>
  <c r="L91" i="37"/>
  <c r="K91" i="37"/>
  <c r="E91" i="37"/>
  <c r="D91" i="37"/>
  <c r="C91" i="37"/>
  <c r="M90" i="37"/>
  <c r="L90" i="37"/>
  <c r="K90" i="37"/>
  <c r="E90" i="37"/>
  <c r="D90" i="37"/>
  <c r="C90" i="37"/>
  <c r="M89" i="37"/>
  <c r="L89" i="37"/>
  <c r="K89" i="37"/>
  <c r="E89" i="37"/>
  <c r="D89" i="37"/>
  <c r="C89" i="37"/>
  <c r="M88" i="37"/>
  <c r="L88" i="37"/>
  <c r="K88" i="37"/>
  <c r="E88" i="37"/>
  <c r="D88" i="37"/>
  <c r="C88" i="37"/>
</calcChain>
</file>

<file path=xl/sharedStrings.xml><?xml version="1.0" encoding="utf-8"?>
<sst xmlns="http://schemas.openxmlformats.org/spreadsheetml/2006/main" count="287" uniqueCount="95">
  <si>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</si>
  <si>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</si>
  <si>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</si>
  <si>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</si>
  <si>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</si>
  <si>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</si>
  <si>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</si>
  <si>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</si>
  <si>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PAR</t>
  </si>
  <si>
    <t>CA1</t>
  </si>
  <si>
    <t>OUT-FC-Detect</t>
  </si>
  <si>
    <t>OUT-creARC-Detect</t>
  </si>
  <si>
    <t>'IN-FC-OS46'</t>
  </si>
  <si>
    <t>'IN-FC-OS47'</t>
  </si>
  <si>
    <t>'IN-FC-OS49'</t>
  </si>
  <si>
    <t>'IN-FC-OS59'</t>
  </si>
  <si>
    <t>'IN-FC-OS62'</t>
  </si>
  <si>
    <t>'IN-FC-OS65'</t>
  </si>
  <si>
    <t>'IN-FC-OS83'</t>
  </si>
  <si>
    <t>'IN-FC-OS86'</t>
  </si>
  <si>
    <t>'IN-FC-OS88'</t>
  </si>
  <si>
    <t>FOR</t>
  </si>
  <si>
    <t>Num</t>
  </si>
  <si>
    <t>Immediate</t>
  </si>
  <si>
    <t>Late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</si>
  <si>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</si>
  <si>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</si>
  <si>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</si>
  <si>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</si>
  <si>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</si>
  <si>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</si>
  <si>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</si>
  <si>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'OUT-FC-OS84'</t>
  </si>
  <si>
    <t>'OUT-FC-OS89'</t>
  </si>
  <si>
    <t>'NOSTIM-FC-OS41'</t>
  </si>
  <si>
    <t>'NOSTIM-FC-OS44'</t>
  </si>
  <si>
    <t>'NOSTIM-FC-OS51'</t>
  </si>
  <si>
    <t>'NOSTIM-FC-OS52'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</si>
  <si>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</si>
  <si>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</si>
  <si>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</si>
  <si>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</si>
  <si>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</si>
  <si>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</si>
  <si>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</si>
  <si>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</si>
  <si>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</si>
  <si>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</si>
  <si>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</si>
  <si>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</si>
  <si>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</si>
  <si>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</si>
  <si>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</si>
  <si>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</si>
  <si>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</si>
  <si>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</si>
  <si>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</si>
  <si>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</si>
  <si>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</si>
  <si>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</si>
  <si>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</si>
  <si>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</si>
  <si>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</si>
  <si>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</si>
  <si>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</si>
  <si>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'NOSTIM-OIcreNOARC4'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</si>
  <si>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</si>
  <si>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</si>
  <si>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</si>
  <si>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</si>
  <si>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</si>
  <si>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</si>
  <si>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</si>
  <si>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NoStim-OUT-ARC</t>
  </si>
  <si>
    <t>Any</t>
  </si>
  <si>
    <t>Sum</t>
  </si>
  <si>
    <t>'CTRLStim-OIcreS6'</t>
  </si>
  <si>
    <t>'CTRLStim-OIcreS7'</t>
  </si>
  <si>
    <t>'CTRLStim-OIcreS9'</t>
  </si>
  <si>
    <t>'CTRLStim-OIcreS10'</t>
  </si>
  <si>
    <t>'CTRLStim-OIcreS14'</t>
  </si>
  <si>
    <t>'CTRLStim-OIcreS18'</t>
  </si>
  <si>
    <t>'CTRLStim-OIcreS19'</t>
  </si>
  <si>
    <t>'CTRLGFP-OIcreS1'</t>
  </si>
  <si>
    <t>'CTRLGFP-OIcreS2'</t>
  </si>
  <si>
    <t>'CTRLGFP-OIcreS3'</t>
  </si>
  <si>
    <t>'CTRLGFP-OIcreS4'</t>
  </si>
  <si>
    <t>'CTRLGFP-OIcreS12'</t>
  </si>
  <si>
    <t>'CTRLGFP-OIcreS16'</t>
  </si>
  <si>
    <t>'CTRLGFP-OIcreS17'</t>
  </si>
  <si>
    <t>'CTRLGFP-OIcreS20'</t>
  </si>
  <si>
    <t>'CTRLGFP-OIcreS21'</t>
  </si>
  <si>
    <t>'CTRLGFP-OIcreS22'</t>
  </si>
  <si>
    <t>CTRL-20Hz-Stim</t>
  </si>
  <si>
    <t>CTRL-20Hz-GFP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</si>
</sst>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2" fontId="0" fillId="0" borderId="0" xfId="0" applyNumberFormat="1" applyFill="1"/>
    <xf numFmtId="0" fontId="0" fillId="0" borderId="0" xfId="0" applyFill="1"/>
    <xf numFmtId="2" fontId="0" fillId="2" borderId="0" xfId="0" applyNumberForma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/>
    <xf numFmtId="0" fontId="0" fillId="0" borderId="0" xfId="0" applyFont="1"/>
    <xf numFmtId="0" fontId="0" fillId="0" borderId="0" xfId="0" quotePrefix="1" applyFont="1"/>
    <xf numFmtId="0" fontId="0" fillId="0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"/>
  <sheetViews>
    <sheetView topLeftCell="A31" workbookViewId="0">
      <selection activeCell="K18" sqref="K18"/>
    </sheetView>
  </sheetViews>
  <sheetFormatPr defaultColWidth="9.140625" defaultRowHeight="15" x14ac:dyDescent="0.25"/>
  <cols>
    <col min="1" max="1" width="9.140625" style="5"/>
    <col min="2" max="2" width="24.140625" style="8" bestFit="1" customWidth="1"/>
    <col min="6" max="7" width="9.140625" style="3"/>
    <col min="10" max="10" width="14.28515625" customWidth="1"/>
    <col min="14" max="15" width="9.140625" style="3"/>
  </cols>
  <sheetData>
    <row r="1" spans="1:17" s="5" customFormat="1" x14ac:dyDescent="0.25">
      <c r="B1" s="8"/>
      <c r="C1" s="13" t="s">
        <v>23</v>
      </c>
      <c r="D1" s="13"/>
      <c r="E1" s="13"/>
      <c r="F1" s="13"/>
      <c r="G1" s="13"/>
      <c r="H1" s="13"/>
      <c r="I1" s="13"/>
      <c r="J1" s="6"/>
      <c r="K1" s="13" t="s">
        <v>24</v>
      </c>
      <c r="L1" s="13"/>
      <c r="M1" s="13"/>
      <c r="N1" s="13"/>
      <c r="O1" s="13"/>
      <c r="P1" s="13"/>
      <c r="Q1" s="13"/>
    </row>
    <row r="2" spans="1:17" s="5" customFormat="1" x14ac:dyDescent="0.25">
      <c r="B2" s="8"/>
      <c r="C2" s="13" t="s">
        <v>74</v>
      </c>
      <c r="D2" s="13"/>
      <c r="E2" s="13"/>
      <c r="F2" s="14" t="s">
        <v>75</v>
      </c>
      <c r="G2" s="14"/>
      <c r="H2" s="14"/>
      <c r="I2" s="6"/>
      <c r="J2" s="6"/>
      <c r="K2" s="13" t="s">
        <v>74</v>
      </c>
      <c r="L2" s="13"/>
      <c r="M2" s="13"/>
      <c r="N2" s="14" t="s">
        <v>75</v>
      </c>
      <c r="O2" s="14"/>
      <c r="P2" s="14"/>
      <c r="Q2" s="6"/>
    </row>
    <row r="3" spans="1:17" s="5" customFormat="1" x14ac:dyDescent="0.25">
      <c r="B3" s="8"/>
      <c r="C3" s="5" t="s">
        <v>21</v>
      </c>
      <c r="D3" s="5" t="s">
        <v>8</v>
      </c>
      <c r="E3" s="5" t="s">
        <v>9</v>
      </c>
      <c r="F3" s="7" t="s">
        <v>21</v>
      </c>
      <c r="G3" s="7" t="s">
        <v>8</v>
      </c>
      <c r="H3" s="5" t="s">
        <v>9</v>
      </c>
      <c r="I3" s="5" t="s">
        <v>22</v>
      </c>
      <c r="K3" s="5" t="s">
        <v>21</v>
      </c>
      <c r="L3" s="5" t="s">
        <v>8</v>
      </c>
      <c r="M3" s="5" t="s">
        <v>9</v>
      </c>
      <c r="N3" s="7" t="s">
        <v>21</v>
      </c>
      <c r="O3" s="7" t="s">
        <v>8</v>
      </c>
      <c r="P3" s="5" t="s">
        <v>9</v>
      </c>
      <c r="Q3" s="5" t="s">
        <v>22</v>
      </c>
    </row>
    <row r="4" spans="1:17" x14ac:dyDescent="0.25">
      <c r="A4" s="12" t="s">
        <v>66</v>
      </c>
      <c r="B4" s="8" t="s">
        <v>12</v>
      </c>
      <c r="C4" s="1">
        <v>0.47337278106508901</v>
      </c>
      <c r="D4" s="1">
        <v>0.33136094674556199</v>
      </c>
      <c r="E4" s="1">
        <v>0.27218934911242598</v>
      </c>
      <c r="F4" s="2">
        <v>0.49112426035502998</v>
      </c>
      <c r="G4" s="2">
        <v>0.33727810650887602</v>
      </c>
      <c r="H4" s="1">
        <v>0.28994082840236701</v>
      </c>
      <c r="I4">
        <v>169</v>
      </c>
      <c r="K4" s="1">
        <v>0.160714285714286</v>
      </c>
      <c r="L4" s="1">
        <v>0.23214285714285701</v>
      </c>
      <c r="M4" s="1">
        <v>0.20833333333333301</v>
      </c>
      <c r="N4" s="2">
        <v>0.172619047619048</v>
      </c>
      <c r="O4" s="2">
        <v>0.24404761904761901</v>
      </c>
      <c r="P4" s="1">
        <v>0.214285714285714</v>
      </c>
      <c r="Q4">
        <v>168</v>
      </c>
    </row>
    <row r="5" spans="1:17" x14ac:dyDescent="0.25">
      <c r="A5" s="12"/>
      <c r="B5" s="8" t="s">
        <v>13</v>
      </c>
      <c r="C5" s="1">
        <v>0.401898734177215</v>
      </c>
      <c r="D5" s="1">
        <v>0.221518987341772</v>
      </c>
      <c r="E5" s="1">
        <v>0.186708860759494</v>
      </c>
      <c r="F5" s="2">
        <v>0.414556962025316</v>
      </c>
      <c r="G5" s="2">
        <v>0.234177215189873</v>
      </c>
      <c r="H5" s="1">
        <v>0.193037974683544</v>
      </c>
      <c r="I5">
        <v>316</v>
      </c>
      <c r="K5" s="1">
        <v>0.110759493670886</v>
      </c>
      <c r="L5" s="1">
        <v>0.177215189873418</v>
      </c>
      <c r="M5" s="1">
        <v>0.139240506329114</v>
      </c>
      <c r="N5" s="2">
        <v>0.113924050632911</v>
      </c>
      <c r="O5" s="2">
        <v>0.177215189873418</v>
      </c>
      <c r="P5" s="1">
        <v>0.145569620253165</v>
      </c>
      <c r="Q5">
        <v>316</v>
      </c>
    </row>
    <row r="6" spans="1:17" x14ac:dyDescent="0.25">
      <c r="A6" s="12"/>
      <c r="B6" s="8" t="s">
        <v>14</v>
      </c>
      <c r="C6" s="1">
        <v>0.48005502063273697</v>
      </c>
      <c r="D6" s="1">
        <v>0.24209078404401699</v>
      </c>
      <c r="E6" s="1">
        <v>0.19807427785419501</v>
      </c>
      <c r="F6" s="2">
        <v>0.50206327372764803</v>
      </c>
      <c r="G6" s="2">
        <v>0.25309491059147199</v>
      </c>
      <c r="H6" s="1">
        <v>0.20632737276478699</v>
      </c>
      <c r="I6">
        <v>727</v>
      </c>
      <c r="K6" s="1">
        <v>0.13617606602475901</v>
      </c>
      <c r="L6" s="1">
        <v>0.16093535075653401</v>
      </c>
      <c r="M6" s="1">
        <v>0.14718019257221501</v>
      </c>
      <c r="N6" s="2">
        <v>0.13617606602475901</v>
      </c>
      <c r="O6" s="2">
        <v>0.16918844566712499</v>
      </c>
      <c r="P6" s="1">
        <v>0.15130674002750999</v>
      </c>
      <c r="Q6">
        <v>727</v>
      </c>
    </row>
    <row r="7" spans="1:17" x14ac:dyDescent="0.25">
      <c r="A7" s="12"/>
      <c r="B7" s="8" t="s">
        <v>15</v>
      </c>
      <c r="C7" s="1">
        <v>0.50307692307692298</v>
      </c>
      <c r="D7" s="1">
        <v>0.28000000000000003</v>
      </c>
      <c r="E7" s="1">
        <v>0.22</v>
      </c>
      <c r="F7" s="2">
        <v>0.52307692307692299</v>
      </c>
      <c r="G7" s="2">
        <v>0.29384615384615398</v>
      </c>
      <c r="H7" s="1">
        <v>0.23230769230769199</v>
      </c>
      <c r="I7">
        <v>650</v>
      </c>
      <c r="K7" s="1">
        <v>0.12923076923076901</v>
      </c>
      <c r="L7" s="1">
        <v>0.23692307692307699</v>
      </c>
      <c r="M7" s="1">
        <v>0.17692307692307699</v>
      </c>
      <c r="N7" s="2">
        <v>0.13692307692307701</v>
      </c>
      <c r="O7" s="2">
        <v>0.24153846153846201</v>
      </c>
      <c r="P7" s="1">
        <v>0.18461538461538499</v>
      </c>
      <c r="Q7">
        <v>650</v>
      </c>
    </row>
    <row r="8" spans="1:17" x14ac:dyDescent="0.25">
      <c r="A8" s="12"/>
      <c r="B8" s="8" t="s">
        <v>16</v>
      </c>
      <c r="C8" s="1">
        <v>0.44428571428571401</v>
      </c>
      <c r="D8" s="1">
        <v>0.25857142857142901</v>
      </c>
      <c r="E8" s="4">
        <v>0.252857142857143</v>
      </c>
      <c r="F8" s="2">
        <v>0.47142857142857097</v>
      </c>
      <c r="G8" s="2">
        <v>0.27428571428571402</v>
      </c>
      <c r="H8" s="4">
        <v>0.27142857142857102</v>
      </c>
      <c r="I8">
        <v>700</v>
      </c>
      <c r="K8" s="1">
        <v>0.127142857142857</v>
      </c>
      <c r="L8" s="1">
        <v>0.2</v>
      </c>
      <c r="M8" s="4">
        <v>0.185714285714286</v>
      </c>
      <c r="N8" s="2">
        <v>0.13</v>
      </c>
      <c r="O8" s="2">
        <v>0.20714285714285699</v>
      </c>
      <c r="P8" s="4">
        <v>0.19428571428571401</v>
      </c>
      <c r="Q8">
        <v>700</v>
      </c>
    </row>
    <row r="9" spans="1:17" x14ac:dyDescent="0.25">
      <c r="A9" s="12"/>
      <c r="B9" s="8" t="s">
        <v>17</v>
      </c>
      <c r="C9" s="1">
        <v>0.57514450867052003</v>
      </c>
      <c r="D9" s="1">
        <v>0.280346820809249</v>
      </c>
      <c r="E9" s="1">
        <v>0.280346820809249</v>
      </c>
      <c r="F9" s="2">
        <v>0.59971098265895995</v>
      </c>
      <c r="G9" s="2">
        <v>0.29479768786127197</v>
      </c>
      <c r="H9" s="1">
        <v>0.290462427745665</v>
      </c>
      <c r="I9">
        <v>692</v>
      </c>
      <c r="K9" s="1">
        <v>6.6473988439306395E-2</v>
      </c>
      <c r="L9" s="1">
        <v>0.195086705202312</v>
      </c>
      <c r="M9" s="1">
        <v>0.179190751445087</v>
      </c>
      <c r="N9" s="2">
        <v>6.6473988439306395E-2</v>
      </c>
      <c r="O9" s="2">
        <v>0.20231213872832399</v>
      </c>
      <c r="P9" s="1">
        <v>0.18208092485549099</v>
      </c>
      <c r="Q9">
        <v>692</v>
      </c>
    </row>
    <row r="10" spans="1:17" x14ac:dyDescent="0.25">
      <c r="A10" s="12"/>
      <c r="B10" s="8" t="s">
        <v>18</v>
      </c>
      <c r="C10" s="1">
        <v>0.41962774957698801</v>
      </c>
      <c r="D10" s="1">
        <v>0.24703891708967901</v>
      </c>
      <c r="E10" s="1">
        <v>0.22842639593908601</v>
      </c>
      <c r="F10" s="2">
        <v>0.42808798646362101</v>
      </c>
      <c r="G10" s="2">
        <v>0.252115059221658</v>
      </c>
      <c r="H10" s="1">
        <v>0.243654822335025</v>
      </c>
      <c r="I10">
        <v>591</v>
      </c>
      <c r="K10" s="1">
        <v>9.81387478849408E-2</v>
      </c>
      <c r="L10" s="1">
        <v>0.2165820642978</v>
      </c>
      <c r="M10" s="1">
        <v>0.17935702199661599</v>
      </c>
      <c r="N10" s="2">
        <v>9.9830795262267402E-2</v>
      </c>
      <c r="O10" s="2">
        <v>0.22165820642978001</v>
      </c>
      <c r="P10" s="1">
        <v>0.182741116751269</v>
      </c>
      <c r="Q10">
        <v>591</v>
      </c>
    </row>
    <row r="11" spans="1:17" x14ac:dyDescent="0.25">
      <c r="A11" s="12"/>
      <c r="B11" s="8" t="s">
        <v>19</v>
      </c>
      <c r="C11" s="1">
        <v>0.46096654275092902</v>
      </c>
      <c r="D11" s="1">
        <v>0.23667905824039701</v>
      </c>
      <c r="E11" s="1">
        <v>0.26765799256505601</v>
      </c>
      <c r="F11" s="2">
        <v>0.48327137546468402</v>
      </c>
      <c r="G11" s="2">
        <v>0.25030978934324699</v>
      </c>
      <c r="H11" s="1">
        <v>0.27633209417596</v>
      </c>
      <c r="I11">
        <v>807</v>
      </c>
      <c r="K11" s="1">
        <v>0.107806691449814</v>
      </c>
      <c r="L11" s="1">
        <v>0.22428748451053299</v>
      </c>
      <c r="M11" s="1">
        <v>0.20198265179677799</v>
      </c>
      <c r="N11" s="2">
        <v>0.107806691449814</v>
      </c>
      <c r="O11" s="2">
        <v>0.22924411400247799</v>
      </c>
      <c r="P11" s="1">
        <v>0.204460966542751</v>
      </c>
      <c r="Q11">
        <v>807</v>
      </c>
    </row>
    <row r="12" spans="1:17" x14ac:dyDescent="0.25">
      <c r="A12" s="12"/>
      <c r="B12" s="8" t="s">
        <v>20</v>
      </c>
      <c r="C12" s="1">
        <v>0.49148694665153198</v>
      </c>
      <c r="D12" s="1">
        <v>0.25879682179341701</v>
      </c>
      <c r="E12" s="1">
        <v>0.20544835414301901</v>
      </c>
      <c r="F12" s="2">
        <v>0.50964812712826302</v>
      </c>
      <c r="G12" s="2">
        <v>0.26674233825198601</v>
      </c>
      <c r="H12" s="1">
        <v>0.21566401816118</v>
      </c>
      <c r="I12">
        <v>881</v>
      </c>
      <c r="K12" s="1">
        <v>0.112372304199773</v>
      </c>
      <c r="L12" s="1">
        <v>0.198637911464245</v>
      </c>
      <c r="M12" s="1">
        <v>0.14869466515323501</v>
      </c>
      <c r="N12" s="2">
        <v>0.113507377979569</v>
      </c>
      <c r="O12" s="2">
        <v>0.207718501702611</v>
      </c>
      <c r="P12" s="1">
        <v>0.154370034052213</v>
      </c>
      <c r="Q12">
        <v>881</v>
      </c>
    </row>
    <row r="13" spans="1:17" x14ac:dyDescent="0.25">
      <c r="A13" s="12" t="s">
        <v>67</v>
      </c>
      <c r="B13" s="8" t="s">
        <v>25</v>
      </c>
      <c r="C13" s="1">
        <v>0.28499999999999998</v>
      </c>
      <c r="D13" s="1">
        <v>0.28166666666666701</v>
      </c>
      <c r="E13" s="1">
        <v>0.198333333333333</v>
      </c>
      <c r="F13" s="2">
        <v>0.3</v>
      </c>
      <c r="G13" s="2">
        <v>0.29166666666666702</v>
      </c>
      <c r="H13" s="1">
        <v>0.21</v>
      </c>
      <c r="I13">
        <v>600</v>
      </c>
      <c r="K13" s="1">
        <v>0.116666666666667</v>
      </c>
      <c r="L13" s="1">
        <v>0.17333333333333301</v>
      </c>
      <c r="M13" s="1">
        <v>0.19</v>
      </c>
      <c r="N13" s="2">
        <v>0.116666666666667</v>
      </c>
      <c r="O13" s="2">
        <v>0.17499999999999999</v>
      </c>
      <c r="P13" s="1">
        <v>0.193333333333333</v>
      </c>
      <c r="Q13">
        <v>600</v>
      </c>
    </row>
    <row r="14" spans="1:17" x14ac:dyDescent="0.25">
      <c r="A14" s="12"/>
      <c r="B14" s="8" t="s">
        <v>26</v>
      </c>
      <c r="C14" s="1">
        <v>0.3125</v>
      </c>
      <c r="D14" s="1">
        <v>0.22872340425531901</v>
      </c>
      <c r="E14" s="1">
        <v>0.220744680851064</v>
      </c>
      <c r="F14" s="2">
        <v>0.32712765957446799</v>
      </c>
      <c r="G14" s="2">
        <v>0.243351063829787</v>
      </c>
      <c r="H14" s="1">
        <v>0.23138297872340399</v>
      </c>
      <c r="I14">
        <v>752</v>
      </c>
      <c r="K14" s="1">
        <v>0.115691489361702</v>
      </c>
      <c r="L14" s="1">
        <v>0.18218085106383</v>
      </c>
      <c r="M14" s="1">
        <v>0.159574468085106</v>
      </c>
      <c r="N14" s="2">
        <v>0.118351063829787</v>
      </c>
      <c r="O14" s="2">
        <v>0.19148936170212799</v>
      </c>
      <c r="P14" s="1">
        <v>0.16090425531914901</v>
      </c>
      <c r="Q14">
        <v>752</v>
      </c>
    </row>
    <row r="15" spans="1:17" x14ac:dyDescent="0.25">
      <c r="A15" s="12"/>
      <c r="B15" s="8" t="s">
        <v>27</v>
      </c>
      <c r="C15" s="1">
        <v>0.363302752293578</v>
      </c>
      <c r="D15" s="1">
        <v>0.26055045871559601</v>
      </c>
      <c r="E15" s="1">
        <v>0.24403669724770599</v>
      </c>
      <c r="F15" s="2">
        <v>0.38165137614678901</v>
      </c>
      <c r="G15" s="2">
        <v>0.28440366972477099</v>
      </c>
      <c r="H15" s="1">
        <v>0.26055045871559601</v>
      </c>
      <c r="I15">
        <v>545</v>
      </c>
      <c r="K15" s="1">
        <v>0.12477064220183499</v>
      </c>
      <c r="L15" s="1">
        <v>0.20550458715596301</v>
      </c>
      <c r="M15" s="1">
        <v>0.18348623853210999</v>
      </c>
      <c r="N15" s="2">
        <v>0.126605504587156</v>
      </c>
      <c r="O15" s="2">
        <v>0.212844036697248</v>
      </c>
      <c r="P15" s="1">
        <v>0.187155963302752</v>
      </c>
      <c r="Q15">
        <v>545</v>
      </c>
    </row>
    <row r="16" spans="1:17" x14ac:dyDescent="0.25">
      <c r="A16" s="12"/>
      <c r="B16" s="8" t="s">
        <v>28</v>
      </c>
      <c r="C16" s="1">
        <v>0.31672203765227003</v>
      </c>
      <c r="D16" s="1">
        <v>0.23920265780730901</v>
      </c>
      <c r="E16" s="1">
        <v>0.203765227021041</v>
      </c>
      <c r="F16" s="2">
        <v>0.33444075304540399</v>
      </c>
      <c r="G16" s="2">
        <v>0.25027685492801799</v>
      </c>
      <c r="H16" s="1">
        <v>0.21040974529346601</v>
      </c>
      <c r="I16">
        <v>903</v>
      </c>
      <c r="K16" s="1">
        <v>0.13399778516057601</v>
      </c>
      <c r="L16" s="1">
        <v>0.21262458471760801</v>
      </c>
      <c r="M16" s="1">
        <v>0.19822812846068699</v>
      </c>
      <c r="N16" s="2">
        <v>0.13510520487264699</v>
      </c>
      <c r="O16" s="2">
        <v>0.21926910299003299</v>
      </c>
      <c r="P16" s="1">
        <v>0.201550387596899</v>
      </c>
      <c r="Q16">
        <v>903</v>
      </c>
    </row>
    <row r="17" spans="1:17" x14ac:dyDescent="0.25">
      <c r="A17" s="12"/>
      <c r="B17" s="8" t="s">
        <v>29</v>
      </c>
      <c r="C17" s="1">
        <v>0.31515151515151502</v>
      </c>
      <c r="D17" s="1">
        <v>0.27575757575757598</v>
      </c>
      <c r="E17" s="1">
        <v>0.25606060606060599</v>
      </c>
      <c r="F17" s="2">
        <v>0.33333333333333298</v>
      </c>
      <c r="G17" s="2">
        <v>0.293939393939394</v>
      </c>
      <c r="H17" s="1">
        <v>0.26969696969696999</v>
      </c>
      <c r="I17">
        <v>660</v>
      </c>
      <c r="K17" s="1">
        <v>0.14242424242424201</v>
      </c>
      <c r="L17" s="1">
        <v>0.21060606060606099</v>
      </c>
      <c r="M17" s="1">
        <v>0.207575757575758</v>
      </c>
      <c r="N17" s="2">
        <v>0.15</v>
      </c>
      <c r="O17" s="2">
        <v>0.21515151515151501</v>
      </c>
      <c r="P17" s="1">
        <v>0.21515151515151501</v>
      </c>
      <c r="Q17">
        <v>660</v>
      </c>
    </row>
    <row r="18" spans="1:17" x14ac:dyDescent="0.25">
      <c r="A18" s="12"/>
      <c r="B18" s="8" t="s">
        <v>30</v>
      </c>
      <c r="C18" s="1">
        <v>0.30781758957654698</v>
      </c>
      <c r="D18" s="1">
        <v>0.25895765472312698</v>
      </c>
      <c r="E18" s="1">
        <v>0.231270358306189</v>
      </c>
      <c r="F18" s="2">
        <v>0.32247557003257299</v>
      </c>
      <c r="G18" s="2">
        <v>0.27361563517915299</v>
      </c>
      <c r="H18" s="1">
        <v>0.244299674267101</v>
      </c>
      <c r="I18">
        <v>614</v>
      </c>
      <c r="K18" s="1">
        <v>0.136807817589577</v>
      </c>
      <c r="L18" s="1">
        <v>0.24592833876221501</v>
      </c>
      <c r="M18" s="1">
        <v>0.19869706840390899</v>
      </c>
      <c r="N18" s="2">
        <v>0.14006514657980501</v>
      </c>
      <c r="O18" s="2">
        <v>0.25244299674267101</v>
      </c>
      <c r="P18" s="1">
        <v>0.20358306188925099</v>
      </c>
      <c r="Q18">
        <v>614</v>
      </c>
    </row>
    <row r="19" spans="1:17" x14ac:dyDescent="0.25">
      <c r="A19" s="12"/>
      <c r="B19" s="8" t="s">
        <v>31</v>
      </c>
      <c r="C19" s="1">
        <v>0.33050847457627103</v>
      </c>
      <c r="D19" s="1">
        <v>0.24788135593220301</v>
      </c>
      <c r="E19" s="1">
        <v>0.22033898305084701</v>
      </c>
      <c r="F19" s="2">
        <v>0.34110169491525399</v>
      </c>
      <c r="G19" s="2">
        <v>0.26271186440678002</v>
      </c>
      <c r="H19" s="1">
        <v>0.24364406779660999</v>
      </c>
      <c r="I19">
        <v>472</v>
      </c>
      <c r="K19" s="1">
        <v>0.101694915254237</v>
      </c>
      <c r="L19" s="1">
        <v>0.19915254237288099</v>
      </c>
      <c r="M19" s="1">
        <v>0.141949152542373</v>
      </c>
      <c r="N19" s="2">
        <v>0.101694915254237</v>
      </c>
      <c r="O19" s="2">
        <v>0.205508474576271</v>
      </c>
      <c r="P19" s="1">
        <v>0.14830508474576301</v>
      </c>
      <c r="Q19">
        <v>472</v>
      </c>
    </row>
    <row r="20" spans="1:17" x14ac:dyDescent="0.25">
      <c r="A20" s="12"/>
      <c r="B20" s="8" t="s">
        <v>32</v>
      </c>
      <c r="C20" s="1">
        <v>0.35974025974026003</v>
      </c>
      <c r="D20" s="1">
        <v>0.21688311688311701</v>
      </c>
      <c r="E20" s="4">
        <v>0.20909090909090899</v>
      </c>
      <c r="F20" s="2">
        <v>0.37272727272727302</v>
      </c>
      <c r="G20" s="2">
        <v>0.224675324675325</v>
      </c>
      <c r="H20" s="4">
        <v>0.22207792207792201</v>
      </c>
      <c r="I20">
        <v>770</v>
      </c>
      <c r="K20" s="1">
        <v>9.3506493506493496E-2</v>
      </c>
      <c r="L20" s="1">
        <v>0.18441558441558401</v>
      </c>
      <c r="M20" s="4">
        <v>0.180519480519481</v>
      </c>
      <c r="N20" s="2">
        <v>9.3506493506493496E-2</v>
      </c>
      <c r="O20" s="2">
        <v>0.18961038961039001</v>
      </c>
      <c r="P20" s="4">
        <v>0.185714285714286</v>
      </c>
      <c r="Q20">
        <v>770</v>
      </c>
    </row>
    <row r="21" spans="1:17" x14ac:dyDescent="0.25">
      <c r="A21" s="12"/>
      <c r="B21" s="8" t="s">
        <v>33</v>
      </c>
      <c r="C21" s="1">
        <v>0.24303797468354399</v>
      </c>
      <c r="D21" s="1">
        <v>0.23164556962025301</v>
      </c>
      <c r="E21" s="1">
        <v>0.240506329113924</v>
      </c>
      <c r="F21" s="2">
        <v>0.25189873417721498</v>
      </c>
      <c r="G21" s="2">
        <v>0.24303797468354399</v>
      </c>
      <c r="H21" s="1">
        <v>0.259493670886076</v>
      </c>
      <c r="I21">
        <v>790</v>
      </c>
      <c r="K21" s="1">
        <v>0.11265822784810101</v>
      </c>
      <c r="L21" s="1">
        <v>0.21139240506329099</v>
      </c>
      <c r="M21" s="1">
        <v>0.18734177215189901</v>
      </c>
      <c r="N21" s="2">
        <v>0.11518987341772199</v>
      </c>
      <c r="O21" s="2">
        <v>0.21772151898734199</v>
      </c>
      <c r="P21" s="1">
        <v>0.189873417721519</v>
      </c>
      <c r="Q21">
        <v>790</v>
      </c>
    </row>
    <row r="22" spans="1:17" x14ac:dyDescent="0.25">
      <c r="A22" s="12" t="s">
        <v>68</v>
      </c>
      <c r="B22" s="8" t="s">
        <v>25</v>
      </c>
      <c r="C22" s="1">
        <v>0.29489291598023099</v>
      </c>
      <c r="D22" s="1">
        <v>0.28500823723229002</v>
      </c>
      <c r="E22" s="1">
        <v>0.22240527182866601</v>
      </c>
      <c r="F22" s="2">
        <v>0.32784184514003301</v>
      </c>
      <c r="G22" s="2">
        <v>0.30477759472817101</v>
      </c>
      <c r="H22" s="1">
        <v>0.227347611202636</v>
      </c>
      <c r="I22">
        <v>607</v>
      </c>
      <c r="K22" s="1">
        <v>0.15321252059308099</v>
      </c>
      <c r="L22" s="1">
        <v>0.227347611202636</v>
      </c>
      <c r="M22" s="1">
        <v>0.17298187808896201</v>
      </c>
      <c r="N22" s="2">
        <v>0.154859967051071</v>
      </c>
      <c r="O22" s="2">
        <v>0.23393739703459601</v>
      </c>
      <c r="P22" s="1">
        <v>0.181219110378913</v>
      </c>
      <c r="Q22">
        <v>607</v>
      </c>
    </row>
    <row r="23" spans="1:17" x14ac:dyDescent="0.25">
      <c r="A23" s="12"/>
      <c r="B23" s="8" t="s">
        <v>26</v>
      </c>
      <c r="C23" s="1">
        <v>0.26018396846254899</v>
      </c>
      <c r="D23" s="1">
        <v>0.23127463863337699</v>
      </c>
      <c r="E23" s="1">
        <v>0.20499342969776599</v>
      </c>
      <c r="F23" s="2">
        <v>0.27595269382391602</v>
      </c>
      <c r="G23" s="2">
        <v>0.24047306176084099</v>
      </c>
      <c r="H23" s="1">
        <v>0.211563731931669</v>
      </c>
      <c r="I23">
        <v>761</v>
      </c>
      <c r="K23" s="1">
        <v>0.182654402102497</v>
      </c>
      <c r="L23" s="1">
        <v>0.18791064388961901</v>
      </c>
      <c r="M23" s="1">
        <v>0.181340341655716</v>
      </c>
      <c r="N23" s="2">
        <v>0.186596583442838</v>
      </c>
      <c r="O23" s="2">
        <v>0.19316688567674101</v>
      </c>
      <c r="P23" s="1">
        <v>0.18396846254927701</v>
      </c>
      <c r="Q23">
        <v>761</v>
      </c>
    </row>
    <row r="24" spans="1:17" x14ac:dyDescent="0.25">
      <c r="A24" s="12"/>
      <c r="B24" s="8" t="s">
        <v>27</v>
      </c>
      <c r="C24" s="1">
        <v>0.29181494661921697</v>
      </c>
      <c r="D24" s="1">
        <v>0.26156583629893199</v>
      </c>
      <c r="E24" s="1">
        <v>0.21174377224199301</v>
      </c>
      <c r="F24" s="2">
        <v>0.34341637010676201</v>
      </c>
      <c r="G24" s="2">
        <v>0.277580071174377</v>
      </c>
      <c r="H24" s="1">
        <v>0.222419928825623</v>
      </c>
      <c r="I24">
        <v>562</v>
      </c>
      <c r="K24" s="1">
        <v>0.176156583629893</v>
      </c>
      <c r="L24" s="1">
        <v>0.21174377224199301</v>
      </c>
      <c r="M24" s="1">
        <v>0.20462633451957299</v>
      </c>
      <c r="N24" s="2">
        <v>0.17971530249110301</v>
      </c>
      <c r="O24" s="2">
        <v>0.21708185053380799</v>
      </c>
      <c r="P24" s="1">
        <v>0.21530249110320299</v>
      </c>
      <c r="Q24">
        <v>562</v>
      </c>
    </row>
    <row r="25" spans="1:17" x14ac:dyDescent="0.25">
      <c r="A25" s="12"/>
      <c r="B25" s="8" t="s">
        <v>28</v>
      </c>
      <c r="C25" s="1">
        <v>0.31284302963776101</v>
      </c>
      <c r="D25" s="1">
        <v>0.24698133918770601</v>
      </c>
      <c r="E25" s="1">
        <v>0.19429198682766199</v>
      </c>
      <c r="F25" s="2">
        <v>0.33809001097694802</v>
      </c>
      <c r="G25" s="2">
        <v>0.25246981339187702</v>
      </c>
      <c r="H25" s="1">
        <v>0.20526893523600401</v>
      </c>
      <c r="I25">
        <v>911</v>
      </c>
      <c r="K25" s="1">
        <v>0.16684961580680599</v>
      </c>
      <c r="L25" s="1">
        <v>0.206366630076839</v>
      </c>
      <c r="M25" s="1">
        <v>0.18331503841931901</v>
      </c>
      <c r="N25" s="2">
        <v>0.171240395170143</v>
      </c>
      <c r="O25" s="2">
        <v>0.21295279912184401</v>
      </c>
      <c r="P25" s="1">
        <v>0.19538968166849599</v>
      </c>
      <c r="Q25">
        <v>911</v>
      </c>
    </row>
    <row r="26" spans="1:17" x14ac:dyDescent="0.25">
      <c r="A26" s="12"/>
      <c r="B26" s="8" t="s">
        <v>29</v>
      </c>
      <c r="C26" s="1">
        <v>0.31343283582089598</v>
      </c>
      <c r="D26" s="1">
        <v>0.28656716417910499</v>
      </c>
      <c r="E26" s="1">
        <v>0.25671641791044802</v>
      </c>
      <c r="F26" s="2">
        <v>0.33432835820895501</v>
      </c>
      <c r="G26" s="2">
        <v>0.29701492537313401</v>
      </c>
      <c r="H26" s="1">
        <v>0.26567164179104502</v>
      </c>
      <c r="I26">
        <v>670</v>
      </c>
      <c r="K26" s="1">
        <v>0.17313432835820899</v>
      </c>
      <c r="L26" s="1">
        <v>0.192537313432836</v>
      </c>
      <c r="M26" s="1">
        <v>0.22089552238806001</v>
      </c>
      <c r="N26" s="2">
        <v>0.17761194029850699</v>
      </c>
      <c r="O26" s="2">
        <v>0.197014925373134</v>
      </c>
      <c r="P26" s="1">
        <v>0.22388059701492499</v>
      </c>
      <c r="Q26">
        <v>670</v>
      </c>
    </row>
    <row r="27" spans="1:17" x14ac:dyDescent="0.25">
      <c r="A27" s="12"/>
      <c r="B27" s="8" t="s">
        <v>30</v>
      </c>
      <c r="C27" s="1">
        <v>0.30080000000000001</v>
      </c>
      <c r="D27" s="1">
        <v>0.2432</v>
      </c>
      <c r="E27" s="1">
        <v>0.2</v>
      </c>
      <c r="F27" s="2">
        <v>0.32800000000000001</v>
      </c>
      <c r="G27" s="2">
        <v>0.248</v>
      </c>
      <c r="H27" s="1">
        <v>0.21759999999999999</v>
      </c>
      <c r="I27">
        <v>625</v>
      </c>
      <c r="K27" s="1">
        <v>0.16800000000000001</v>
      </c>
      <c r="L27" s="1">
        <v>0.21440000000000001</v>
      </c>
      <c r="M27" s="1">
        <v>0.18559999999999999</v>
      </c>
      <c r="N27" s="2">
        <v>0.17760000000000001</v>
      </c>
      <c r="O27" s="2">
        <v>0.224</v>
      </c>
      <c r="P27" s="1">
        <v>0.19040000000000001</v>
      </c>
      <c r="Q27">
        <v>625</v>
      </c>
    </row>
    <row r="28" spans="1:17" x14ac:dyDescent="0.25">
      <c r="A28" s="12"/>
      <c r="B28" s="8" t="s">
        <v>31</v>
      </c>
      <c r="C28" s="1">
        <v>0.29460580912863099</v>
      </c>
      <c r="D28" s="1">
        <v>0.244813278008299</v>
      </c>
      <c r="E28" s="1">
        <v>0.18672199170124501</v>
      </c>
      <c r="F28" s="2">
        <v>0.31120331950207503</v>
      </c>
      <c r="G28" s="2">
        <v>0.25103734439834002</v>
      </c>
      <c r="H28" s="1">
        <v>0.19087136929460599</v>
      </c>
      <c r="I28">
        <v>482</v>
      </c>
      <c r="K28" s="1">
        <v>0.17427385892116201</v>
      </c>
      <c r="L28" s="1">
        <v>0.18672199170124501</v>
      </c>
      <c r="M28" s="1">
        <v>0.14315352697095399</v>
      </c>
      <c r="N28" s="2">
        <v>0.176348547717842</v>
      </c>
      <c r="O28" s="2">
        <v>0.19294605809128601</v>
      </c>
      <c r="P28" s="1">
        <v>0.151452282157676</v>
      </c>
      <c r="Q28">
        <v>482</v>
      </c>
    </row>
    <row r="29" spans="1:17" x14ac:dyDescent="0.25">
      <c r="A29" s="12"/>
      <c r="B29" s="8" t="s">
        <v>32</v>
      </c>
      <c r="C29" s="1">
        <v>0.29358974358974399</v>
      </c>
      <c r="D29" s="1">
        <v>0.237179487179487</v>
      </c>
      <c r="E29" s="4">
        <v>0.22820512820512801</v>
      </c>
      <c r="F29" s="2">
        <v>0.32564102564102598</v>
      </c>
      <c r="G29" s="2">
        <v>0.243589743589744</v>
      </c>
      <c r="H29" s="4">
        <v>0.233333333333333</v>
      </c>
      <c r="I29">
        <v>780</v>
      </c>
      <c r="K29" s="1">
        <v>0.16025641025640999</v>
      </c>
      <c r="L29" s="1">
        <v>0.17692307692307699</v>
      </c>
      <c r="M29" s="4">
        <v>0.18589743589743599</v>
      </c>
      <c r="N29" s="2">
        <v>0.16282051282051299</v>
      </c>
      <c r="O29" s="2">
        <v>0.17948717948717999</v>
      </c>
      <c r="P29" s="4">
        <v>0.18846153846153799</v>
      </c>
      <c r="Q29">
        <v>780</v>
      </c>
    </row>
    <row r="30" spans="1:17" x14ac:dyDescent="0.25">
      <c r="A30" s="12"/>
      <c r="B30" s="8" t="s">
        <v>33</v>
      </c>
      <c r="C30" s="1">
        <v>0.26302729528536001</v>
      </c>
      <c r="D30" s="1">
        <v>0.225806451612903</v>
      </c>
      <c r="E30" s="1">
        <v>0.214640198511166</v>
      </c>
      <c r="F30" s="2">
        <v>0.28039702233250602</v>
      </c>
      <c r="G30" s="2">
        <v>0.23697270471463999</v>
      </c>
      <c r="H30" s="1">
        <v>0.21712158808932999</v>
      </c>
      <c r="I30">
        <v>806</v>
      </c>
      <c r="K30" s="1">
        <v>0.12531017369726999</v>
      </c>
      <c r="L30" s="1">
        <v>0.19975186104218401</v>
      </c>
      <c r="M30" s="1">
        <v>0.19727047146401999</v>
      </c>
      <c r="N30" s="2">
        <v>0.12903225806451599</v>
      </c>
      <c r="O30" s="2">
        <v>0.20471464019851099</v>
      </c>
      <c r="P30" s="1">
        <v>0.20347394540942901</v>
      </c>
      <c r="Q30">
        <v>806</v>
      </c>
    </row>
    <row r="31" spans="1:17" x14ac:dyDescent="0.25">
      <c r="A31" s="12" t="s">
        <v>0</v>
      </c>
      <c r="B31" s="8" t="s">
        <v>34</v>
      </c>
      <c r="C31" s="1">
        <v>0.25038639876352398</v>
      </c>
      <c r="D31" s="1">
        <v>0.23493044822256601</v>
      </c>
      <c r="E31" s="1">
        <v>0.205564142194745</v>
      </c>
      <c r="F31" s="2">
        <v>0.29366306027820699</v>
      </c>
      <c r="G31" s="2">
        <v>0.224111282843895</v>
      </c>
      <c r="H31" s="1">
        <v>0.228748068006182</v>
      </c>
      <c r="I31">
        <v>647</v>
      </c>
      <c r="K31" s="1">
        <v>0.123647604327666</v>
      </c>
      <c r="L31" s="1">
        <v>0.19165378670788299</v>
      </c>
      <c r="M31" s="1">
        <v>0.17465224111282801</v>
      </c>
      <c r="N31" s="2">
        <v>0.15146831530139099</v>
      </c>
      <c r="O31" s="2">
        <v>0.17465224111282801</v>
      </c>
      <c r="P31" s="1">
        <v>0.168469860896445</v>
      </c>
      <c r="Q31">
        <v>647</v>
      </c>
    </row>
    <row r="32" spans="1:17" x14ac:dyDescent="0.25">
      <c r="A32" s="12"/>
      <c r="B32" s="8" t="s">
        <v>35</v>
      </c>
      <c r="C32" s="1">
        <v>0.28902627511591999</v>
      </c>
      <c r="D32" s="1">
        <v>0.273570324574961</v>
      </c>
      <c r="E32" s="1">
        <v>0.23802163833075701</v>
      </c>
      <c r="F32" s="2">
        <v>0.29366306027820699</v>
      </c>
      <c r="G32" s="2">
        <v>0.26893353941267401</v>
      </c>
      <c r="H32" s="1">
        <v>0.24574961360123601</v>
      </c>
      <c r="I32">
        <v>647</v>
      </c>
      <c r="K32" s="1">
        <v>0.12982998454404901</v>
      </c>
      <c r="L32" s="1">
        <v>0.224111282843895</v>
      </c>
      <c r="M32" s="1">
        <v>0.15919629057187001</v>
      </c>
      <c r="N32" s="2">
        <v>0.134466769706337</v>
      </c>
      <c r="O32" s="2">
        <v>0.236476043276662</v>
      </c>
      <c r="P32" s="1">
        <v>0.160741885625966</v>
      </c>
      <c r="Q32">
        <v>647</v>
      </c>
    </row>
    <row r="33" spans="1:17" x14ac:dyDescent="0.25">
      <c r="A33" s="12"/>
      <c r="B33" s="8" t="s">
        <v>36</v>
      </c>
      <c r="C33" s="1">
        <v>0.27047913446677002</v>
      </c>
      <c r="D33" s="1">
        <v>0.27820710973724899</v>
      </c>
      <c r="E33" s="4">
        <v>0.31839258114374003</v>
      </c>
      <c r="F33" s="2">
        <v>0.29829984544049498</v>
      </c>
      <c r="G33" s="2">
        <v>0.310664605873261</v>
      </c>
      <c r="H33" s="4">
        <v>0.35857805255023201</v>
      </c>
      <c r="I33">
        <v>647</v>
      </c>
      <c r="K33" s="1">
        <v>0.10973724884080401</v>
      </c>
      <c r="L33" s="1">
        <v>0.236476043276662</v>
      </c>
      <c r="M33" s="4">
        <v>0.21483771251931999</v>
      </c>
      <c r="N33" s="2">
        <v>0.12828438948995399</v>
      </c>
      <c r="O33" s="2">
        <v>0.24420401854714099</v>
      </c>
      <c r="P33" s="4">
        <v>0.23802163833075701</v>
      </c>
      <c r="Q33">
        <v>647</v>
      </c>
    </row>
    <row r="34" spans="1:17" x14ac:dyDescent="0.25">
      <c r="A34" s="12"/>
      <c r="B34" s="8" t="s">
        <v>37</v>
      </c>
      <c r="C34" s="1">
        <v>0.247295208655332</v>
      </c>
      <c r="D34" s="1">
        <v>0.24111282843894899</v>
      </c>
      <c r="E34" s="4">
        <v>4.0185471406491501E-2</v>
      </c>
      <c r="F34" s="2">
        <v>0.22256568778979899</v>
      </c>
      <c r="G34" s="2">
        <v>0.258114374034003</v>
      </c>
      <c r="H34" s="4">
        <v>7.7279752704791302E-2</v>
      </c>
      <c r="I34">
        <v>647</v>
      </c>
      <c r="K34" s="1">
        <v>0.13292117465224099</v>
      </c>
      <c r="L34" s="1">
        <v>0.17465224111282801</v>
      </c>
      <c r="M34" s="4">
        <v>4.9459041731066501E-2</v>
      </c>
      <c r="N34" s="2">
        <v>0.105100463678516</v>
      </c>
      <c r="O34" s="2">
        <v>0.179289026275116</v>
      </c>
      <c r="P34" s="4">
        <v>6.4914992272024699E-2</v>
      </c>
      <c r="Q34">
        <v>647</v>
      </c>
    </row>
    <row r="35" spans="1:17" x14ac:dyDescent="0.25">
      <c r="A35" s="12"/>
      <c r="B35" s="8" t="s">
        <v>38</v>
      </c>
      <c r="C35" s="1">
        <v>0.21174652241112801</v>
      </c>
      <c r="D35" s="1">
        <v>0.25193199381761999</v>
      </c>
      <c r="E35" s="1">
        <v>0.21483771251931999</v>
      </c>
      <c r="F35" s="2">
        <v>0.24574961360123601</v>
      </c>
      <c r="G35" s="2">
        <v>0.24574961360123601</v>
      </c>
      <c r="H35" s="1">
        <v>0.24111282843894899</v>
      </c>
      <c r="I35">
        <v>647</v>
      </c>
      <c r="K35" s="1">
        <v>0.115919629057187</v>
      </c>
      <c r="L35" s="1">
        <v>0.20865533230293701</v>
      </c>
      <c r="M35" s="1">
        <v>0.20401854714064899</v>
      </c>
      <c r="N35" s="2">
        <v>0.13755795981452901</v>
      </c>
      <c r="O35" s="2">
        <v>0.187017001545595</v>
      </c>
      <c r="P35" s="1">
        <v>0.17001545595054099</v>
      </c>
      <c r="Q35">
        <v>647</v>
      </c>
    </row>
    <row r="36" spans="1:17" x14ac:dyDescent="0.25">
      <c r="A36" s="12"/>
      <c r="B36" s="8" t="s">
        <v>39</v>
      </c>
      <c r="C36" s="1">
        <v>0.247295208655332</v>
      </c>
      <c r="D36" s="1">
        <v>0.20401854714064899</v>
      </c>
      <c r="E36" s="1">
        <v>0.25502318392581103</v>
      </c>
      <c r="F36" s="2">
        <v>0.23029366306027799</v>
      </c>
      <c r="G36" s="2">
        <v>0.17310664605873299</v>
      </c>
      <c r="H36" s="1">
        <v>0.27666151468315298</v>
      </c>
      <c r="I36">
        <v>647</v>
      </c>
      <c r="K36" s="1">
        <v>0.115919629057187</v>
      </c>
      <c r="L36" s="1">
        <v>0.14683153013910399</v>
      </c>
      <c r="M36" s="1">
        <v>0.19165378670788299</v>
      </c>
      <c r="N36" s="2">
        <v>0.16692426584234901</v>
      </c>
      <c r="O36" s="2">
        <v>0.142194744976816</v>
      </c>
      <c r="P36" s="1">
        <v>0.202472952086553</v>
      </c>
      <c r="Q36">
        <v>647</v>
      </c>
    </row>
    <row r="37" spans="1:17" x14ac:dyDescent="0.25">
      <c r="A37" s="12"/>
      <c r="B37" s="8" t="s">
        <v>40</v>
      </c>
      <c r="C37" s="1">
        <v>0.31375579598145298</v>
      </c>
      <c r="D37" s="1">
        <v>0.30448222565687799</v>
      </c>
      <c r="E37" s="1">
        <v>0.157650695517774</v>
      </c>
      <c r="F37" s="2">
        <v>0.35857805255023201</v>
      </c>
      <c r="G37" s="2">
        <v>0.31530139103554899</v>
      </c>
      <c r="H37" s="1">
        <v>0.19165378670788299</v>
      </c>
      <c r="I37">
        <v>647</v>
      </c>
      <c r="K37" s="1">
        <v>0.16383307573415801</v>
      </c>
      <c r="L37" s="1">
        <v>0.19938176197836199</v>
      </c>
      <c r="M37" s="1">
        <v>0.12210200927357</v>
      </c>
      <c r="N37" s="2">
        <v>0.131375579598145</v>
      </c>
      <c r="O37" s="2">
        <v>0.21483771251931999</v>
      </c>
      <c r="P37" s="1">
        <v>0.12519319938176199</v>
      </c>
      <c r="Q37">
        <v>647</v>
      </c>
    </row>
    <row r="38" spans="1:17" x14ac:dyDescent="0.25">
      <c r="A38" s="12"/>
      <c r="B38" s="8" t="s">
        <v>41</v>
      </c>
      <c r="C38" s="1">
        <v>0.30905861456483102</v>
      </c>
      <c r="D38" s="1">
        <v>0.232682060390764</v>
      </c>
      <c r="E38" s="1">
        <v>0.24333925399644801</v>
      </c>
      <c r="F38" s="2">
        <v>0.29129662522202499</v>
      </c>
      <c r="G38" s="2">
        <v>0.27175843694493801</v>
      </c>
      <c r="H38" s="1">
        <v>0.232682060390764</v>
      </c>
      <c r="I38">
        <v>563</v>
      </c>
      <c r="K38" s="1">
        <v>0.11190053285968</v>
      </c>
      <c r="L38" s="1">
        <v>0.23801065719360601</v>
      </c>
      <c r="M38" s="1">
        <v>0.18827708703374799</v>
      </c>
      <c r="N38" s="2">
        <v>0.10479573712255801</v>
      </c>
      <c r="O38" s="2">
        <v>0.23090586145648301</v>
      </c>
      <c r="P38" s="1">
        <v>0.15985790408525799</v>
      </c>
      <c r="Q38">
        <v>563</v>
      </c>
    </row>
    <row r="39" spans="1:17" x14ac:dyDescent="0.25">
      <c r="A39" s="12"/>
      <c r="B39" s="8" t="s">
        <v>42</v>
      </c>
      <c r="C39" s="1">
        <v>0.46103896103896103</v>
      </c>
      <c r="D39" s="1">
        <v>0.22727272727272699</v>
      </c>
      <c r="E39" s="1">
        <v>0.18831168831168801</v>
      </c>
      <c r="F39" s="2">
        <v>0.40259740259740301</v>
      </c>
      <c r="G39" s="2">
        <v>0.30519480519480502</v>
      </c>
      <c r="H39" s="1">
        <v>0.19480519480519501</v>
      </c>
      <c r="I39">
        <v>154</v>
      </c>
      <c r="K39" s="1">
        <v>0.15584415584415601</v>
      </c>
      <c r="L39" s="1">
        <v>0.18181818181818199</v>
      </c>
      <c r="M39" s="1">
        <v>0.168831168831169</v>
      </c>
      <c r="N39" s="2">
        <v>0.12987012987013</v>
      </c>
      <c r="O39" s="2">
        <v>0.207792207792208</v>
      </c>
      <c r="P39" s="1">
        <v>0.162337662337662</v>
      </c>
      <c r="Q39">
        <v>154</v>
      </c>
    </row>
    <row r="40" spans="1:17" x14ac:dyDescent="0.25">
      <c r="A40" s="12"/>
      <c r="B40" s="8" t="s">
        <v>43</v>
      </c>
      <c r="C40" s="1">
        <v>0.26120556414219498</v>
      </c>
      <c r="D40" s="1">
        <v>0.25038639876352398</v>
      </c>
      <c r="E40" s="1">
        <v>0.258114374034003</v>
      </c>
      <c r="F40" s="2">
        <v>0.25502318392581103</v>
      </c>
      <c r="G40" s="2">
        <v>0.28284389489953599</v>
      </c>
      <c r="H40" s="1">
        <v>0.30293663060278198</v>
      </c>
      <c r="I40">
        <v>647</v>
      </c>
      <c r="K40" s="1">
        <v>0.134466769706337</v>
      </c>
      <c r="L40" s="1">
        <v>0.202472952086553</v>
      </c>
      <c r="M40" s="1">
        <v>0.19010819165378701</v>
      </c>
      <c r="N40" s="2">
        <v>0.114374034003091</v>
      </c>
      <c r="O40" s="2">
        <v>0.20710973724884099</v>
      </c>
      <c r="P40" s="1">
        <v>0.21483771251931999</v>
      </c>
      <c r="Q40">
        <v>647</v>
      </c>
    </row>
    <row r="41" spans="1:17" x14ac:dyDescent="0.25">
      <c r="A41" s="12"/>
      <c r="B41" s="8" t="s">
        <v>44</v>
      </c>
      <c r="C41" s="1">
        <v>0.34003091190108198</v>
      </c>
      <c r="D41" s="1">
        <v>0.224111282843895</v>
      </c>
      <c r="E41" s="1">
        <v>0.20092735703245801</v>
      </c>
      <c r="F41" s="2">
        <v>0.36476043276661502</v>
      </c>
      <c r="G41" s="2">
        <v>0.25656877897990699</v>
      </c>
      <c r="H41" s="1">
        <v>0.27511591962905702</v>
      </c>
      <c r="I41">
        <v>647</v>
      </c>
      <c r="K41" s="1">
        <v>0.134466769706337</v>
      </c>
      <c r="L41" s="1">
        <v>0.179289026275116</v>
      </c>
      <c r="M41" s="1">
        <v>0.15610510046367901</v>
      </c>
      <c r="N41" s="2">
        <v>0.12055641421947499</v>
      </c>
      <c r="O41" s="2">
        <v>0.17465224111282801</v>
      </c>
      <c r="P41" s="1">
        <v>0.142194744976816</v>
      </c>
      <c r="Q41">
        <v>647</v>
      </c>
    </row>
    <row r="42" spans="1:17" x14ac:dyDescent="0.25">
      <c r="A42" s="12" t="s">
        <v>1</v>
      </c>
      <c r="B42" s="9" t="s">
        <v>34</v>
      </c>
      <c r="C42" s="1">
        <v>0.20401854714064899</v>
      </c>
      <c r="D42" s="1">
        <v>0.236476043276662</v>
      </c>
      <c r="E42" s="1">
        <v>0.19629057187016999</v>
      </c>
      <c r="F42" s="2">
        <v>0.22256568778979899</v>
      </c>
      <c r="G42" s="2">
        <v>0.21483771251931999</v>
      </c>
      <c r="H42" s="1">
        <v>0.20865533230293701</v>
      </c>
      <c r="I42">
        <v>647</v>
      </c>
      <c r="K42" s="1">
        <v>0.160741885625966</v>
      </c>
      <c r="L42" s="1">
        <v>0.16228748068006199</v>
      </c>
      <c r="M42" s="1">
        <v>0.16383307573415801</v>
      </c>
      <c r="N42" s="2">
        <v>0.16383307573415801</v>
      </c>
      <c r="O42" s="2">
        <v>0.160741885625966</v>
      </c>
      <c r="P42" s="1">
        <v>0.18083462132921199</v>
      </c>
      <c r="Q42">
        <v>647</v>
      </c>
    </row>
    <row r="43" spans="1:17" x14ac:dyDescent="0.25">
      <c r="A43" s="12"/>
      <c r="B43" s="8" t="s">
        <v>35</v>
      </c>
      <c r="C43" s="1">
        <v>0.18856259659969099</v>
      </c>
      <c r="D43" s="1">
        <v>0.24574961360123601</v>
      </c>
      <c r="E43" s="1">
        <v>0.205564142194745</v>
      </c>
      <c r="F43" s="2">
        <v>0.19010819165378701</v>
      </c>
      <c r="G43" s="2">
        <v>0.25656877897990699</v>
      </c>
      <c r="H43" s="1">
        <v>0.20092735703245801</v>
      </c>
      <c r="I43">
        <v>647</v>
      </c>
      <c r="K43" s="1">
        <v>0.13292117465224099</v>
      </c>
      <c r="L43" s="1">
        <v>0.231839258114374</v>
      </c>
      <c r="M43" s="1">
        <v>0.17774343122101999</v>
      </c>
      <c r="N43" s="2">
        <v>0.12982998454404901</v>
      </c>
      <c r="O43" s="2">
        <v>0.25965996908809902</v>
      </c>
      <c r="P43" s="1">
        <v>0.17774343122101999</v>
      </c>
      <c r="Q43">
        <v>647</v>
      </c>
    </row>
    <row r="44" spans="1:17" x14ac:dyDescent="0.25">
      <c r="A44" s="12"/>
      <c r="B44" s="8" t="s">
        <v>36</v>
      </c>
      <c r="C44" s="1">
        <v>0.17774343122101999</v>
      </c>
      <c r="D44" s="1">
        <v>0.26120556414219498</v>
      </c>
      <c r="E44" s="4">
        <v>0.284389489953632</v>
      </c>
      <c r="F44" s="2">
        <v>0.224111282843895</v>
      </c>
      <c r="G44" s="2">
        <v>0.26738794435857799</v>
      </c>
      <c r="H44" s="4">
        <v>0.28593508500772802</v>
      </c>
      <c r="I44">
        <v>647</v>
      </c>
      <c r="K44" s="1">
        <v>0.114374034003091</v>
      </c>
      <c r="L44" s="1">
        <v>0.21483771251931999</v>
      </c>
      <c r="M44" s="4">
        <v>0.20092735703245801</v>
      </c>
      <c r="N44" s="2">
        <v>0.131375579598145</v>
      </c>
      <c r="O44" s="2">
        <v>0.26584234930448197</v>
      </c>
      <c r="P44" s="4">
        <v>0.19938176197836199</v>
      </c>
      <c r="Q44">
        <v>647</v>
      </c>
    </row>
    <row r="45" spans="1:17" x14ac:dyDescent="0.25">
      <c r="A45" s="12"/>
      <c r="B45" s="8" t="s">
        <v>37</v>
      </c>
      <c r="C45" s="1">
        <v>0.19010819165378701</v>
      </c>
      <c r="D45" s="1">
        <v>0.228748068006182</v>
      </c>
      <c r="E45" s="4">
        <v>4.6367851622874802E-2</v>
      </c>
      <c r="F45" s="2">
        <v>0.221020092735703</v>
      </c>
      <c r="G45" s="2">
        <v>0.273570324574961</v>
      </c>
      <c r="H45" s="4">
        <v>6.9551777434312206E-2</v>
      </c>
      <c r="I45">
        <v>647</v>
      </c>
      <c r="K45" s="1">
        <v>0.14528593508500801</v>
      </c>
      <c r="L45" s="1">
        <v>0.187017001545595</v>
      </c>
      <c r="M45" s="4">
        <v>4.1731066460587302E-2</v>
      </c>
      <c r="N45" s="2">
        <v>0.11901081916537901</v>
      </c>
      <c r="O45" s="2">
        <v>0.183925811437403</v>
      </c>
      <c r="P45" s="4">
        <v>6.6460587326120604E-2</v>
      </c>
      <c r="Q45">
        <v>647</v>
      </c>
    </row>
    <row r="46" spans="1:17" x14ac:dyDescent="0.25">
      <c r="A46" s="12"/>
      <c r="B46" s="8" t="s">
        <v>38</v>
      </c>
      <c r="C46" s="1">
        <v>0.15919629057187001</v>
      </c>
      <c r="D46" s="1">
        <v>0.27202472952086598</v>
      </c>
      <c r="E46" s="1">
        <v>0.236476043276662</v>
      </c>
      <c r="F46" s="2">
        <v>0.176197836166924</v>
      </c>
      <c r="G46" s="2">
        <v>0.29829984544049498</v>
      </c>
      <c r="H46" s="1">
        <v>0.25502318392581103</v>
      </c>
      <c r="I46">
        <v>647</v>
      </c>
      <c r="K46" s="1">
        <v>0.149922720247295</v>
      </c>
      <c r="L46" s="1">
        <v>0.21638330757341601</v>
      </c>
      <c r="M46" s="1">
        <v>0.197836166924266</v>
      </c>
      <c r="N46" s="2">
        <v>0.15919629057187001</v>
      </c>
      <c r="O46" s="2">
        <v>0.25193199381761999</v>
      </c>
      <c r="P46" s="1">
        <v>0.247295208655332</v>
      </c>
      <c r="Q46">
        <v>647</v>
      </c>
    </row>
    <row r="47" spans="1:17" x14ac:dyDescent="0.25">
      <c r="A47" s="12"/>
      <c r="B47" s="8" t="s">
        <v>39</v>
      </c>
      <c r="C47" s="1">
        <v>0.17001545595054099</v>
      </c>
      <c r="D47" s="1">
        <v>0.168469860896445</v>
      </c>
      <c r="E47" s="1">
        <v>0.25347758887171601</v>
      </c>
      <c r="F47" s="2">
        <v>0.19010819165378701</v>
      </c>
      <c r="G47" s="2">
        <v>0.16228748068006199</v>
      </c>
      <c r="H47" s="1">
        <v>0.24884080370942799</v>
      </c>
      <c r="I47">
        <v>647</v>
      </c>
      <c r="K47" s="1">
        <v>0.13292117465224099</v>
      </c>
      <c r="L47" s="1">
        <v>0.14683153013910399</v>
      </c>
      <c r="M47" s="1">
        <v>0.197836166924266</v>
      </c>
      <c r="N47" s="2">
        <v>0.10355486862442</v>
      </c>
      <c r="O47" s="2">
        <v>0.12519319938176199</v>
      </c>
      <c r="P47" s="1">
        <v>0.18083462132921199</v>
      </c>
      <c r="Q47">
        <v>647</v>
      </c>
    </row>
    <row r="48" spans="1:17" x14ac:dyDescent="0.25">
      <c r="A48" s="12"/>
      <c r="B48" s="8" t="s">
        <v>40</v>
      </c>
      <c r="C48" s="1">
        <v>0.21947449768160701</v>
      </c>
      <c r="D48" s="1">
        <v>0.27820710973724899</v>
      </c>
      <c r="E48" s="1">
        <v>0.18856259659969099</v>
      </c>
      <c r="F48" s="2">
        <v>0.21174652241112801</v>
      </c>
      <c r="G48" s="2">
        <v>0.30293663060278198</v>
      </c>
      <c r="H48" s="1">
        <v>0.168469860896445</v>
      </c>
      <c r="I48">
        <v>647</v>
      </c>
      <c r="K48" s="1">
        <v>0.157650695517774</v>
      </c>
      <c r="L48" s="1">
        <v>0.231839258114374</v>
      </c>
      <c r="M48" s="1">
        <v>0.142194744976816</v>
      </c>
      <c r="N48" s="2">
        <v>0.176197836166924</v>
      </c>
      <c r="O48" s="2">
        <v>0.23029366306027799</v>
      </c>
      <c r="P48" s="1">
        <v>0.15146831530139099</v>
      </c>
      <c r="Q48">
        <v>647</v>
      </c>
    </row>
    <row r="49" spans="1:17" x14ac:dyDescent="0.25">
      <c r="A49" s="12"/>
      <c r="B49" s="8" t="s">
        <v>41</v>
      </c>
      <c r="C49" s="1">
        <v>0.17902350813743201</v>
      </c>
      <c r="D49" s="1">
        <v>0.25135623869801099</v>
      </c>
      <c r="E49" s="1">
        <v>0.24412296564195299</v>
      </c>
      <c r="F49" s="2">
        <v>0.15551537070524399</v>
      </c>
      <c r="G49" s="2">
        <v>0.29475587703435802</v>
      </c>
      <c r="H49" s="1">
        <v>0.26401446654611199</v>
      </c>
      <c r="I49">
        <v>553</v>
      </c>
      <c r="K49" s="1">
        <v>0.11573236889692599</v>
      </c>
      <c r="L49" s="1">
        <v>0.215189873417722</v>
      </c>
      <c r="M49" s="1">
        <v>0.17359855334538901</v>
      </c>
      <c r="N49" s="2">
        <v>0.10126582278481</v>
      </c>
      <c r="O49" s="2">
        <v>0.20614828209764899</v>
      </c>
      <c r="P49" s="1">
        <v>0.15370705244123001</v>
      </c>
      <c r="Q49">
        <v>553</v>
      </c>
    </row>
    <row r="50" spans="1:17" x14ac:dyDescent="0.25">
      <c r="A50" s="12"/>
      <c r="B50" s="8" t="s">
        <v>42</v>
      </c>
      <c r="C50" s="1">
        <v>0.16447368421052599</v>
      </c>
      <c r="D50" s="1">
        <v>0.23684210526315799</v>
      </c>
      <c r="E50" s="1">
        <v>0.177631578947368</v>
      </c>
      <c r="F50" s="2">
        <v>0.118421052631579</v>
      </c>
      <c r="G50" s="2">
        <v>0.26315789473684198</v>
      </c>
      <c r="H50" s="1">
        <v>0.144736842105263</v>
      </c>
      <c r="I50">
        <v>152</v>
      </c>
      <c r="K50" s="1">
        <v>0.11184210526315801</v>
      </c>
      <c r="L50" s="1">
        <v>0.177631578947368</v>
      </c>
      <c r="M50" s="1">
        <v>0.13157894736842099</v>
      </c>
      <c r="N50" s="2">
        <v>0.157894736842105</v>
      </c>
      <c r="O50" s="2">
        <v>0.11184210526315801</v>
      </c>
      <c r="P50" s="1">
        <v>0.118421052631579</v>
      </c>
      <c r="Q50">
        <v>152</v>
      </c>
    </row>
    <row r="51" spans="1:17" x14ac:dyDescent="0.25">
      <c r="A51" s="12"/>
      <c r="B51" s="8" t="s">
        <v>43</v>
      </c>
      <c r="C51" s="1">
        <v>0.194744976816074</v>
      </c>
      <c r="D51" s="1">
        <v>0.21483771251931999</v>
      </c>
      <c r="E51" s="1">
        <v>0.23029366306027799</v>
      </c>
      <c r="F51" s="2">
        <v>0.17001545595054099</v>
      </c>
      <c r="G51" s="2">
        <v>0.23029366306027799</v>
      </c>
      <c r="H51" s="1">
        <v>0.25502318392581103</v>
      </c>
      <c r="I51">
        <v>647</v>
      </c>
      <c r="K51" s="1">
        <v>0.12210200927357</v>
      </c>
      <c r="L51" s="1">
        <v>0.21174652241112801</v>
      </c>
      <c r="M51" s="1">
        <v>0.202472952086553</v>
      </c>
      <c r="N51" s="2">
        <v>0.12055641421947499</v>
      </c>
      <c r="O51" s="2">
        <v>0.231839258114374</v>
      </c>
      <c r="P51" s="1">
        <v>0.23029366306027799</v>
      </c>
      <c r="Q51">
        <v>647</v>
      </c>
    </row>
    <row r="52" spans="1:17" x14ac:dyDescent="0.25">
      <c r="A52" s="12"/>
      <c r="B52" s="8" t="s">
        <v>44</v>
      </c>
      <c r="C52" s="1">
        <v>0.20865533230293701</v>
      </c>
      <c r="D52" s="1">
        <v>0.213292117465224</v>
      </c>
      <c r="E52" s="1">
        <v>0.202472952086553</v>
      </c>
      <c r="F52" s="2">
        <v>0.224111282843895</v>
      </c>
      <c r="G52" s="2">
        <v>0.24265842349304501</v>
      </c>
      <c r="H52" s="1">
        <v>0.224111282843895</v>
      </c>
      <c r="I52">
        <v>647</v>
      </c>
      <c r="K52" s="1">
        <v>0.131375579598145</v>
      </c>
      <c r="L52" s="1">
        <v>0.183925811437403</v>
      </c>
      <c r="M52" s="1">
        <v>0.18856259659969099</v>
      </c>
      <c r="N52" s="2">
        <v>0.126738794435858</v>
      </c>
      <c r="O52" s="2">
        <v>0.194744976816074</v>
      </c>
      <c r="P52" s="1">
        <v>0.18856259659969099</v>
      </c>
      <c r="Q52">
        <v>647</v>
      </c>
    </row>
    <row r="53" spans="1:17" x14ac:dyDescent="0.25">
      <c r="A53" s="12" t="s">
        <v>69</v>
      </c>
      <c r="B53" s="8" t="s">
        <v>45</v>
      </c>
      <c r="C53" s="1">
        <v>0.176737160120846</v>
      </c>
      <c r="D53" s="1">
        <v>0.243202416918429</v>
      </c>
      <c r="E53" s="1">
        <v>0.21752265861027201</v>
      </c>
      <c r="F53" s="2">
        <v>0.18277945619335301</v>
      </c>
      <c r="G53" s="2">
        <v>0.25528700906344398</v>
      </c>
      <c r="H53" s="1">
        <v>0.22356495468277901</v>
      </c>
      <c r="I53">
        <v>662</v>
      </c>
      <c r="K53" s="1">
        <v>7.8549848942598199E-2</v>
      </c>
      <c r="L53" s="1">
        <v>0.199395770392749</v>
      </c>
      <c r="M53" s="1">
        <v>0.14803625377643501</v>
      </c>
      <c r="N53" s="2">
        <v>8.1570996978852006E-2</v>
      </c>
      <c r="O53" s="2">
        <v>0.205438066465257</v>
      </c>
      <c r="P53" s="1">
        <v>0.14954682779456199</v>
      </c>
      <c r="Q53">
        <v>662</v>
      </c>
    </row>
    <row r="54" spans="1:17" x14ac:dyDescent="0.25">
      <c r="A54" s="12"/>
      <c r="B54" s="8" t="s">
        <v>46</v>
      </c>
      <c r="C54" s="1">
        <v>0.224550898203593</v>
      </c>
      <c r="D54" s="1">
        <v>0.23502994011976</v>
      </c>
      <c r="E54" s="1">
        <v>0.17814371257485001</v>
      </c>
      <c r="F54" s="2">
        <v>0.23353293413173701</v>
      </c>
      <c r="G54" s="2">
        <v>0.24251497005987999</v>
      </c>
      <c r="H54" s="1">
        <v>0.18263473053892201</v>
      </c>
      <c r="I54">
        <v>668</v>
      </c>
      <c r="K54" s="1">
        <v>0.139221556886228</v>
      </c>
      <c r="L54" s="1">
        <v>0.18862275449101801</v>
      </c>
      <c r="M54" s="1">
        <v>0.145209580838323</v>
      </c>
      <c r="N54" s="2">
        <v>0.145209580838323</v>
      </c>
      <c r="O54" s="2">
        <v>0.19311377245509001</v>
      </c>
      <c r="P54" s="1">
        <v>0.145209580838323</v>
      </c>
      <c r="Q54">
        <v>668</v>
      </c>
    </row>
    <row r="55" spans="1:17" x14ac:dyDescent="0.25">
      <c r="A55" s="12"/>
      <c r="B55" s="8" t="s">
        <v>47</v>
      </c>
      <c r="C55" s="1">
        <v>0.20809898762654699</v>
      </c>
      <c r="D55" s="1">
        <v>0.19572553430821099</v>
      </c>
      <c r="E55" s="1">
        <v>0.27446569178852598</v>
      </c>
      <c r="F55" s="2">
        <v>0.220472440944882</v>
      </c>
      <c r="G55" s="2">
        <v>0.20584926884139501</v>
      </c>
      <c r="H55" s="1">
        <v>0.28683914510686198</v>
      </c>
      <c r="I55">
        <v>889</v>
      </c>
      <c r="K55" s="1">
        <v>0.121621621621622</v>
      </c>
      <c r="L55" s="1">
        <v>0.17229729729729701</v>
      </c>
      <c r="M55" s="1">
        <v>0.197072072072072</v>
      </c>
      <c r="N55" s="2">
        <v>0.12725225225225201</v>
      </c>
      <c r="O55" s="2">
        <v>0.17567567567567599</v>
      </c>
      <c r="P55" s="1">
        <v>0.203828828828829</v>
      </c>
      <c r="Q55">
        <v>888</v>
      </c>
    </row>
    <row r="56" spans="1:17" x14ac:dyDescent="0.25">
      <c r="A56" s="12"/>
      <c r="B56" s="8" t="s">
        <v>48</v>
      </c>
      <c r="C56" s="1">
        <v>0.170634920634921</v>
      </c>
      <c r="D56" s="1">
        <v>0.180555555555556</v>
      </c>
      <c r="E56" s="1">
        <v>0.17658730158730199</v>
      </c>
      <c r="F56" s="2">
        <v>0.17460317460317501</v>
      </c>
      <c r="G56" s="2">
        <v>0.182539682539683</v>
      </c>
      <c r="H56" s="1">
        <v>0.17857142857142899</v>
      </c>
      <c r="I56">
        <v>504</v>
      </c>
      <c r="K56" s="1">
        <v>7.1428571428571397E-2</v>
      </c>
      <c r="L56" s="1">
        <v>0.16269841269841301</v>
      </c>
      <c r="M56" s="1">
        <v>0.172619047619048</v>
      </c>
      <c r="N56" s="2">
        <v>7.3412698412698402E-2</v>
      </c>
      <c r="O56" s="2">
        <v>0.16666666666666699</v>
      </c>
      <c r="P56" s="1">
        <v>0.180555555555556</v>
      </c>
      <c r="Q56">
        <v>504</v>
      </c>
    </row>
    <row r="57" spans="1:17" x14ac:dyDescent="0.25">
      <c r="A57" s="12"/>
      <c r="B57" s="8" t="s">
        <v>49</v>
      </c>
      <c r="C57" s="1">
        <v>0.20398009950248799</v>
      </c>
      <c r="D57" s="1">
        <v>0.24378109452736299</v>
      </c>
      <c r="E57" s="1">
        <v>0.16915422885572101</v>
      </c>
      <c r="F57" s="2">
        <v>0.20398009950248799</v>
      </c>
      <c r="G57" s="2">
        <v>0.26368159203980102</v>
      </c>
      <c r="H57" s="1">
        <v>0.17910447761194001</v>
      </c>
      <c r="I57">
        <v>201</v>
      </c>
      <c r="K57" s="1">
        <v>0.119402985074627</v>
      </c>
      <c r="L57" s="1">
        <v>0.18407960199005</v>
      </c>
      <c r="M57" s="1">
        <v>0.19900497512437801</v>
      </c>
      <c r="N57" s="2">
        <v>0.124378109452736</v>
      </c>
      <c r="O57" s="2">
        <v>0.18407960199005</v>
      </c>
      <c r="P57" s="1">
        <v>0.20398009950248799</v>
      </c>
      <c r="Q57">
        <v>201</v>
      </c>
    </row>
    <row r="58" spans="1:17" x14ac:dyDescent="0.25">
      <c r="A58" s="12"/>
      <c r="B58" s="8" t="s">
        <v>50</v>
      </c>
      <c r="C58" s="1">
        <v>0.232222222222222</v>
      </c>
      <c r="D58" s="1">
        <v>0.26888888888888901</v>
      </c>
      <c r="E58" s="1">
        <v>0.21333333333333299</v>
      </c>
      <c r="F58" s="2">
        <v>0.24</v>
      </c>
      <c r="G58" s="2">
        <v>0.275555555555556</v>
      </c>
      <c r="H58" s="1">
        <v>0.215555555555556</v>
      </c>
      <c r="I58">
        <v>900</v>
      </c>
      <c r="K58" s="1">
        <v>0.10888888888888899</v>
      </c>
      <c r="L58" s="1">
        <v>0.233333333333333</v>
      </c>
      <c r="M58" s="1">
        <v>0.19</v>
      </c>
      <c r="N58" s="2">
        <v>0.112222222222222</v>
      </c>
      <c r="O58" s="2">
        <v>0.24</v>
      </c>
      <c r="P58" s="1">
        <v>0.19111111111111101</v>
      </c>
      <c r="Q58">
        <v>900</v>
      </c>
    </row>
    <row r="59" spans="1:17" x14ac:dyDescent="0.25">
      <c r="A59" s="12"/>
      <c r="B59" s="8" t="s">
        <v>51</v>
      </c>
      <c r="C59" s="1">
        <v>0.28125</v>
      </c>
      <c r="D59" s="1">
        <v>0.233630952380952</v>
      </c>
      <c r="E59" s="1">
        <v>0.30803571428571402</v>
      </c>
      <c r="F59" s="2">
        <v>0.29315476190476197</v>
      </c>
      <c r="G59" s="2">
        <v>0.24404761904761901</v>
      </c>
      <c r="H59" s="1">
        <v>0.33035714285714302</v>
      </c>
      <c r="I59">
        <v>672</v>
      </c>
      <c r="K59" s="1">
        <v>0.117559523809524</v>
      </c>
      <c r="L59" s="1">
        <v>0.18601190476190499</v>
      </c>
      <c r="M59" s="1">
        <v>0.230654761904762</v>
      </c>
      <c r="N59" s="2">
        <v>0.119047619047619</v>
      </c>
      <c r="O59" s="2">
        <v>0.18898809523809501</v>
      </c>
      <c r="P59" s="1">
        <v>0.233630952380952</v>
      </c>
      <c r="Q59">
        <v>672</v>
      </c>
    </row>
    <row r="60" spans="1:17" x14ac:dyDescent="0.25">
      <c r="A60" s="12"/>
      <c r="B60" s="8" t="s">
        <v>52</v>
      </c>
      <c r="C60" s="1">
        <v>8.5510688836104506E-2</v>
      </c>
      <c r="D60" s="1">
        <v>0.28503562945368199</v>
      </c>
      <c r="E60" s="1">
        <v>0.178147268408551</v>
      </c>
      <c r="F60" s="2">
        <v>8.5510688836104506E-2</v>
      </c>
      <c r="G60" s="2">
        <v>0.29928741092636602</v>
      </c>
      <c r="H60" s="1">
        <v>0.18527315914489301</v>
      </c>
      <c r="I60">
        <v>421</v>
      </c>
      <c r="K60" s="1">
        <v>4.9881235154394299E-2</v>
      </c>
      <c r="L60" s="1">
        <v>0.223277909738717</v>
      </c>
      <c r="M60" s="1">
        <v>0.17339667458432301</v>
      </c>
      <c r="N60" s="2">
        <v>4.9881235154394299E-2</v>
      </c>
      <c r="O60" s="2">
        <v>0.23277909738717301</v>
      </c>
      <c r="P60" s="1">
        <v>0.17339667458432301</v>
      </c>
      <c r="Q60">
        <v>421</v>
      </c>
    </row>
    <row r="61" spans="1:17" x14ac:dyDescent="0.25">
      <c r="A61" s="12" t="s">
        <v>70</v>
      </c>
      <c r="B61" s="8" t="s">
        <v>53</v>
      </c>
      <c r="C61" s="1">
        <v>0.12596006144393199</v>
      </c>
      <c r="D61" s="1">
        <v>0.25038402457757297</v>
      </c>
      <c r="E61" s="1">
        <v>0.244239631336406</v>
      </c>
      <c r="F61" s="2">
        <v>0.13210445468509999</v>
      </c>
      <c r="G61" s="2">
        <v>0.26574500768049197</v>
      </c>
      <c r="H61" s="1">
        <v>0.25652841781873997</v>
      </c>
      <c r="I61">
        <v>651</v>
      </c>
      <c r="K61" s="1">
        <v>9.3701996927803399E-2</v>
      </c>
      <c r="L61" s="1">
        <v>0.17972350230414699</v>
      </c>
      <c r="M61" s="1">
        <v>0.16129032258064499</v>
      </c>
      <c r="N61" s="2">
        <v>9.6774193548387094E-2</v>
      </c>
      <c r="O61" s="2">
        <v>0.18433179723502299</v>
      </c>
      <c r="P61" s="1">
        <v>0.17204301075268799</v>
      </c>
      <c r="Q61">
        <v>651</v>
      </c>
    </row>
    <row r="62" spans="1:17" x14ac:dyDescent="0.25">
      <c r="A62" s="12"/>
      <c r="B62" s="8" t="s">
        <v>54</v>
      </c>
      <c r="C62" s="1">
        <v>8.9147286821705404E-2</v>
      </c>
      <c r="D62" s="1">
        <v>0.232558139534884</v>
      </c>
      <c r="E62" s="1">
        <v>0.209302325581395</v>
      </c>
      <c r="F62" s="2">
        <v>9.3023255813953501E-2</v>
      </c>
      <c r="G62" s="2">
        <v>0.24418604651162801</v>
      </c>
      <c r="H62" s="1">
        <v>0.21576227390180899</v>
      </c>
      <c r="I62">
        <v>774</v>
      </c>
      <c r="K62" s="1">
        <v>9.1731266149870802E-2</v>
      </c>
      <c r="L62" s="1">
        <v>0.184754521963824</v>
      </c>
      <c r="M62" s="1">
        <v>0.15891472868217099</v>
      </c>
      <c r="N62" s="2">
        <v>9.43152454780362E-2</v>
      </c>
      <c r="O62" s="2">
        <v>0.186046511627907</v>
      </c>
      <c r="P62" s="1">
        <v>0.160206718346253</v>
      </c>
      <c r="Q62">
        <v>774</v>
      </c>
    </row>
    <row r="63" spans="1:17" x14ac:dyDescent="0.25">
      <c r="A63" s="12"/>
      <c r="B63" s="8" t="s">
        <v>55</v>
      </c>
      <c r="C63" s="1">
        <v>6.5088757396449703E-2</v>
      </c>
      <c r="D63" s="1">
        <v>0.21301775147929</v>
      </c>
      <c r="E63" s="1">
        <v>0.106508875739645</v>
      </c>
      <c r="F63" s="2">
        <v>6.5088757396449703E-2</v>
      </c>
      <c r="G63" s="2">
        <v>0.21301775147929</v>
      </c>
      <c r="H63" s="1">
        <v>0.106508875739645</v>
      </c>
      <c r="I63">
        <v>169</v>
      </c>
      <c r="K63" s="1">
        <v>2.9585798816568001E-2</v>
      </c>
      <c r="L63" s="1">
        <v>0.207100591715976</v>
      </c>
      <c r="M63" s="1">
        <v>0.112426035502959</v>
      </c>
      <c r="N63" s="2">
        <v>3.5502958579881699E-2</v>
      </c>
      <c r="O63" s="2">
        <v>0.21301775147929</v>
      </c>
      <c r="P63" s="1">
        <v>0.112426035502959</v>
      </c>
      <c r="Q63">
        <v>169</v>
      </c>
    </row>
    <row r="64" spans="1:17" x14ac:dyDescent="0.25">
      <c r="A64" s="12"/>
      <c r="B64" s="8" t="s">
        <v>56</v>
      </c>
      <c r="C64" s="1">
        <v>0.13990825688073399</v>
      </c>
      <c r="D64" s="1">
        <v>0.22935779816513799</v>
      </c>
      <c r="E64" s="1">
        <v>0.26605504587155998</v>
      </c>
      <c r="F64" s="2">
        <v>0.13990825688073399</v>
      </c>
      <c r="G64" s="2">
        <v>0.24082568807339499</v>
      </c>
      <c r="H64" s="1">
        <v>0.27752293577981701</v>
      </c>
      <c r="I64">
        <v>436</v>
      </c>
      <c r="K64" s="1">
        <v>0.13302752293577999</v>
      </c>
      <c r="L64" s="1">
        <v>0.22477064220183501</v>
      </c>
      <c r="M64" s="1">
        <v>0.21559633027522901</v>
      </c>
      <c r="N64" s="2">
        <v>0.13302752293577999</v>
      </c>
      <c r="O64" s="2">
        <v>0.22935779816513799</v>
      </c>
      <c r="P64" s="1">
        <v>0.22247706422018301</v>
      </c>
      <c r="Q64">
        <v>436</v>
      </c>
    </row>
    <row r="65" spans="1:17" x14ac:dyDescent="0.25">
      <c r="A65" s="12"/>
      <c r="B65" s="8" t="s">
        <v>57</v>
      </c>
      <c r="C65" s="1">
        <v>0.14937106918238999</v>
      </c>
      <c r="D65" s="1">
        <v>0.22641509433962301</v>
      </c>
      <c r="E65" s="1">
        <v>0.21069182389937099</v>
      </c>
      <c r="F65" s="2">
        <v>0.160377358490566</v>
      </c>
      <c r="G65" s="2">
        <v>0.24213836477987399</v>
      </c>
      <c r="H65" s="1">
        <v>0.223270440251572</v>
      </c>
      <c r="I65">
        <v>636</v>
      </c>
      <c r="K65" s="1">
        <v>0.11477987421383599</v>
      </c>
      <c r="L65" s="1">
        <v>0.17138364779874199</v>
      </c>
      <c r="M65" s="1">
        <v>0.169811320754717</v>
      </c>
      <c r="N65" s="2">
        <v>0.11949685534591201</v>
      </c>
      <c r="O65" s="2">
        <v>0.17767295597484301</v>
      </c>
      <c r="P65" s="1">
        <v>0.17767295597484301</v>
      </c>
      <c r="Q65">
        <v>636</v>
      </c>
    </row>
    <row r="66" spans="1:17" x14ac:dyDescent="0.25">
      <c r="A66" s="12" t="s">
        <v>71</v>
      </c>
      <c r="B66" s="8" t="s">
        <v>53</v>
      </c>
      <c r="C66" s="1">
        <v>0.160419790104948</v>
      </c>
      <c r="D66" s="1">
        <v>0.23538230884557701</v>
      </c>
      <c r="E66" s="1">
        <v>0.22788605697151401</v>
      </c>
      <c r="F66" s="2">
        <v>0.16941529235382299</v>
      </c>
      <c r="G66" s="2">
        <v>0.245877061469265</v>
      </c>
      <c r="H66" s="1">
        <v>0.24137931034482801</v>
      </c>
      <c r="I66">
        <v>667</v>
      </c>
      <c r="K66" s="1">
        <v>9.4452773613193403E-2</v>
      </c>
      <c r="L66" s="1">
        <v>0.19940029985007501</v>
      </c>
      <c r="M66" s="1">
        <v>0.203898050974513</v>
      </c>
      <c r="N66" s="2">
        <v>9.5952023988005994E-2</v>
      </c>
      <c r="O66" s="2">
        <v>0.20539730134932499</v>
      </c>
      <c r="P66" s="1">
        <v>0.209895052473763</v>
      </c>
      <c r="Q66">
        <v>667</v>
      </c>
    </row>
    <row r="67" spans="1:17" x14ac:dyDescent="0.25">
      <c r="A67" s="12"/>
      <c r="B67" s="8" t="s">
        <v>54</v>
      </c>
      <c r="C67" s="1">
        <v>0.16582278481012699</v>
      </c>
      <c r="D67" s="1">
        <v>0.25189873417721498</v>
      </c>
      <c r="E67" s="1">
        <v>0.22911392405063299</v>
      </c>
      <c r="F67" s="2">
        <v>0.17341772151898699</v>
      </c>
      <c r="G67" s="2">
        <v>0.265822784810127</v>
      </c>
      <c r="H67" s="1">
        <v>0.24177215189873399</v>
      </c>
      <c r="I67">
        <v>790</v>
      </c>
      <c r="K67" s="1">
        <v>7.4683544303797506E-2</v>
      </c>
      <c r="L67" s="1">
        <v>0.17594936708860801</v>
      </c>
      <c r="M67" s="1">
        <v>0.16202531645569601</v>
      </c>
      <c r="N67" s="2">
        <v>7.5949367088607597E-2</v>
      </c>
      <c r="O67" s="2">
        <v>0.17594936708860801</v>
      </c>
      <c r="P67" s="1">
        <v>0.164556962025316</v>
      </c>
      <c r="Q67">
        <v>790</v>
      </c>
    </row>
    <row r="68" spans="1:17" x14ac:dyDescent="0.25">
      <c r="A68" s="12"/>
      <c r="B68" s="8" t="s">
        <v>55</v>
      </c>
      <c r="C68" s="1">
        <v>0.186046511627907</v>
      </c>
      <c r="D68" s="1">
        <v>0.21511627906976699</v>
      </c>
      <c r="E68" s="1">
        <v>0.116279069767442</v>
      </c>
      <c r="F68" s="2">
        <v>0.19767441860465099</v>
      </c>
      <c r="G68" s="2">
        <v>0.21511627906976699</v>
      </c>
      <c r="H68" s="1">
        <v>0.122093023255814</v>
      </c>
      <c r="I68">
        <v>172</v>
      </c>
      <c r="K68" s="1">
        <v>2.32558139534884E-2</v>
      </c>
      <c r="L68" s="1">
        <v>0.21511627906976699</v>
      </c>
      <c r="M68" s="1">
        <v>5.8139534883720902E-2</v>
      </c>
      <c r="N68" s="2">
        <v>2.9069767441860499E-2</v>
      </c>
      <c r="O68" s="2">
        <v>0.226744186046512</v>
      </c>
      <c r="P68" s="1">
        <v>5.8139534883720902E-2</v>
      </c>
      <c r="Q68">
        <v>172</v>
      </c>
    </row>
    <row r="69" spans="1:17" x14ac:dyDescent="0.25">
      <c r="A69" s="12"/>
      <c r="B69" s="8" t="s">
        <v>56</v>
      </c>
      <c r="C69" s="1">
        <v>0.17713004484304901</v>
      </c>
      <c r="D69" s="1">
        <v>0.19506726457399101</v>
      </c>
      <c r="E69" s="1">
        <v>0.21524663677129999</v>
      </c>
      <c r="F69" s="2">
        <v>0.18834080717488799</v>
      </c>
      <c r="G69" s="2">
        <v>0.201793721973094</v>
      </c>
      <c r="H69" s="1">
        <v>0.226457399103139</v>
      </c>
      <c r="I69">
        <v>446</v>
      </c>
      <c r="K69" s="1">
        <v>9.4170403587443899E-2</v>
      </c>
      <c r="L69" s="1">
        <v>0.21300448430493299</v>
      </c>
      <c r="M69" s="1">
        <v>0.21748878923766801</v>
      </c>
      <c r="N69" s="2">
        <v>9.8654708520179393E-2</v>
      </c>
      <c r="O69" s="2">
        <v>0.21748878923766801</v>
      </c>
      <c r="P69" s="1">
        <v>0.21748878923766801</v>
      </c>
      <c r="Q69">
        <v>446</v>
      </c>
    </row>
    <row r="70" spans="1:17" x14ac:dyDescent="0.25">
      <c r="A70" s="12"/>
      <c r="B70" s="8" t="s">
        <v>57</v>
      </c>
      <c r="C70" s="1">
        <v>0.23757763975155299</v>
      </c>
      <c r="D70" s="1">
        <v>0.23913043478260901</v>
      </c>
      <c r="E70" s="1">
        <v>0.19254658385093201</v>
      </c>
      <c r="F70" s="2">
        <v>0.25776397515527999</v>
      </c>
      <c r="G70" s="2">
        <v>0.25</v>
      </c>
      <c r="H70" s="1">
        <v>0.197204968944099</v>
      </c>
      <c r="I70">
        <v>644</v>
      </c>
      <c r="K70" s="1">
        <v>0.114906832298137</v>
      </c>
      <c r="L70" s="1">
        <v>0.18012422360248401</v>
      </c>
      <c r="M70" s="1">
        <v>0.16925465838509299</v>
      </c>
      <c r="N70" s="2">
        <v>0.114906832298137</v>
      </c>
      <c r="O70" s="2">
        <v>0.184782608695652</v>
      </c>
      <c r="P70" s="1">
        <v>0.177018633540373</v>
      </c>
      <c r="Q70">
        <v>644</v>
      </c>
    </row>
    <row r="71" spans="1:17" x14ac:dyDescent="0.25">
      <c r="A71" s="12" t="s">
        <v>72</v>
      </c>
      <c r="B71" s="8" t="s">
        <v>58</v>
      </c>
      <c r="C71" s="1">
        <v>0.234991423670669</v>
      </c>
      <c r="D71" s="1">
        <v>0.19382504288164701</v>
      </c>
      <c r="E71" s="1">
        <v>0.21440823327615799</v>
      </c>
      <c r="F71" s="2">
        <v>0.23156089193825</v>
      </c>
      <c r="G71" s="2">
        <v>0.195540308747856</v>
      </c>
      <c r="H71" s="1">
        <v>0.205831903945112</v>
      </c>
      <c r="I71">
        <v>583</v>
      </c>
      <c r="K71" s="1">
        <v>0.13893653516294999</v>
      </c>
      <c r="L71" s="1">
        <v>0.17495711835334499</v>
      </c>
      <c r="M71" s="1">
        <v>0.19039451114922801</v>
      </c>
      <c r="N71" s="2">
        <v>0.111492281303602</v>
      </c>
      <c r="O71" s="2">
        <v>0.18867924528301899</v>
      </c>
      <c r="P71" s="1">
        <v>0.17838765008576299</v>
      </c>
      <c r="Q71">
        <v>583</v>
      </c>
    </row>
    <row r="72" spans="1:17" x14ac:dyDescent="0.25">
      <c r="A72" s="12"/>
      <c r="B72" s="8" t="s">
        <v>59</v>
      </c>
      <c r="C72" s="1">
        <v>0.20926243567753</v>
      </c>
      <c r="D72" s="1">
        <v>0.234991423670669</v>
      </c>
      <c r="E72" s="1">
        <v>0.16809605488850801</v>
      </c>
      <c r="F72" s="2">
        <v>0.25728987993138902</v>
      </c>
      <c r="G72" s="2">
        <v>0.26586620926243598</v>
      </c>
      <c r="H72" s="1">
        <v>0.183533447684391</v>
      </c>
      <c r="I72">
        <v>583</v>
      </c>
      <c r="K72" s="1">
        <v>0.15094339622641501</v>
      </c>
      <c r="L72" s="1">
        <v>0.195540308747856</v>
      </c>
      <c r="M72" s="1">
        <v>0.113207547169811</v>
      </c>
      <c r="N72" s="2">
        <v>0.16123499142367101</v>
      </c>
      <c r="O72" s="2">
        <v>0.20926243567753</v>
      </c>
      <c r="P72" s="1">
        <v>0.13207547169811301</v>
      </c>
      <c r="Q72">
        <v>583</v>
      </c>
    </row>
    <row r="73" spans="1:17" x14ac:dyDescent="0.25">
      <c r="A73" s="12"/>
      <c r="B73" s="8" t="s">
        <v>60</v>
      </c>
      <c r="C73" s="1">
        <v>0.307032590051458</v>
      </c>
      <c r="D73" s="1">
        <v>0.248713550600343</v>
      </c>
      <c r="E73" s="1">
        <v>0.23156089193825</v>
      </c>
      <c r="F73" s="2">
        <v>0.300171526586621</v>
      </c>
      <c r="G73" s="2">
        <v>0.26243567753001701</v>
      </c>
      <c r="H73" s="1">
        <v>0.216123499142367</v>
      </c>
      <c r="I73">
        <v>583</v>
      </c>
      <c r="K73" s="1">
        <v>0.12521440823327601</v>
      </c>
      <c r="L73" s="1">
        <v>0.23156089193825</v>
      </c>
      <c r="M73" s="1">
        <v>0.18696397941681001</v>
      </c>
      <c r="N73" s="2">
        <v>0.13207547169811301</v>
      </c>
      <c r="O73" s="2">
        <v>0.21440823327615799</v>
      </c>
      <c r="P73" s="1">
        <v>0.212692967409949</v>
      </c>
      <c r="Q73">
        <v>583</v>
      </c>
    </row>
    <row r="74" spans="1:17" x14ac:dyDescent="0.25">
      <c r="A74" s="12"/>
      <c r="B74" s="8" t="s">
        <v>61</v>
      </c>
      <c r="C74" s="1">
        <v>0.21783876500857599</v>
      </c>
      <c r="D74" s="1">
        <v>0.22126929674099499</v>
      </c>
      <c r="E74" s="1">
        <v>0.27787307032590097</v>
      </c>
      <c r="F74" s="2">
        <v>0.25214408233276198</v>
      </c>
      <c r="G74" s="2">
        <v>0.22469982847341299</v>
      </c>
      <c r="H74" s="1">
        <v>0.31560891938250402</v>
      </c>
      <c r="I74">
        <v>583</v>
      </c>
      <c r="K74" s="1">
        <v>0.16123499142367101</v>
      </c>
      <c r="L74" s="1">
        <v>0.195540308747856</v>
      </c>
      <c r="M74" s="1">
        <v>0.241852487135506</v>
      </c>
      <c r="N74" s="2">
        <v>0.14236706689536899</v>
      </c>
      <c r="O74" s="2">
        <v>0.18524871355059999</v>
      </c>
      <c r="P74" s="1">
        <v>0.20754716981132099</v>
      </c>
      <c r="Q74">
        <v>583</v>
      </c>
    </row>
    <row r="75" spans="1:17" x14ac:dyDescent="0.25">
      <c r="A75" s="12"/>
      <c r="B75" s="8" t="s">
        <v>62</v>
      </c>
      <c r="C75" s="1">
        <v>0.22641509433962301</v>
      </c>
      <c r="D75" s="1">
        <v>0.23327615780446001</v>
      </c>
      <c r="E75" s="1">
        <v>0.25557461406518001</v>
      </c>
      <c r="F75" s="2">
        <v>0.27272727272727298</v>
      </c>
      <c r="G75" s="2">
        <v>0.18524871355059999</v>
      </c>
      <c r="H75" s="1">
        <v>0.248713550600343</v>
      </c>
      <c r="I75">
        <v>583</v>
      </c>
      <c r="K75" s="1">
        <v>0.13207547169811301</v>
      </c>
      <c r="L75" s="1">
        <v>0.22641509433962301</v>
      </c>
      <c r="M75" s="1">
        <v>0.22126929674099499</v>
      </c>
      <c r="N75" s="2">
        <v>0.15094339622641501</v>
      </c>
      <c r="O75" s="2">
        <v>0.22984562607204101</v>
      </c>
      <c r="P75" s="1">
        <v>0.23670668953687801</v>
      </c>
      <c r="Q75">
        <v>583</v>
      </c>
    </row>
    <row r="76" spans="1:17" x14ac:dyDescent="0.25">
      <c r="A76" s="12"/>
      <c r="B76" s="8" t="s">
        <v>63</v>
      </c>
      <c r="C76" s="1">
        <v>0.24013722126929701</v>
      </c>
      <c r="D76" s="1">
        <v>0.195540308747856</v>
      </c>
      <c r="E76" s="1">
        <v>0.26243567753001701</v>
      </c>
      <c r="F76" s="2">
        <v>0.23156089193825</v>
      </c>
      <c r="G76" s="2">
        <v>0.22469982847341299</v>
      </c>
      <c r="H76" s="1">
        <v>0.25042881646655202</v>
      </c>
      <c r="I76">
        <v>583</v>
      </c>
      <c r="K76" s="1">
        <v>9.2624356775300204E-2</v>
      </c>
      <c r="L76" s="1">
        <v>0.19039451114922801</v>
      </c>
      <c r="M76" s="1">
        <v>0.183533447684391</v>
      </c>
      <c r="N76" s="2">
        <v>0.126929674099485</v>
      </c>
      <c r="O76" s="2">
        <v>0.20754716981132099</v>
      </c>
      <c r="P76" s="1">
        <v>0.198970840480274</v>
      </c>
      <c r="Q76">
        <v>583</v>
      </c>
    </row>
    <row r="77" spans="1:17" x14ac:dyDescent="0.25">
      <c r="A77" s="12"/>
      <c r="B77" s="8" t="s">
        <v>64</v>
      </c>
      <c r="C77" s="1">
        <v>0.25214408233276198</v>
      </c>
      <c r="D77" s="1">
        <v>0.23156089193825</v>
      </c>
      <c r="E77" s="1">
        <v>0.19210977701543699</v>
      </c>
      <c r="F77" s="2">
        <v>0.27787307032590097</v>
      </c>
      <c r="G77" s="2">
        <v>0.22641509433962301</v>
      </c>
      <c r="H77" s="1">
        <v>0.205831903945112</v>
      </c>
      <c r="I77">
        <v>583</v>
      </c>
      <c r="K77" s="1">
        <v>0.14065180102916</v>
      </c>
      <c r="L77" s="1">
        <v>0.17495711835334499</v>
      </c>
      <c r="M77" s="1">
        <v>0.16809605488850801</v>
      </c>
      <c r="N77" s="2">
        <v>0.14236706689536899</v>
      </c>
      <c r="O77" s="2">
        <v>0.198970840480274</v>
      </c>
      <c r="P77" s="1">
        <v>0.159519725557461</v>
      </c>
      <c r="Q77">
        <v>583</v>
      </c>
    </row>
    <row r="78" spans="1:17" x14ac:dyDescent="0.25">
      <c r="A78" s="12"/>
      <c r="B78" s="8" t="s">
        <v>65</v>
      </c>
      <c r="C78" s="1">
        <v>0.22298456260720401</v>
      </c>
      <c r="D78" s="1">
        <v>0.25557461406518001</v>
      </c>
      <c r="E78" s="4">
        <v>0.22469982847341299</v>
      </c>
      <c r="F78" s="2">
        <v>0.25728987993138902</v>
      </c>
      <c r="G78" s="2">
        <v>0.25557461406518001</v>
      </c>
      <c r="H78" s="4">
        <v>0.25385934819897099</v>
      </c>
      <c r="I78">
        <v>583</v>
      </c>
      <c r="K78" s="1">
        <v>0.126929674099485</v>
      </c>
      <c r="L78" s="1">
        <v>0.16466552315608901</v>
      </c>
      <c r="M78" s="4">
        <v>0.16809605488850801</v>
      </c>
      <c r="N78" s="2">
        <v>0.104631217838765</v>
      </c>
      <c r="O78" s="2">
        <v>0.19039451114922801</v>
      </c>
      <c r="P78" s="4">
        <v>0.173241852487136</v>
      </c>
      <c r="Q78">
        <v>583</v>
      </c>
    </row>
    <row r="79" spans="1:17" x14ac:dyDescent="0.25">
      <c r="A79" s="12" t="s">
        <v>73</v>
      </c>
      <c r="B79" s="8" t="s">
        <v>58</v>
      </c>
      <c r="C79" s="1">
        <v>0.16809605488850801</v>
      </c>
      <c r="D79" s="1">
        <v>0.23670668953687801</v>
      </c>
      <c r="E79" s="1">
        <v>0.24356775300171499</v>
      </c>
      <c r="F79" s="2">
        <v>0.169811320754717</v>
      </c>
      <c r="G79" s="2">
        <v>0.26072041166380799</v>
      </c>
      <c r="H79" s="1">
        <v>0.27272727272727298</v>
      </c>
      <c r="I79">
        <v>583</v>
      </c>
      <c r="K79" s="1">
        <v>0.126929674099485</v>
      </c>
      <c r="L79" s="1">
        <v>0.216123499142367</v>
      </c>
      <c r="M79" s="1">
        <v>0.17152658662092601</v>
      </c>
      <c r="N79" s="2">
        <v>0.13550600343053201</v>
      </c>
      <c r="O79" s="2">
        <v>0.234991423670669</v>
      </c>
      <c r="P79" s="1">
        <v>0.20754716981132099</v>
      </c>
      <c r="Q79">
        <v>583</v>
      </c>
    </row>
    <row r="80" spans="1:17" x14ac:dyDescent="0.25">
      <c r="A80" s="12"/>
      <c r="B80" s="8" t="s">
        <v>59</v>
      </c>
      <c r="C80" s="1">
        <v>0.18181818181818199</v>
      </c>
      <c r="D80" s="1">
        <v>0.21097770154373899</v>
      </c>
      <c r="E80" s="1">
        <v>0.13893653516294999</v>
      </c>
      <c r="F80" s="2">
        <v>0.16466552315608901</v>
      </c>
      <c r="G80" s="2">
        <v>0.219554030874786</v>
      </c>
      <c r="H80" s="1">
        <v>0.16466552315608901</v>
      </c>
      <c r="I80">
        <v>583</v>
      </c>
      <c r="K80" s="1">
        <v>0.14922813036020599</v>
      </c>
      <c r="L80" s="1">
        <v>0.20926243567753</v>
      </c>
      <c r="M80" s="1">
        <v>0.12521440823327601</v>
      </c>
      <c r="N80" s="2">
        <v>0.159519725557461</v>
      </c>
      <c r="O80" s="2">
        <v>0.20926243567753</v>
      </c>
      <c r="P80" s="1">
        <v>0.159519725557461</v>
      </c>
      <c r="Q80">
        <v>583</v>
      </c>
    </row>
    <row r="81" spans="1:17" x14ac:dyDescent="0.25">
      <c r="A81" s="12"/>
      <c r="B81" s="8" t="s">
        <v>60</v>
      </c>
      <c r="C81" s="1">
        <v>0.15437392795883401</v>
      </c>
      <c r="D81" s="1">
        <v>0.25214408233276198</v>
      </c>
      <c r="E81" s="1">
        <v>0.20068610634648401</v>
      </c>
      <c r="F81" s="2">
        <v>0.19039451114922801</v>
      </c>
      <c r="G81" s="2">
        <v>0.23670668953687801</v>
      </c>
      <c r="H81" s="1">
        <v>0.22813036020583199</v>
      </c>
      <c r="I81">
        <v>583</v>
      </c>
      <c r="K81" s="1">
        <v>0.104631217838765</v>
      </c>
      <c r="L81" s="1">
        <v>0.198970840480274</v>
      </c>
      <c r="M81" s="1">
        <v>0.205831903945112</v>
      </c>
      <c r="N81" s="2">
        <v>0.144082332761578</v>
      </c>
      <c r="O81" s="2">
        <v>0.21440823327615799</v>
      </c>
      <c r="P81" s="1">
        <v>0.169811320754717</v>
      </c>
      <c r="Q81">
        <v>583</v>
      </c>
    </row>
    <row r="82" spans="1:17" x14ac:dyDescent="0.25">
      <c r="A82" s="12"/>
      <c r="B82" s="8" t="s">
        <v>61</v>
      </c>
      <c r="C82" s="1">
        <v>0.173241852487136</v>
      </c>
      <c r="D82" s="1">
        <v>0.22298456260720401</v>
      </c>
      <c r="E82" s="1">
        <v>0.27101200686106303</v>
      </c>
      <c r="F82" s="2">
        <v>0.21440823327615799</v>
      </c>
      <c r="G82" s="2">
        <v>0.20411663807890201</v>
      </c>
      <c r="H82" s="1">
        <v>0.31217838765008599</v>
      </c>
      <c r="I82">
        <v>583</v>
      </c>
      <c r="K82" s="1">
        <v>0.14236706689536899</v>
      </c>
      <c r="L82" s="1">
        <v>0.159519725557461</v>
      </c>
      <c r="M82" s="1">
        <v>0.22298456260720401</v>
      </c>
      <c r="N82" s="2">
        <v>0.12006861063464799</v>
      </c>
      <c r="O82" s="2">
        <v>0.20926243567753</v>
      </c>
      <c r="P82" s="1">
        <v>0.24356775300171499</v>
      </c>
      <c r="Q82">
        <v>583</v>
      </c>
    </row>
    <row r="83" spans="1:17" x14ac:dyDescent="0.25">
      <c r="A83" s="12"/>
      <c r="B83" s="8" t="s">
        <v>62</v>
      </c>
      <c r="C83" s="1">
        <v>0.173241852487136</v>
      </c>
      <c r="D83" s="1">
        <v>0.27101200686106303</v>
      </c>
      <c r="E83" s="1">
        <v>0.313893653516295</v>
      </c>
      <c r="F83" s="2">
        <v>0.20926243567753</v>
      </c>
      <c r="G83" s="2">
        <v>0.25900514579759898</v>
      </c>
      <c r="H83" s="1">
        <v>0.27101200686106303</v>
      </c>
      <c r="I83">
        <v>583</v>
      </c>
      <c r="K83" s="1">
        <v>0.13207547169811301</v>
      </c>
      <c r="L83" s="1">
        <v>0.205831903945112</v>
      </c>
      <c r="M83" s="1">
        <v>0.18181818181818199</v>
      </c>
      <c r="N83" s="2">
        <v>0.15608919382504299</v>
      </c>
      <c r="O83" s="2">
        <v>0.19382504288164701</v>
      </c>
      <c r="P83" s="1">
        <v>0.183533447684391</v>
      </c>
      <c r="Q83">
        <v>583</v>
      </c>
    </row>
    <row r="84" spans="1:17" x14ac:dyDescent="0.25">
      <c r="A84" s="12"/>
      <c r="B84" s="8" t="s">
        <v>63</v>
      </c>
      <c r="C84" s="1">
        <v>0.16466552315608901</v>
      </c>
      <c r="D84" s="1">
        <v>0.25214408233276198</v>
      </c>
      <c r="E84" s="1">
        <v>0.216123499142367</v>
      </c>
      <c r="F84" s="2">
        <v>0.12006861063464799</v>
      </c>
      <c r="G84" s="2">
        <v>0.26586620926243598</v>
      </c>
      <c r="H84" s="1">
        <v>0.22469982847341299</v>
      </c>
      <c r="I84">
        <v>583</v>
      </c>
      <c r="K84" s="1">
        <v>0.126929674099485</v>
      </c>
      <c r="L84" s="1">
        <v>0.17495711835334499</v>
      </c>
      <c r="M84" s="1">
        <v>0.18524871355059999</v>
      </c>
      <c r="N84" s="2">
        <v>0.113207547169811</v>
      </c>
      <c r="O84" s="2">
        <v>0.18524871355059999</v>
      </c>
      <c r="P84" s="1">
        <v>0.22469982847341299</v>
      </c>
      <c r="Q84">
        <v>583</v>
      </c>
    </row>
    <row r="85" spans="1:17" x14ac:dyDescent="0.25">
      <c r="A85" s="12"/>
      <c r="B85" s="8" t="s">
        <v>64</v>
      </c>
      <c r="C85" s="1">
        <v>0.173241852487136</v>
      </c>
      <c r="D85" s="1">
        <v>0.24699828473413399</v>
      </c>
      <c r="E85" s="1">
        <v>0.216123499142367</v>
      </c>
      <c r="F85" s="2">
        <v>0.195540308747856</v>
      </c>
      <c r="G85" s="2">
        <v>0.22126929674099499</v>
      </c>
      <c r="H85" s="1">
        <v>0.212692967409949</v>
      </c>
      <c r="I85">
        <v>583</v>
      </c>
      <c r="K85" s="1">
        <v>0.15094339622641501</v>
      </c>
      <c r="L85" s="1">
        <v>0.18524871355059999</v>
      </c>
      <c r="M85" s="1">
        <v>0.16295025728988</v>
      </c>
      <c r="N85" s="2">
        <v>0.14579759862778699</v>
      </c>
      <c r="O85" s="2">
        <v>0.195540308747856</v>
      </c>
      <c r="P85" s="1">
        <v>0.16123499142367101</v>
      </c>
      <c r="Q85">
        <v>583</v>
      </c>
    </row>
    <row r="86" spans="1:17" x14ac:dyDescent="0.25">
      <c r="A86" s="12"/>
      <c r="B86" s="8" t="s">
        <v>65</v>
      </c>
      <c r="C86" s="1">
        <v>0.195540308747856</v>
      </c>
      <c r="D86" s="1">
        <v>0.25385934819897099</v>
      </c>
      <c r="E86" s="4">
        <v>0.234991423670669</v>
      </c>
      <c r="F86" s="2">
        <v>0.205831903945112</v>
      </c>
      <c r="G86" s="2">
        <v>0.25042881646655202</v>
      </c>
      <c r="H86" s="4">
        <v>0.248713550600343</v>
      </c>
      <c r="I86">
        <v>583</v>
      </c>
      <c r="K86" s="1">
        <v>0.126929674099485</v>
      </c>
      <c r="L86" s="1">
        <v>0.212692967409949</v>
      </c>
      <c r="M86" s="4">
        <v>0.176672384219554</v>
      </c>
      <c r="N86" s="2">
        <v>9.7770154373927998E-2</v>
      </c>
      <c r="O86" s="2">
        <v>0.16295025728988</v>
      </c>
      <c r="P86" s="4">
        <v>0.18181818181818199</v>
      </c>
      <c r="Q86">
        <v>583</v>
      </c>
    </row>
    <row r="88" spans="1:17" x14ac:dyDescent="0.25">
      <c r="B88" s="10" t="s">
        <v>2</v>
      </c>
      <c r="C88" s="2">
        <f>AVERAGE(C4:C12)*100</f>
        <v>47.22127689875164</v>
      </c>
      <c r="D88" s="2">
        <f t="shared" ref="D88:E88" si="0">AVERAGE(D4:D12)*100</f>
        <v>26.182264051505804</v>
      </c>
      <c r="E88" s="2">
        <f t="shared" si="0"/>
        <v>23.463435489329644</v>
      </c>
      <c r="F88" s="2"/>
      <c r="G88" s="2"/>
      <c r="H88" s="2"/>
      <c r="I88" s="3"/>
      <c r="J88" s="3"/>
      <c r="K88" s="2">
        <f>AVERAGE(K4:K12)*100</f>
        <v>11.653502263971014</v>
      </c>
      <c r="L88" s="2">
        <f t="shared" ref="L88:M88" si="1">AVERAGE(L4:L12)*100</f>
        <v>20.464562668564177</v>
      </c>
      <c r="M88" s="2">
        <f t="shared" si="1"/>
        <v>17.406849836263792</v>
      </c>
      <c r="N88" s="2"/>
      <c r="O88" s="2"/>
      <c r="P88" s="2"/>
    </row>
    <row r="89" spans="1:17" x14ac:dyDescent="0.25">
      <c r="B89" s="10" t="s">
        <v>3</v>
      </c>
      <c r="C89" s="2">
        <f>AVERAGE(C13:C21)*100</f>
        <v>31.48645115193316</v>
      </c>
      <c r="D89" s="2">
        <f t="shared" ref="D89:E89" si="2">AVERAGE(D13:D21)*100</f>
        <v>24.902982892901854</v>
      </c>
      <c r="E89" s="2">
        <f t="shared" si="2"/>
        <v>22.490523600840216</v>
      </c>
      <c r="F89" s="2"/>
      <c r="G89" s="2"/>
      <c r="H89" s="2"/>
      <c r="I89" s="3"/>
      <c r="J89" s="3"/>
      <c r="K89" s="2">
        <f>AVERAGE(K13:K21)*100</f>
        <v>11.980203111260341</v>
      </c>
      <c r="L89" s="2">
        <f t="shared" ref="L89:M89" si="3">AVERAGE(L13:L21)*100</f>
        <v>20.279314305452957</v>
      </c>
      <c r="M89" s="2">
        <f t="shared" si="3"/>
        <v>18.304134069681368</v>
      </c>
      <c r="N89" s="2"/>
      <c r="O89" s="2"/>
      <c r="P89" s="2"/>
    </row>
    <row r="90" spans="1:17" x14ac:dyDescent="0.25">
      <c r="B90" s="10" t="s">
        <v>10</v>
      </c>
      <c r="C90" s="2">
        <f>AVERAGE(C22:C30)*100</f>
        <v>29.16878382804876</v>
      </c>
      <c r="D90" s="2">
        <f t="shared" ref="D90:E90" si="4">AVERAGE(D22:D30)*100</f>
        <v>25.137738137023319</v>
      </c>
      <c r="E90" s="2">
        <f t="shared" si="4"/>
        <v>21.330202188045266</v>
      </c>
      <c r="F90" s="2"/>
      <c r="G90" s="2"/>
      <c r="H90" s="2"/>
      <c r="I90" s="3"/>
      <c r="J90" s="3"/>
      <c r="K90" s="2">
        <f>AVERAGE(K22:K30)*100</f>
        <v>16.442754370725865</v>
      </c>
      <c r="L90" s="2">
        <f t="shared" ref="L90:M90" si="5">AVERAGE(L22:L30)*100</f>
        <v>20.041143339004766</v>
      </c>
      <c r="M90" s="2">
        <f t="shared" si="5"/>
        <v>18.612006104489332</v>
      </c>
      <c r="N90" s="2"/>
      <c r="O90" s="2"/>
      <c r="P90" s="2"/>
    </row>
    <row r="91" spans="1:17" x14ac:dyDescent="0.25">
      <c r="B91" s="10" t="s">
        <v>0</v>
      </c>
      <c r="C91" s="2">
        <f>AVERAGE(C31:C41)*100</f>
        <v>29.102896324513893</v>
      </c>
      <c r="D91" s="2">
        <f t="shared" ref="D91:E91" si="6">AVERAGE(D31:D41)*100</f>
        <v>24.75187224417984</v>
      </c>
      <c r="E91" s="2">
        <f t="shared" si="6"/>
        <v>21.094255440120325</v>
      </c>
      <c r="F91" s="2"/>
      <c r="G91" s="2"/>
      <c r="H91" s="2"/>
      <c r="I91" s="3"/>
      <c r="J91" s="3"/>
      <c r="K91" s="2">
        <f>AVERAGE(K31:K41)*100</f>
        <v>12.986241584816385</v>
      </c>
      <c r="L91" s="2">
        <f t="shared" ref="L91:M91" si="7">AVERAGE(L31:L41)*100</f>
        <v>19.84866177941025</v>
      </c>
      <c r="M91" s="2">
        <f t="shared" si="7"/>
        <v>16.53855615490518</v>
      </c>
      <c r="N91" s="2"/>
      <c r="O91" s="2"/>
      <c r="P91" s="2"/>
    </row>
    <row r="92" spans="1:17" x14ac:dyDescent="0.25">
      <c r="B92" s="10" t="s">
        <v>1</v>
      </c>
      <c r="C92" s="2">
        <f>AVERAGE(C42:C52)*100</f>
        <v>18.691059202601217</v>
      </c>
      <c r="D92" s="2">
        <f t="shared" ref="D92:E92" si="8">AVERAGE(D42:D52)*100</f>
        <v>23.701901482968619</v>
      </c>
      <c r="E92" s="2">
        <f t="shared" si="8"/>
        <v>20.596813128414933</v>
      </c>
      <c r="F92" s="2"/>
      <c r="G92" s="2"/>
      <c r="H92" s="2"/>
      <c r="I92" s="3"/>
      <c r="J92" s="3"/>
      <c r="K92" s="2">
        <f>AVERAGE(K42:K52)*100</f>
        <v>13.407906207412864</v>
      </c>
      <c r="L92" s="2">
        <f t="shared" ref="L92:M92" si="9">AVERAGE(L42:L52)*100</f>
        <v>19.813903044544237</v>
      </c>
      <c r="M92" s="2">
        <f t="shared" si="9"/>
        <v>16.530136897032957</v>
      </c>
      <c r="N92" s="2"/>
      <c r="O92" s="2"/>
      <c r="P92" s="2"/>
    </row>
    <row r="93" spans="1:17" x14ac:dyDescent="0.25">
      <c r="B93" s="10" t="s">
        <v>4</v>
      </c>
      <c r="C93" s="2">
        <f>AVERAGE(C53:C60)*100</f>
        <v>19.787312214334023</v>
      </c>
      <c r="D93" s="2">
        <f t="shared" ref="D93:E93" si="10">AVERAGE(D53:D60)*100</f>
        <v>23.573125151910528</v>
      </c>
      <c r="E93" s="2">
        <f t="shared" si="10"/>
        <v>21.442373868053359</v>
      </c>
      <c r="F93" s="2"/>
      <c r="G93" s="2"/>
      <c r="H93" s="2"/>
      <c r="I93" s="3"/>
      <c r="J93" s="3"/>
      <c r="K93" s="2">
        <f>AVERAGE(K53:K60)*100</f>
        <v>10.081927897580673</v>
      </c>
      <c r="L93" s="2">
        <f t="shared" ref="L93:M93" si="11">AVERAGE(L53:L60)*100</f>
        <v>19.371462308793529</v>
      </c>
      <c r="M93" s="2">
        <f t="shared" si="11"/>
        <v>18.199917073991763</v>
      </c>
      <c r="N93" s="2"/>
      <c r="O93" s="2"/>
      <c r="P93" s="2"/>
    </row>
    <row r="94" spans="1:17" x14ac:dyDescent="0.25">
      <c r="B94" s="10" t="s">
        <v>5</v>
      </c>
      <c r="C94" s="2">
        <f>AVERAGE(C61:C65)*100</f>
        <v>11.389508634504223</v>
      </c>
      <c r="D94" s="2">
        <f t="shared" ref="D94:E94" si="12">AVERAGE(D61:D65)*100</f>
        <v>23.034656161930158</v>
      </c>
      <c r="E94" s="2">
        <f t="shared" si="12"/>
        <v>20.735954048567535</v>
      </c>
      <c r="F94" s="2"/>
      <c r="G94" s="2"/>
      <c r="H94" s="2"/>
      <c r="I94" s="3"/>
      <c r="J94" s="3"/>
      <c r="K94" s="2">
        <f>AVERAGE(K61:K65)*100</f>
        <v>9.2565291808771644</v>
      </c>
      <c r="L94" s="2">
        <f t="shared" ref="L94:M94" si="13">AVERAGE(L61:L65)*100</f>
        <v>19.354658119690484</v>
      </c>
      <c r="M94" s="2">
        <f t="shared" si="13"/>
        <v>16.36077475591442</v>
      </c>
      <c r="N94" s="2"/>
      <c r="O94" s="2"/>
      <c r="P94" s="2"/>
    </row>
    <row r="95" spans="1:17" x14ac:dyDescent="0.25">
      <c r="B95" s="10" t="s">
        <v>11</v>
      </c>
      <c r="C95" s="2">
        <f>AVERAGE(C66:C70)*100</f>
        <v>18.539935422751679</v>
      </c>
      <c r="D95" s="2">
        <f t="shared" ref="D95:E95" si="14">AVERAGE(D66:D70)*100</f>
        <v>22.731900428983181</v>
      </c>
      <c r="E95" s="2">
        <f t="shared" si="14"/>
        <v>19.62144542823642</v>
      </c>
      <c r="F95" s="2"/>
      <c r="G95" s="2"/>
      <c r="H95" s="2"/>
      <c r="I95" s="3"/>
      <c r="J95" s="3"/>
      <c r="K95" s="2">
        <f>AVERAGE(K66:K70)*100</f>
        <v>8.0293873551212052</v>
      </c>
      <c r="L95" s="2">
        <f t="shared" ref="L95:M95" si="15">AVERAGE(L66:L70)*100</f>
        <v>19.671893078317343</v>
      </c>
      <c r="M95" s="2">
        <f t="shared" si="15"/>
        <v>16.21612699873382</v>
      </c>
      <c r="N95" s="2"/>
      <c r="O95" s="2"/>
      <c r="P95" s="2"/>
    </row>
    <row r="96" spans="1:17" x14ac:dyDescent="0.25">
      <c r="B96" s="10" t="s">
        <v>6</v>
      </c>
      <c r="C96" s="2">
        <f>AVERAGE(C71:C78)*100</f>
        <v>23.885077186963986</v>
      </c>
      <c r="D96" s="2">
        <f t="shared" ref="D96:E96" si="16">AVERAGE(D71:D78)*100</f>
        <v>22.684391080617498</v>
      </c>
      <c r="E96" s="2">
        <f t="shared" si="16"/>
        <v>22.834476843910796</v>
      </c>
      <c r="F96" s="2"/>
      <c r="G96" s="2"/>
      <c r="H96" s="2"/>
      <c r="I96" s="3"/>
      <c r="J96" s="3"/>
      <c r="K96" s="2">
        <f>AVERAGE(K71:K78)*100</f>
        <v>13.357632933104627</v>
      </c>
      <c r="L96" s="2">
        <f t="shared" ref="L96:M96" si="17">AVERAGE(L71:L78)*100</f>
        <v>19.425385934819897</v>
      </c>
      <c r="M96" s="2">
        <f t="shared" si="17"/>
        <v>18.417667238421963</v>
      </c>
      <c r="N96" s="2"/>
      <c r="O96" s="2"/>
      <c r="P96" s="2"/>
    </row>
    <row r="97" spans="2:16" x14ac:dyDescent="0.25">
      <c r="B97" s="10" t="s">
        <v>7</v>
      </c>
      <c r="C97" s="2">
        <f>AVERAGE(C79:C86)*100</f>
        <v>17.30274442538596</v>
      </c>
      <c r="D97" s="2">
        <f t="shared" ref="D97:E97" si="18">AVERAGE(D79:D86)*100</f>
        <v>24.335334476843915</v>
      </c>
      <c r="E97" s="2">
        <f t="shared" si="18"/>
        <v>22.941680960548876</v>
      </c>
      <c r="F97" s="2"/>
      <c r="G97" s="2"/>
      <c r="H97" s="2"/>
      <c r="I97" s="3"/>
      <c r="J97" s="3"/>
      <c r="K97" s="2">
        <f>AVERAGE(K79:K86)*100</f>
        <v>13.250428816466536</v>
      </c>
      <c r="L97" s="2">
        <f t="shared" ref="L97:M97" si="19">AVERAGE(L79:L86)*100</f>
        <v>19.532590051457973</v>
      </c>
      <c r="M97" s="2">
        <f t="shared" si="19"/>
        <v>17.903087478559176</v>
      </c>
      <c r="N97" s="2"/>
      <c r="O97" s="2"/>
      <c r="P97" s="2"/>
    </row>
  </sheetData>
  <mergeCells count="16">
    <mergeCell ref="A79:A86"/>
    <mergeCell ref="C1:I1"/>
    <mergeCell ref="K1:Q1"/>
    <mergeCell ref="A4:A12"/>
    <mergeCell ref="A13:A21"/>
    <mergeCell ref="A22:A30"/>
    <mergeCell ref="A31:A41"/>
    <mergeCell ref="A42:A52"/>
    <mergeCell ref="A53:A60"/>
    <mergeCell ref="A61:A65"/>
    <mergeCell ref="A66:A70"/>
    <mergeCell ref="A71:A78"/>
    <mergeCell ref="N2:P2"/>
    <mergeCell ref="K2:M2"/>
    <mergeCell ref="F2:H2"/>
    <mergeCell ref="C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workbookViewId="0">
      <selection activeCell="J6" sqref="J6"/>
    </sheetView>
  </sheetViews>
  <sheetFormatPr defaultColWidth="9.140625" defaultRowHeight="15" x14ac:dyDescent="0.25"/>
  <cols>
    <col min="1" max="1" width="9.140625" style="5"/>
    <col min="2" max="2" width="24.140625" style="8" bestFit="1" customWidth="1"/>
    <col min="6" max="7" width="9.140625" style="3"/>
    <col min="10" max="10" width="14.28515625" customWidth="1"/>
    <col min="14" max="15" width="9.140625" style="3"/>
  </cols>
  <sheetData>
    <row r="1" spans="1:17" s="5" customFormat="1" x14ac:dyDescent="0.25">
      <c r="B1" s="8"/>
      <c r="C1" s="13" t="s">
        <v>23</v>
      </c>
      <c r="D1" s="13"/>
      <c r="E1" s="13"/>
      <c r="F1" s="13"/>
      <c r="G1" s="13"/>
      <c r="H1" s="13"/>
      <c r="I1" s="13"/>
      <c r="J1" s="6"/>
      <c r="K1" s="13" t="s">
        <v>24</v>
      </c>
      <c r="L1" s="13"/>
      <c r="M1" s="13"/>
      <c r="N1" s="13"/>
      <c r="O1" s="13"/>
      <c r="P1" s="13"/>
      <c r="Q1" s="13"/>
    </row>
    <row r="2" spans="1:17" s="5" customFormat="1" x14ac:dyDescent="0.25">
      <c r="B2" s="8"/>
      <c r="C2" s="13" t="s">
        <v>74</v>
      </c>
      <c r="D2" s="13"/>
      <c r="E2" s="13"/>
      <c r="F2" s="14" t="s">
        <v>75</v>
      </c>
      <c r="G2" s="14"/>
      <c r="H2" s="14"/>
      <c r="I2" s="6"/>
      <c r="J2" s="6"/>
      <c r="K2" s="13" t="s">
        <v>74</v>
      </c>
      <c r="L2" s="13"/>
      <c r="M2" s="13"/>
      <c r="N2" s="14" t="s">
        <v>75</v>
      </c>
      <c r="O2" s="14"/>
      <c r="P2" s="14"/>
      <c r="Q2" s="6"/>
    </row>
    <row r="3" spans="1:17" s="5" customFormat="1" x14ac:dyDescent="0.25">
      <c r="B3" s="8"/>
      <c r="C3" s="5" t="s">
        <v>21</v>
      </c>
      <c r="D3" s="5" t="s">
        <v>8</v>
      </c>
      <c r="E3" s="5" t="s">
        <v>9</v>
      </c>
      <c r="F3" s="7" t="s">
        <v>21</v>
      </c>
      <c r="G3" s="7" t="s">
        <v>8</v>
      </c>
      <c r="H3" s="5" t="s">
        <v>9</v>
      </c>
      <c r="I3" s="5" t="s">
        <v>22</v>
      </c>
      <c r="K3" s="5" t="s">
        <v>21</v>
      </c>
      <c r="L3" s="5" t="s">
        <v>8</v>
      </c>
      <c r="M3" s="5" t="s">
        <v>9</v>
      </c>
      <c r="N3" s="7" t="s">
        <v>21</v>
      </c>
      <c r="O3" s="7" t="s">
        <v>8</v>
      </c>
      <c r="P3" s="5" t="s">
        <v>9</v>
      </c>
      <c r="Q3" s="5" t="s">
        <v>22</v>
      </c>
    </row>
    <row r="4" spans="1:17" x14ac:dyDescent="0.25">
      <c r="A4" s="12" t="s">
        <v>66</v>
      </c>
      <c r="B4" s="8" t="s">
        <v>12</v>
      </c>
      <c r="C4" s="1">
        <v>0.28994082840236701</v>
      </c>
      <c r="D4" s="1">
        <v>0.165680473372781</v>
      </c>
      <c r="E4" s="1">
        <v>0.15384615384615399</v>
      </c>
      <c r="F4" s="2">
        <v>0.31952662721893499</v>
      </c>
      <c r="G4" s="2">
        <v>0.171597633136095</v>
      </c>
      <c r="H4" s="1">
        <v>0.15976331360946699</v>
      </c>
      <c r="I4">
        <v>169</v>
      </c>
      <c r="K4" s="1">
        <v>0.101190476190476</v>
      </c>
      <c r="L4" s="1">
        <v>0.20833333333333301</v>
      </c>
      <c r="M4" s="1">
        <v>0.125</v>
      </c>
      <c r="N4" s="2">
        <v>0.119047619047619</v>
      </c>
      <c r="O4" s="2">
        <v>0.214285714285714</v>
      </c>
      <c r="P4" s="1">
        <v>0.125</v>
      </c>
      <c r="Q4">
        <v>168</v>
      </c>
    </row>
    <row r="5" spans="1:17" x14ac:dyDescent="0.25">
      <c r="A5" s="12"/>
      <c r="B5" s="8" t="s">
        <v>13</v>
      </c>
      <c r="C5" s="1">
        <v>0.259493670886076</v>
      </c>
      <c r="D5" s="1">
        <v>0.136075949367089</v>
      </c>
      <c r="E5" s="1">
        <v>8.8607594936708903E-2</v>
      </c>
      <c r="F5" s="2">
        <v>0.287974683544304</v>
      </c>
      <c r="G5" s="2">
        <v>0.139240506329114</v>
      </c>
      <c r="H5" s="1">
        <v>9.1772151898734194E-2</v>
      </c>
      <c r="I5">
        <v>316</v>
      </c>
      <c r="K5" s="1">
        <v>9.49367088607595E-2</v>
      </c>
      <c r="L5" s="1">
        <v>6.6455696202531597E-2</v>
      </c>
      <c r="M5" s="1">
        <v>7.2784810126582306E-2</v>
      </c>
      <c r="N5" s="2">
        <v>9.8101265822784806E-2</v>
      </c>
      <c r="O5" s="2">
        <v>6.6455696202531597E-2</v>
      </c>
      <c r="P5" s="1">
        <v>7.2784810126582306E-2</v>
      </c>
      <c r="Q5">
        <v>316</v>
      </c>
    </row>
    <row r="6" spans="1:17" x14ac:dyDescent="0.25">
      <c r="A6" s="12"/>
      <c r="B6" s="8" t="s">
        <v>14</v>
      </c>
      <c r="C6" s="1">
        <v>0.283356258596974</v>
      </c>
      <c r="D6" s="1">
        <v>0.127922971114168</v>
      </c>
      <c r="E6" s="1">
        <v>9.4910591471801906E-2</v>
      </c>
      <c r="F6" s="2">
        <v>0.30261348005502098</v>
      </c>
      <c r="G6" s="2">
        <v>0.12929848693259999</v>
      </c>
      <c r="H6" s="1">
        <v>9.6286107290233805E-2</v>
      </c>
      <c r="I6">
        <v>727</v>
      </c>
      <c r="K6" s="1">
        <v>6.1898211829436001E-2</v>
      </c>
      <c r="L6" s="1">
        <v>0.10041265474553</v>
      </c>
      <c r="M6" s="1">
        <v>6.8775790921595595E-2</v>
      </c>
      <c r="N6" s="2">
        <v>6.3273727647867997E-2</v>
      </c>
      <c r="O6" s="2">
        <v>0.103163686382393</v>
      </c>
      <c r="P6" s="1">
        <v>7.0151306740027494E-2</v>
      </c>
      <c r="Q6">
        <v>727</v>
      </c>
    </row>
    <row r="7" spans="1:17" x14ac:dyDescent="0.25">
      <c r="A7" s="12"/>
      <c r="B7" s="8" t="s">
        <v>15</v>
      </c>
      <c r="C7" s="1">
        <v>0.25846153846153802</v>
      </c>
      <c r="D7" s="1">
        <v>0.17384615384615401</v>
      </c>
      <c r="E7" s="1">
        <v>8.4615384615384606E-2</v>
      </c>
      <c r="F7" s="2">
        <v>0.27230769230769197</v>
      </c>
      <c r="G7" s="2">
        <v>0.18</v>
      </c>
      <c r="H7" s="1">
        <v>8.7692307692307694E-2</v>
      </c>
      <c r="I7">
        <v>650</v>
      </c>
      <c r="K7" s="1">
        <v>0.08</v>
      </c>
      <c r="L7" s="1">
        <v>0.13230769230769199</v>
      </c>
      <c r="M7" s="1">
        <v>6.30769230769231E-2</v>
      </c>
      <c r="N7" s="2">
        <v>0.08</v>
      </c>
      <c r="O7" s="2">
        <v>0.13538461538461499</v>
      </c>
      <c r="P7" s="1">
        <v>6.30769230769231E-2</v>
      </c>
      <c r="Q7">
        <v>650</v>
      </c>
    </row>
    <row r="8" spans="1:17" x14ac:dyDescent="0.25">
      <c r="A8" s="12"/>
      <c r="B8" s="8" t="s">
        <v>16</v>
      </c>
      <c r="C8" s="1">
        <v>0.29571428571428598</v>
      </c>
      <c r="D8" s="1">
        <v>0.17142857142857101</v>
      </c>
      <c r="E8" s="4">
        <v>0.127142857142857</v>
      </c>
      <c r="F8" s="2">
        <v>0.32</v>
      </c>
      <c r="G8" s="2">
        <v>0.17285714285714299</v>
      </c>
      <c r="H8" s="4">
        <v>0.13571428571428601</v>
      </c>
      <c r="I8">
        <v>700</v>
      </c>
      <c r="K8" s="1">
        <v>0.08</v>
      </c>
      <c r="L8" s="1">
        <v>0.13714285714285701</v>
      </c>
      <c r="M8" s="4">
        <v>7.7142857142857096E-2</v>
      </c>
      <c r="N8" s="2">
        <v>8.2857142857142893E-2</v>
      </c>
      <c r="O8" s="2">
        <v>0.14000000000000001</v>
      </c>
      <c r="P8" s="4">
        <v>7.7142857142857096E-2</v>
      </c>
      <c r="Q8">
        <v>700</v>
      </c>
    </row>
    <row r="9" spans="1:17" x14ac:dyDescent="0.25">
      <c r="A9" s="12"/>
      <c r="B9" s="8" t="s">
        <v>17</v>
      </c>
      <c r="C9" s="1">
        <v>0.37283236994219698</v>
      </c>
      <c r="D9" s="1">
        <v>0.164739884393064</v>
      </c>
      <c r="E9" s="1">
        <v>0.10404624277456601</v>
      </c>
      <c r="F9" s="2">
        <v>0.41184971098265899</v>
      </c>
      <c r="G9" s="2">
        <v>0.17196531791907499</v>
      </c>
      <c r="H9" s="1">
        <v>0.106936416184971</v>
      </c>
      <c r="I9">
        <v>692</v>
      </c>
      <c r="K9" s="1">
        <v>5.3468208092485599E-2</v>
      </c>
      <c r="L9" s="1">
        <v>0.109826589595376</v>
      </c>
      <c r="M9" s="1">
        <v>7.80346820809249E-2</v>
      </c>
      <c r="N9" s="2">
        <v>5.3468208092485599E-2</v>
      </c>
      <c r="O9" s="2">
        <v>0.114161849710983</v>
      </c>
      <c r="P9" s="1">
        <v>8.0924855491329495E-2</v>
      </c>
      <c r="Q9">
        <v>692</v>
      </c>
    </row>
    <row r="10" spans="1:17" x14ac:dyDescent="0.25">
      <c r="A10" s="12"/>
      <c r="B10" s="8" t="s">
        <v>18</v>
      </c>
      <c r="C10" s="1">
        <v>0.23857868020304601</v>
      </c>
      <c r="D10" s="1">
        <v>0.130287648054146</v>
      </c>
      <c r="E10" s="1">
        <v>0.109983079526227</v>
      </c>
      <c r="F10" s="2">
        <v>0.252115059221658</v>
      </c>
      <c r="G10" s="2">
        <v>0.130287648054146</v>
      </c>
      <c r="H10" s="1">
        <v>0.11336717428088</v>
      </c>
      <c r="I10">
        <v>591</v>
      </c>
      <c r="K10" s="1">
        <v>6.4297800338409497E-2</v>
      </c>
      <c r="L10" s="1">
        <v>0.121827411167513</v>
      </c>
      <c r="M10" s="1">
        <v>9.3062605752961103E-2</v>
      </c>
      <c r="N10" s="2">
        <v>6.9373942470389194E-2</v>
      </c>
      <c r="O10" s="2">
        <v>0.12521150592216601</v>
      </c>
      <c r="P10" s="1">
        <v>9.6446700507614197E-2</v>
      </c>
      <c r="Q10">
        <v>591</v>
      </c>
    </row>
    <row r="11" spans="1:17" x14ac:dyDescent="0.25">
      <c r="A11" s="12"/>
      <c r="B11" s="8" t="s">
        <v>19</v>
      </c>
      <c r="C11" s="1">
        <v>0.27385377942998801</v>
      </c>
      <c r="D11" s="1">
        <v>0.123915737298637</v>
      </c>
      <c r="E11" s="1">
        <v>0.14498141263940501</v>
      </c>
      <c r="F11" s="2">
        <v>0.29615861214374201</v>
      </c>
      <c r="G11" s="2">
        <v>0.125154894671623</v>
      </c>
      <c r="H11" s="1">
        <v>0.14745972738537799</v>
      </c>
      <c r="I11">
        <v>807</v>
      </c>
      <c r="K11" s="1">
        <v>6.4436183395291197E-2</v>
      </c>
      <c r="L11" s="1">
        <v>0.128872366790582</v>
      </c>
      <c r="M11" s="1">
        <v>8.6741016109045901E-2</v>
      </c>
      <c r="N11" s="2">
        <v>6.4436183395291197E-2</v>
      </c>
      <c r="O11" s="2">
        <v>0.13135068153655499</v>
      </c>
      <c r="P11" s="1">
        <v>8.9219330855018597E-2</v>
      </c>
      <c r="Q11">
        <v>807</v>
      </c>
    </row>
    <row r="12" spans="1:17" x14ac:dyDescent="0.25">
      <c r="A12" s="12"/>
      <c r="B12" s="8" t="s">
        <v>20</v>
      </c>
      <c r="C12" s="1">
        <v>0.30306469920544798</v>
      </c>
      <c r="D12" s="1">
        <v>0.15550510783200899</v>
      </c>
      <c r="E12" s="1">
        <v>9.7616345062429097E-2</v>
      </c>
      <c r="F12" s="2">
        <v>0.31895573212258799</v>
      </c>
      <c r="G12" s="2">
        <v>0.15777525539160001</v>
      </c>
      <c r="H12" s="1">
        <v>0.101021566401816</v>
      </c>
      <c r="I12">
        <v>881</v>
      </c>
      <c r="K12" s="1">
        <v>6.6969353007945501E-2</v>
      </c>
      <c r="L12" s="1">
        <v>0.111237230419977</v>
      </c>
      <c r="M12" s="1">
        <v>7.0374574347332602E-2</v>
      </c>
      <c r="N12" s="2">
        <v>6.6969353007945501E-2</v>
      </c>
      <c r="O12" s="2">
        <v>0.11691259931895601</v>
      </c>
      <c r="P12" s="1">
        <v>7.0374574347332602E-2</v>
      </c>
      <c r="Q12">
        <v>881</v>
      </c>
    </row>
    <row r="13" spans="1:17" x14ac:dyDescent="0.25">
      <c r="A13" s="12" t="s">
        <v>67</v>
      </c>
      <c r="B13" s="8" t="s">
        <v>25</v>
      </c>
      <c r="C13" s="1">
        <v>0.168333333333333</v>
      </c>
      <c r="D13" s="1">
        <v>0.16166666666666701</v>
      </c>
      <c r="E13" s="1">
        <v>8.8333333333333305E-2</v>
      </c>
      <c r="F13" s="2">
        <v>0.18333333333333299</v>
      </c>
      <c r="G13" s="2">
        <v>0.16500000000000001</v>
      </c>
      <c r="H13" s="1">
        <v>9.3333333333333296E-2</v>
      </c>
      <c r="I13">
        <v>600</v>
      </c>
      <c r="K13" s="1">
        <v>7.0000000000000007E-2</v>
      </c>
      <c r="L13" s="1">
        <v>0.10666666666666701</v>
      </c>
      <c r="M13" s="1">
        <v>6.3333333333333297E-2</v>
      </c>
      <c r="N13" s="2">
        <v>7.1666666666666698E-2</v>
      </c>
      <c r="O13" s="2">
        <v>0.108333333333333</v>
      </c>
      <c r="P13" s="1">
        <v>6.5000000000000002E-2</v>
      </c>
      <c r="Q13">
        <v>600</v>
      </c>
    </row>
    <row r="14" spans="1:17" x14ac:dyDescent="0.25">
      <c r="A14" s="12"/>
      <c r="B14" s="8" t="s">
        <v>26</v>
      </c>
      <c r="C14" s="1">
        <v>0.19015957446808501</v>
      </c>
      <c r="D14" s="1">
        <v>0.136968085106383</v>
      </c>
      <c r="E14" s="1">
        <v>0.111702127659574</v>
      </c>
      <c r="F14" s="2">
        <v>0.20212765957446799</v>
      </c>
      <c r="G14" s="2">
        <v>0.14893617021276601</v>
      </c>
      <c r="H14" s="1">
        <v>0.113031914893617</v>
      </c>
      <c r="I14">
        <v>752</v>
      </c>
      <c r="K14" s="1">
        <v>5.85106382978723E-2</v>
      </c>
      <c r="L14" s="1">
        <v>0.10638297872340401</v>
      </c>
      <c r="M14" s="1">
        <v>7.5797872340425496E-2</v>
      </c>
      <c r="N14" s="2">
        <v>5.9840425531914897E-2</v>
      </c>
      <c r="O14" s="2">
        <v>0.10638297872340401</v>
      </c>
      <c r="P14" s="1">
        <v>7.7127659574468099E-2</v>
      </c>
      <c r="Q14">
        <v>752</v>
      </c>
    </row>
    <row r="15" spans="1:17" x14ac:dyDescent="0.25">
      <c r="A15" s="12"/>
      <c r="B15" s="8" t="s">
        <v>27</v>
      </c>
      <c r="C15" s="1">
        <v>0.24954128440366999</v>
      </c>
      <c r="D15" s="1">
        <v>0.16880733944954099</v>
      </c>
      <c r="E15" s="1">
        <v>0.10458715596330299</v>
      </c>
      <c r="F15" s="2">
        <v>0.273394495412844</v>
      </c>
      <c r="G15" s="2">
        <v>0.176146788990826</v>
      </c>
      <c r="H15" s="1">
        <v>0.108256880733945</v>
      </c>
      <c r="I15">
        <v>545</v>
      </c>
      <c r="K15" s="1">
        <v>7.3394495412843999E-2</v>
      </c>
      <c r="L15" s="1">
        <v>0.122935779816514</v>
      </c>
      <c r="M15" s="1">
        <v>7.3394495412843999E-2</v>
      </c>
      <c r="N15" s="2">
        <v>7.7064220183486201E-2</v>
      </c>
      <c r="O15" s="2">
        <v>0.12477064220183499</v>
      </c>
      <c r="P15" s="1">
        <v>7.3394495412843999E-2</v>
      </c>
      <c r="Q15">
        <v>545</v>
      </c>
    </row>
    <row r="16" spans="1:17" x14ac:dyDescent="0.25">
      <c r="A16" s="12"/>
      <c r="B16" s="8" t="s">
        <v>28</v>
      </c>
      <c r="C16" s="1">
        <v>0.193798449612403</v>
      </c>
      <c r="D16" s="1">
        <v>0.122923588039867</v>
      </c>
      <c r="E16" s="1">
        <v>0.10077519379845</v>
      </c>
      <c r="F16" s="2">
        <v>0.21151716500553699</v>
      </c>
      <c r="G16" s="2">
        <v>0.12735326688815099</v>
      </c>
      <c r="H16" s="1">
        <v>0.10409745293466199</v>
      </c>
      <c r="I16">
        <v>903</v>
      </c>
      <c r="K16" s="1">
        <v>5.5370985603543699E-2</v>
      </c>
      <c r="L16" s="1">
        <v>0.10409745293466199</v>
      </c>
      <c r="M16" s="1">
        <v>8.3056478405315604E-2</v>
      </c>
      <c r="N16" s="2">
        <v>5.6478405315614599E-2</v>
      </c>
      <c r="O16" s="2">
        <v>0.10520487264673301</v>
      </c>
      <c r="P16" s="1">
        <v>8.3056478405315604E-2</v>
      </c>
      <c r="Q16">
        <v>903</v>
      </c>
    </row>
    <row r="17" spans="1:17" x14ac:dyDescent="0.25">
      <c r="A17" s="12"/>
      <c r="B17" s="8" t="s">
        <v>29</v>
      </c>
      <c r="C17" s="1">
        <v>0.15909090909090901</v>
      </c>
      <c r="D17" s="1">
        <v>0.15757575757575801</v>
      </c>
      <c r="E17" s="1">
        <v>0.13787878787878799</v>
      </c>
      <c r="F17" s="2">
        <v>0.16666666666666699</v>
      </c>
      <c r="G17" s="2">
        <v>0.16515151515151499</v>
      </c>
      <c r="H17" s="1">
        <v>0.14393939393939401</v>
      </c>
      <c r="I17">
        <v>660</v>
      </c>
      <c r="K17" s="1">
        <v>8.3333333333333301E-2</v>
      </c>
      <c r="L17" s="1">
        <v>0.14090909090909101</v>
      </c>
      <c r="M17" s="1">
        <v>9.54545454545455E-2</v>
      </c>
      <c r="N17" s="2">
        <v>8.6363636363636406E-2</v>
      </c>
      <c r="O17" s="2">
        <v>0.145454545454545</v>
      </c>
      <c r="P17" s="1">
        <v>9.54545454545455E-2</v>
      </c>
      <c r="Q17">
        <v>660</v>
      </c>
    </row>
    <row r="18" spans="1:17" x14ac:dyDescent="0.25">
      <c r="A18" s="12"/>
      <c r="B18" s="8" t="s">
        <v>30</v>
      </c>
      <c r="C18" s="1">
        <v>0.206840390879479</v>
      </c>
      <c r="D18" s="1">
        <v>0.16612377850162899</v>
      </c>
      <c r="E18" s="1">
        <v>0.11074918566775201</v>
      </c>
      <c r="F18" s="2">
        <v>0.22312703583061899</v>
      </c>
      <c r="G18" s="2">
        <v>0.17263843648208499</v>
      </c>
      <c r="H18" s="1">
        <v>0.11400651465797999</v>
      </c>
      <c r="I18">
        <v>614</v>
      </c>
      <c r="K18" s="1">
        <v>7.3289902280130298E-2</v>
      </c>
      <c r="L18" s="1">
        <v>0.138436482084691</v>
      </c>
      <c r="M18" s="1">
        <v>7.1661237785016305E-2</v>
      </c>
      <c r="N18" s="2">
        <v>7.3289902280130298E-2</v>
      </c>
      <c r="O18" s="2">
        <v>0.14169381107491899</v>
      </c>
      <c r="P18" s="1">
        <v>7.1661237785016305E-2</v>
      </c>
      <c r="Q18">
        <v>614</v>
      </c>
    </row>
    <row r="19" spans="1:17" x14ac:dyDescent="0.25">
      <c r="A19" s="12"/>
      <c r="B19" s="8" t="s">
        <v>31</v>
      </c>
      <c r="C19" s="1">
        <v>0.205508474576271</v>
      </c>
      <c r="D19" s="1">
        <v>0.120762711864407</v>
      </c>
      <c r="E19" s="1">
        <v>8.2627118644067798E-2</v>
      </c>
      <c r="F19" s="2">
        <v>0.22033898305084701</v>
      </c>
      <c r="G19" s="2">
        <v>0.12711864406779699</v>
      </c>
      <c r="H19" s="1">
        <v>8.4745762711864403E-2</v>
      </c>
      <c r="I19">
        <v>472</v>
      </c>
      <c r="K19" s="1">
        <v>5.5084745762711898E-2</v>
      </c>
      <c r="L19" s="1">
        <v>0.101694915254237</v>
      </c>
      <c r="M19" s="1">
        <v>6.1440677966101698E-2</v>
      </c>
      <c r="N19" s="2">
        <v>5.5084745762711898E-2</v>
      </c>
      <c r="O19" s="2">
        <v>0.103813559322034</v>
      </c>
      <c r="P19" s="1">
        <v>6.1440677966101698E-2</v>
      </c>
      <c r="Q19">
        <v>472</v>
      </c>
    </row>
    <row r="20" spans="1:17" x14ac:dyDescent="0.25">
      <c r="A20" s="12"/>
      <c r="B20" s="8" t="s">
        <v>32</v>
      </c>
      <c r="C20" s="1">
        <v>0.21558441558441599</v>
      </c>
      <c r="D20" s="1">
        <v>0.13376623376623401</v>
      </c>
      <c r="E20" s="4">
        <v>0.120779220779221</v>
      </c>
      <c r="F20" s="2">
        <v>0.22727272727272699</v>
      </c>
      <c r="G20" s="2">
        <v>0.13766233766233801</v>
      </c>
      <c r="H20" s="4">
        <v>0.123376623376623</v>
      </c>
      <c r="I20">
        <v>770</v>
      </c>
      <c r="K20" s="1">
        <v>6.4935064935064901E-2</v>
      </c>
      <c r="L20" s="1">
        <v>0.101298701298701</v>
      </c>
      <c r="M20" s="4">
        <v>8.0519480519480505E-2</v>
      </c>
      <c r="N20" s="2">
        <v>6.4935064935064901E-2</v>
      </c>
      <c r="O20" s="2">
        <v>0.101298701298701</v>
      </c>
      <c r="P20" s="4">
        <v>8.0519480519480505E-2</v>
      </c>
      <c r="Q20">
        <v>770</v>
      </c>
    </row>
    <row r="21" spans="1:17" x14ac:dyDescent="0.25">
      <c r="A21" s="12"/>
      <c r="B21" s="8" t="s">
        <v>33</v>
      </c>
      <c r="C21" s="1">
        <v>0.16329113924050601</v>
      </c>
      <c r="D21" s="1">
        <v>0.120253164556962</v>
      </c>
      <c r="E21" s="1">
        <v>0.124050632911392</v>
      </c>
      <c r="F21" s="2">
        <v>0.170886075949367</v>
      </c>
      <c r="G21" s="2">
        <v>0.12784810126582299</v>
      </c>
      <c r="H21" s="1">
        <v>0.126582278481013</v>
      </c>
      <c r="I21">
        <v>790</v>
      </c>
      <c r="K21" s="1">
        <v>7.5949367088607597E-2</v>
      </c>
      <c r="L21" s="1">
        <v>0.11265822784810101</v>
      </c>
      <c r="M21" s="1">
        <v>7.8481012658227906E-2</v>
      </c>
      <c r="N21" s="2">
        <v>8.6075949367088594E-2</v>
      </c>
      <c r="O21" s="2">
        <v>0.117721518987342</v>
      </c>
      <c r="P21" s="1">
        <v>7.9746835443037997E-2</v>
      </c>
      <c r="Q21">
        <v>790</v>
      </c>
    </row>
    <row r="22" spans="1:17" x14ac:dyDescent="0.25">
      <c r="A22" s="12" t="s">
        <v>68</v>
      </c>
      <c r="B22" s="8" t="s">
        <v>25</v>
      </c>
      <c r="C22" s="1">
        <v>0.14827018121911001</v>
      </c>
      <c r="D22" s="1">
        <v>0.12685337726523899</v>
      </c>
      <c r="E22" s="1">
        <v>9.3904448105436605E-2</v>
      </c>
      <c r="F22" s="2">
        <v>0.158154859967051</v>
      </c>
      <c r="G22" s="2">
        <v>0.13509060955518901</v>
      </c>
      <c r="H22" s="1">
        <v>9.8846787479406895E-2</v>
      </c>
      <c r="I22">
        <v>607</v>
      </c>
      <c r="K22" s="1">
        <v>0.118616144975288</v>
      </c>
      <c r="L22" s="1">
        <v>0.118616144975288</v>
      </c>
      <c r="M22" s="1">
        <v>7.4135090609555199E-2</v>
      </c>
      <c r="N22" s="2">
        <v>0.121911037891269</v>
      </c>
      <c r="O22" s="2">
        <v>0.120263591433278</v>
      </c>
      <c r="P22" s="1">
        <v>7.4135090609555199E-2</v>
      </c>
      <c r="Q22">
        <v>607</v>
      </c>
    </row>
    <row r="23" spans="1:17" x14ac:dyDescent="0.25">
      <c r="A23" s="12"/>
      <c r="B23" s="8" t="s">
        <v>26</v>
      </c>
      <c r="C23" s="1">
        <v>0.16951379763469099</v>
      </c>
      <c r="D23" s="1">
        <v>0.13929040735873899</v>
      </c>
      <c r="E23" s="1">
        <v>8.2785808147174803E-2</v>
      </c>
      <c r="F23" s="2">
        <v>0.181340341655716</v>
      </c>
      <c r="G23" s="2">
        <v>0.140604467805519</v>
      </c>
      <c r="H23" s="1">
        <v>8.2785808147174803E-2</v>
      </c>
      <c r="I23">
        <v>761</v>
      </c>
      <c r="K23" s="1">
        <v>0.113009198423127</v>
      </c>
      <c r="L23" s="1">
        <v>0.103810775295664</v>
      </c>
      <c r="M23" s="1">
        <v>8.2785808147174803E-2</v>
      </c>
      <c r="N23" s="2">
        <v>0.115637319316689</v>
      </c>
      <c r="O23" s="2">
        <v>0.107752956636005</v>
      </c>
      <c r="P23" s="1">
        <v>8.4099868593955296E-2</v>
      </c>
      <c r="Q23">
        <v>761</v>
      </c>
    </row>
    <row r="24" spans="1:17" x14ac:dyDescent="0.25">
      <c r="A24" s="12"/>
      <c r="B24" s="8" t="s">
        <v>27</v>
      </c>
      <c r="C24" s="1">
        <v>0.21886120996441299</v>
      </c>
      <c r="D24" s="1">
        <v>0.151245551601424</v>
      </c>
      <c r="E24" s="1">
        <v>8.7188612099644097E-2</v>
      </c>
      <c r="F24" s="2">
        <v>0.24733096085409301</v>
      </c>
      <c r="G24" s="2">
        <v>0.15480427046263301</v>
      </c>
      <c r="H24" s="1">
        <v>9.0747330960854106E-2</v>
      </c>
      <c r="I24">
        <v>562</v>
      </c>
      <c r="K24" s="1">
        <v>0.11387900355871899</v>
      </c>
      <c r="L24" s="1">
        <v>0.13167259786476901</v>
      </c>
      <c r="M24" s="1">
        <v>9.6085409252668993E-2</v>
      </c>
      <c r="N24" s="2">
        <v>0.117437722419929</v>
      </c>
      <c r="O24" s="2">
        <v>0.13345195729537401</v>
      </c>
      <c r="P24" s="1">
        <v>9.6085409252668993E-2</v>
      </c>
      <c r="Q24">
        <v>562</v>
      </c>
    </row>
    <row r="25" spans="1:17" x14ac:dyDescent="0.25">
      <c r="A25" s="12"/>
      <c r="B25" s="8" t="s">
        <v>28</v>
      </c>
      <c r="C25" s="1">
        <v>0.19099890230515901</v>
      </c>
      <c r="D25" s="1">
        <v>0.110867178924259</v>
      </c>
      <c r="E25" s="1">
        <v>8.7815587266739895E-2</v>
      </c>
      <c r="F25" s="2">
        <v>0.199780461031833</v>
      </c>
      <c r="G25" s="2">
        <v>0.115257958287596</v>
      </c>
      <c r="H25" s="1">
        <v>9.0010976948408303E-2</v>
      </c>
      <c r="I25">
        <v>911</v>
      </c>
      <c r="K25" s="1">
        <v>0.110867178924259</v>
      </c>
      <c r="L25" s="1">
        <v>0.121844127332602</v>
      </c>
      <c r="M25" s="1">
        <v>9.9890230515916598E-2</v>
      </c>
      <c r="N25" s="2">
        <v>0.114160263446762</v>
      </c>
      <c r="O25" s="2">
        <v>0.12403951701427</v>
      </c>
      <c r="P25" s="1">
        <v>0.100987925356751</v>
      </c>
      <c r="Q25">
        <v>911</v>
      </c>
    </row>
    <row r="26" spans="1:17" x14ac:dyDescent="0.25">
      <c r="A26" s="12"/>
      <c r="B26" s="8" t="s">
        <v>29</v>
      </c>
      <c r="C26" s="1">
        <v>0.16865671641791</v>
      </c>
      <c r="D26" s="1">
        <v>0.14925373134328401</v>
      </c>
      <c r="E26" s="1">
        <v>0.13731343283582101</v>
      </c>
      <c r="F26" s="2">
        <v>0.176119402985075</v>
      </c>
      <c r="G26" s="2">
        <v>0.15373134328358201</v>
      </c>
      <c r="H26" s="1">
        <v>0.143283582089552</v>
      </c>
      <c r="I26">
        <v>670</v>
      </c>
      <c r="K26" s="1">
        <v>8.9552238805970102E-2</v>
      </c>
      <c r="L26" s="1">
        <v>0.13134328358208999</v>
      </c>
      <c r="M26" s="1">
        <v>0.102985074626866</v>
      </c>
      <c r="N26" s="2">
        <v>9.5522388059701493E-2</v>
      </c>
      <c r="O26" s="2">
        <v>0.13283582089552201</v>
      </c>
      <c r="P26" s="1">
        <v>0.104477611940299</v>
      </c>
      <c r="Q26">
        <v>670</v>
      </c>
    </row>
    <row r="27" spans="1:17" x14ac:dyDescent="0.25">
      <c r="A27" s="12"/>
      <c r="B27" s="8" t="s">
        <v>30</v>
      </c>
      <c r="C27" s="1">
        <v>0.18240000000000001</v>
      </c>
      <c r="D27" s="1">
        <v>0.15359999999999999</v>
      </c>
      <c r="E27" s="1">
        <v>9.9199999999999997E-2</v>
      </c>
      <c r="F27" s="2">
        <v>0.192</v>
      </c>
      <c r="G27" s="2">
        <v>0.1552</v>
      </c>
      <c r="H27" s="1">
        <v>0.1008</v>
      </c>
      <c r="I27">
        <v>625</v>
      </c>
      <c r="K27" s="1">
        <v>0.11840000000000001</v>
      </c>
      <c r="L27" s="1">
        <v>0.13919999999999999</v>
      </c>
      <c r="M27" s="1">
        <v>7.6799999999999993E-2</v>
      </c>
      <c r="N27" s="2">
        <v>0.12959999999999999</v>
      </c>
      <c r="O27" s="2">
        <v>0.14080000000000001</v>
      </c>
      <c r="P27" s="1">
        <v>7.6799999999999993E-2</v>
      </c>
      <c r="Q27">
        <v>625</v>
      </c>
    </row>
    <row r="28" spans="1:17" x14ac:dyDescent="0.25">
      <c r="A28" s="12"/>
      <c r="B28" s="8" t="s">
        <v>31</v>
      </c>
      <c r="C28" s="1">
        <v>0.19917012448132801</v>
      </c>
      <c r="D28" s="1">
        <v>0.128630705394191</v>
      </c>
      <c r="E28" s="1">
        <v>8.9211618257261399E-2</v>
      </c>
      <c r="F28" s="2">
        <v>0.20331950207468899</v>
      </c>
      <c r="G28" s="2">
        <v>0.13070539419087099</v>
      </c>
      <c r="H28" s="1">
        <v>8.9211618257261399E-2</v>
      </c>
      <c r="I28">
        <v>482</v>
      </c>
      <c r="K28" s="1">
        <v>0.12448132780083</v>
      </c>
      <c r="L28" s="1">
        <v>0.105809128630705</v>
      </c>
      <c r="M28" s="1">
        <v>6.6390041493775906E-2</v>
      </c>
      <c r="N28" s="2">
        <v>0.128630705394191</v>
      </c>
      <c r="O28" s="2">
        <v>0.105809128630705</v>
      </c>
      <c r="P28" s="1">
        <v>6.6390041493775906E-2</v>
      </c>
      <c r="Q28">
        <v>482</v>
      </c>
    </row>
    <row r="29" spans="1:17" x14ac:dyDescent="0.25">
      <c r="A29" s="12"/>
      <c r="B29" s="8" t="s">
        <v>32</v>
      </c>
      <c r="C29" s="1">
        <v>0.19615384615384601</v>
      </c>
      <c r="D29" s="1">
        <v>0.125641025641026</v>
      </c>
      <c r="E29" s="4">
        <v>0.112820512820513</v>
      </c>
      <c r="F29" s="2">
        <v>0.20769230769230801</v>
      </c>
      <c r="G29" s="2">
        <v>0.126923076923077</v>
      </c>
      <c r="H29" s="4">
        <v>0.114102564102564</v>
      </c>
      <c r="I29">
        <v>780</v>
      </c>
      <c r="K29" s="1">
        <v>0.111538461538462</v>
      </c>
      <c r="L29" s="1">
        <v>9.87179487179487E-2</v>
      </c>
      <c r="M29" s="4">
        <v>9.1025641025640994E-2</v>
      </c>
      <c r="N29" s="2">
        <v>0.112820512820513</v>
      </c>
      <c r="O29" s="2">
        <v>0.1</v>
      </c>
      <c r="P29" s="4">
        <v>9.2307692307692299E-2</v>
      </c>
      <c r="Q29">
        <v>780</v>
      </c>
    </row>
    <row r="30" spans="1:17" x14ac:dyDescent="0.25">
      <c r="A30" s="12"/>
      <c r="B30" s="8" t="s">
        <v>33</v>
      </c>
      <c r="C30" s="1">
        <v>0.18486352357320099</v>
      </c>
      <c r="D30" s="1">
        <v>0.13647642679900701</v>
      </c>
      <c r="E30" s="1">
        <v>0.119106699751861</v>
      </c>
      <c r="F30" s="2">
        <v>0.202233250620347</v>
      </c>
      <c r="G30" s="2">
        <v>0.14019851116625301</v>
      </c>
      <c r="H30" s="1">
        <v>0.120347394540943</v>
      </c>
      <c r="I30">
        <v>806</v>
      </c>
      <c r="K30" s="1">
        <v>8.3126550868486401E-2</v>
      </c>
      <c r="L30" s="1">
        <v>0.122828784119107</v>
      </c>
      <c r="M30" s="1">
        <v>9.0570719602977703E-2</v>
      </c>
      <c r="N30" s="2">
        <v>8.9330024813895806E-2</v>
      </c>
      <c r="O30" s="2">
        <v>0.12406947890818899</v>
      </c>
      <c r="P30" s="1">
        <v>9.1811414392059601E-2</v>
      </c>
      <c r="Q30">
        <v>806</v>
      </c>
    </row>
    <row r="31" spans="1:17" x14ac:dyDescent="0.25">
      <c r="A31" s="12" t="s">
        <v>0</v>
      </c>
      <c r="B31" s="8" t="s">
        <v>34</v>
      </c>
      <c r="C31" s="1">
        <v>0.14528593508500801</v>
      </c>
      <c r="D31" s="1">
        <v>0.131375579598145</v>
      </c>
      <c r="E31" s="1">
        <v>0.10200927357032499</v>
      </c>
      <c r="F31" s="2">
        <v>0.17310664605873299</v>
      </c>
      <c r="G31" s="2">
        <v>0.12982998454404901</v>
      </c>
      <c r="H31" s="1">
        <v>0.10973724884080401</v>
      </c>
      <c r="I31">
        <v>647</v>
      </c>
      <c r="K31" s="1">
        <v>6.9551777434312206E-2</v>
      </c>
      <c r="L31" s="1">
        <v>0.106646058732612</v>
      </c>
      <c r="M31" s="1">
        <v>6.8006182380216398E-2</v>
      </c>
      <c r="N31" s="2">
        <v>7.41885625965997E-2</v>
      </c>
      <c r="O31" s="2">
        <v>9.5826893353941303E-2</v>
      </c>
      <c r="P31" s="1">
        <v>6.9551777434312206E-2</v>
      </c>
      <c r="Q31">
        <v>647</v>
      </c>
    </row>
    <row r="32" spans="1:17" x14ac:dyDescent="0.25">
      <c r="A32" s="12"/>
      <c r="B32" s="8" t="s">
        <v>35</v>
      </c>
      <c r="C32" s="1">
        <v>0.21638330757341601</v>
      </c>
      <c r="D32" s="1">
        <v>0.176197836166924</v>
      </c>
      <c r="E32" s="1">
        <v>9.1190108191653796E-2</v>
      </c>
      <c r="F32" s="2">
        <v>0.21483771251931999</v>
      </c>
      <c r="G32" s="2">
        <v>0.20710973724884099</v>
      </c>
      <c r="H32" s="1">
        <v>9.7372488408037097E-2</v>
      </c>
      <c r="I32">
        <v>647</v>
      </c>
      <c r="K32" s="1">
        <v>0.100463678516229</v>
      </c>
      <c r="L32" s="1">
        <v>0.114374034003091</v>
      </c>
      <c r="M32" s="1">
        <v>9.4281298299845398E-2</v>
      </c>
      <c r="N32" s="2">
        <v>0.106646058732612</v>
      </c>
      <c r="O32" s="2">
        <v>0.14683153013910399</v>
      </c>
      <c r="P32" s="1">
        <v>9.7372488408037097E-2</v>
      </c>
      <c r="Q32">
        <v>647</v>
      </c>
    </row>
    <row r="33" spans="1:17" x14ac:dyDescent="0.25">
      <c r="A33" s="12"/>
      <c r="B33" s="8" t="s">
        <v>36</v>
      </c>
      <c r="C33" s="1">
        <v>0.20401854714064899</v>
      </c>
      <c r="D33" s="1">
        <v>0.15146831530139099</v>
      </c>
      <c r="E33" s="4">
        <v>0.22565687789799099</v>
      </c>
      <c r="F33" s="2">
        <v>0.24574961360123601</v>
      </c>
      <c r="G33" s="2">
        <v>0.134466769706337</v>
      </c>
      <c r="H33" s="4">
        <v>0.23029366306027799</v>
      </c>
      <c r="I33">
        <v>647</v>
      </c>
      <c r="K33" s="1">
        <v>8.9644513137558002E-2</v>
      </c>
      <c r="L33" s="1">
        <v>0.13601236476043299</v>
      </c>
      <c r="M33" s="4">
        <v>0.131375579598145</v>
      </c>
      <c r="N33" s="2">
        <v>8.9644513137558002E-2</v>
      </c>
      <c r="O33" s="2">
        <v>0.153013910355487</v>
      </c>
      <c r="P33" s="4">
        <v>0.115919629057187</v>
      </c>
      <c r="Q33">
        <v>647</v>
      </c>
    </row>
    <row r="34" spans="1:17" x14ac:dyDescent="0.25">
      <c r="A34" s="12"/>
      <c r="B34" s="8" t="s">
        <v>37</v>
      </c>
      <c r="C34" s="1">
        <v>0.168469860896445</v>
      </c>
      <c r="D34" s="1">
        <v>0.13755795981452901</v>
      </c>
      <c r="E34" s="4">
        <v>0.10200927357032499</v>
      </c>
      <c r="F34" s="2">
        <v>0.19629057187016999</v>
      </c>
      <c r="G34" s="2">
        <v>0.16228748068006199</v>
      </c>
      <c r="H34" s="4">
        <v>0.25502318392581103</v>
      </c>
      <c r="I34">
        <v>647</v>
      </c>
      <c r="K34" s="1">
        <v>0.114374034003091</v>
      </c>
      <c r="L34" s="1">
        <v>0.10355486862442</v>
      </c>
      <c r="M34" s="4">
        <v>9.7372488408037097E-2</v>
      </c>
      <c r="N34" s="2">
        <v>8.8098918083462097E-2</v>
      </c>
      <c r="O34" s="2">
        <v>9.4281298299845398E-2</v>
      </c>
      <c r="P34" s="4">
        <v>0.12519319938176199</v>
      </c>
      <c r="Q34">
        <v>647</v>
      </c>
    </row>
    <row r="35" spans="1:17" x14ac:dyDescent="0.25">
      <c r="A35" s="12"/>
      <c r="B35" s="8" t="s">
        <v>38</v>
      </c>
      <c r="C35" s="1">
        <v>0.17001545595054099</v>
      </c>
      <c r="D35" s="1">
        <v>0.142194744976816</v>
      </c>
      <c r="E35" s="1">
        <v>8.5007727975270495E-2</v>
      </c>
      <c r="F35" s="2">
        <v>0.18083462132921199</v>
      </c>
      <c r="G35" s="2">
        <v>0.12828438948995399</v>
      </c>
      <c r="H35" s="1">
        <v>9.2735703245749604E-2</v>
      </c>
      <c r="I35">
        <v>647</v>
      </c>
      <c r="K35" s="1">
        <v>7.5734157650695494E-2</v>
      </c>
      <c r="L35" s="1">
        <v>0.112828438948995</v>
      </c>
      <c r="M35" s="1">
        <v>9.8918083462132905E-2</v>
      </c>
      <c r="N35" s="2">
        <v>8.6553323029366303E-2</v>
      </c>
      <c r="O35" s="2">
        <v>0.10973724884080401</v>
      </c>
      <c r="P35" s="1">
        <v>9.7372488408037097E-2</v>
      </c>
      <c r="Q35">
        <v>647</v>
      </c>
    </row>
    <row r="36" spans="1:17" x14ac:dyDescent="0.25">
      <c r="A36" s="12"/>
      <c r="B36" s="8" t="s">
        <v>39</v>
      </c>
      <c r="C36" s="1">
        <v>0.15455950540958299</v>
      </c>
      <c r="D36" s="1">
        <v>0.117465224111283</v>
      </c>
      <c r="E36" s="1">
        <v>0.106646058732612</v>
      </c>
      <c r="F36" s="2">
        <v>0.197836166924266</v>
      </c>
      <c r="G36" s="2">
        <v>0.11128284389489999</v>
      </c>
      <c r="H36" s="1">
        <v>0.106646058732612</v>
      </c>
      <c r="I36">
        <v>647</v>
      </c>
      <c r="K36" s="1">
        <v>0.11128284389489999</v>
      </c>
      <c r="L36" s="1">
        <v>7.5734157650695494E-2</v>
      </c>
      <c r="M36" s="1">
        <v>9.1190108191653796E-2</v>
      </c>
      <c r="N36" s="2">
        <v>9.7372488408037097E-2</v>
      </c>
      <c r="O36" s="2">
        <v>7.8825347758887193E-2</v>
      </c>
      <c r="P36" s="1">
        <v>9.4281298299845398E-2</v>
      </c>
      <c r="Q36">
        <v>647</v>
      </c>
    </row>
    <row r="37" spans="1:17" x14ac:dyDescent="0.25">
      <c r="A37" s="12"/>
      <c r="B37" s="8" t="s">
        <v>40</v>
      </c>
      <c r="C37" s="1">
        <v>0.221020092735703</v>
      </c>
      <c r="D37" s="1">
        <v>0.179289026275116</v>
      </c>
      <c r="E37" s="1">
        <v>6.3369397217928905E-2</v>
      </c>
      <c r="F37" s="2">
        <v>0.23029366306027799</v>
      </c>
      <c r="G37" s="2">
        <v>0.14837712519319901</v>
      </c>
      <c r="H37" s="1">
        <v>6.8006182380216398E-2</v>
      </c>
      <c r="I37">
        <v>647</v>
      </c>
      <c r="K37" s="1">
        <v>9.4281298299845398E-2</v>
      </c>
      <c r="L37" s="1">
        <v>0.139103554868624</v>
      </c>
      <c r="M37" s="1">
        <v>5.5641421947449803E-2</v>
      </c>
      <c r="N37" s="2">
        <v>9.5826893353941303E-2</v>
      </c>
      <c r="O37" s="2">
        <v>0.106646058732612</v>
      </c>
      <c r="P37" s="1">
        <v>5.1004636785162302E-2</v>
      </c>
      <c r="Q37">
        <v>647</v>
      </c>
    </row>
    <row r="38" spans="1:17" x14ac:dyDescent="0.25">
      <c r="A38" s="12"/>
      <c r="B38" s="8" t="s">
        <v>41</v>
      </c>
      <c r="C38" s="1">
        <v>0.19360568383658999</v>
      </c>
      <c r="D38" s="1">
        <v>0.13321492007104799</v>
      </c>
      <c r="E38" s="1">
        <v>0.11190053285968</v>
      </c>
      <c r="F38" s="2">
        <v>0.15275310834813499</v>
      </c>
      <c r="G38" s="2">
        <v>0.129662522202487</v>
      </c>
      <c r="H38" s="1">
        <v>8.70337477797513E-2</v>
      </c>
      <c r="I38">
        <v>563</v>
      </c>
      <c r="K38" s="1">
        <v>8.5257548845470696E-2</v>
      </c>
      <c r="L38" s="1">
        <v>0.11190053285968</v>
      </c>
      <c r="M38" s="1">
        <v>8.70337477797513E-2</v>
      </c>
      <c r="N38" s="2">
        <v>8.1705150976909405E-2</v>
      </c>
      <c r="O38" s="2">
        <v>0.11190053285968</v>
      </c>
      <c r="P38" s="1">
        <v>7.2824156305506205E-2</v>
      </c>
      <c r="Q38">
        <v>563</v>
      </c>
    </row>
    <row r="39" spans="1:17" x14ac:dyDescent="0.25">
      <c r="A39" s="12"/>
      <c r="B39" s="8" t="s">
        <v>42</v>
      </c>
      <c r="C39" s="1">
        <v>0.27272727272727298</v>
      </c>
      <c r="D39" s="1">
        <v>0.18181818181818199</v>
      </c>
      <c r="E39" s="1">
        <v>0.11688311688311701</v>
      </c>
      <c r="F39" s="2">
        <v>0.24025974025974001</v>
      </c>
      <c r="G39" s="2">
        <v>0.201298701298701</v>
      </c>
      <c r="H39" s="1">
        <v>0.14285714285714299</v>
      </c>
      <c r="I39">
        <v>154</v>
      </c>
      <c r="K39" s="1">
        <v>7.7922077922077906E-2</v>
      </c>
      <c r="L39" s="1">
        <v>0.168831168831169</v>
      </c>
      <c r="M39" s="1">
        <v>0.12987012987013</v>
      </c>
      <c r="N39" s="2">
        <v>6.4935064935064901E-2</v>
      </c>
      <c r="O39" s="2">
        <v>0.15584415584415601</v>
      </c>
      <c r="P39" s="1">
        <v>6.4935064935064901E-2</v>
      </c>
      <c r="Q39">
        <v>154</v>
      </c>
    </row>
    <row r="40" spans="1:17" x14ac:dyDescent="0.25">
      <c r="A40" s="12"/>
      <c r="B40" s="8" t="s">
        <v>43</v>
      </c>
      <c r="C40" s="1">
        <v>0.18238021638330801</v>
      </c>
      <c r="D40" s="1">
        <v>0.13755795981452901</v>
      </c>
      <c r="E40" s="1">
        <v>0.17001545595054099</v>
      </c>
      <c r="F40" s="2">
        <v>0.202472952086553</v>
      </c>
      <c r="G40" s="2">
        <v>0.153013910355487</v>
      </c>
      <c r="H40" s="1">
        <v>0.183925811437403</v>
      </c>
      <c r="I40">
        <v>647</v>
      </c>
      <c r="K40" s="1">
        <v>8.8098918083462097E-2</v>
      </c>
      <c r="L40" s="1">
        <v>0.108191653786708</v>
      </c>
      <c r="M40" s="1">
        <v>8.8098918083462097E-2</v>
      </c>
      <c r="N40" s="2">
        <v>7.2642967542503906E-2</v>
      </c>
      <c r="O40" s="2">
        <v>0.12055641421947499</v>
      </c>
      <c r="P40" s="1">
        <v>0.10355486862442</v>
      </c>
      <c r="Q40">
        <v>647</v>
      </c>
    </row>
    <row r="41" spans="1:17" x14ac:dyDescent="0.25">
      <c r="A41" s="12"/>
      <c r="B41" s="8" t="s">
        <v>44</v>
      </c>
      <c r="C41" s="1">
        <v>0.239567233384853</v>
      </c>
      <c r="D41" s="1">
        <v>0.11128284389489999</v>
      </c>
      <c r="E41" s="1">
        <v>0.11901081916537901</v>
      </c>
      <c r="F41" s="2">
        <v>0.28593508500772802</v>
      </c>
      <c r="G41" s="2">
        <v>0.12519319938176199</v>
      </c>
      <c r="H41" s="1">
        <v>0.12828438948995399</v>
      </c>
      <c r="I41">
        <v>647</v>
      </c>
      <c r="K41" s="1">
        <v>0.108191653786708</v>
      </c>
      <c r="L41" s="1">
        <v>0.108191653786708</v>
      </c>
      <c r="M41" s="1">
        <v>8.9644513137558002E-2</v>
      </c>
      <c r="N41" s="2">
        <v>0.139103554868624</v>
      </c>
      <c r="O41" s="2">
        <v>0.12982998454404901</v>
      </c>
      <c r="P41" s="1">
        <v>0.12982998454404901</v>
      </c>
      <c r="Q41">
        <v>647</v>
      </c>
    </row>
    <row r="42" spans="1:17" x14ac:dyDescent="0.25">
      <c r="A42" s="12" t="s">
        <v>1</v>
      </c>
      <c r="B42" s="9" t="s">
        <v>34</v>
      </c>
      <c r="C42" s="1">
        <v>0.12519319938176199</v>
      </c>
      <c r="D42" s="1">
        <v>0.142194744976816</v>
      </c>
      <c r="E42" s="1">
        <v>7.41885625965997E-2</v>
      </c>
      <c r="F42" s="2">
        <v>0.13601236476043299</v>
      </c>
      <c r="G42" s="2">
        <v>0.131375579598145</v>
      </c>
      <c r="H42" s="1">
        <v>9.4281298299845398E-2</v>
      </c>
      <c r="I42">
        <v>647</v>
      </c>
      <c r="K42" s="1">
        <v>9.4281298299845398E-2</v>
      </c>
      <c r="L42" s="1">
        <v>0.100463678516229</v>
      </c>
      <c r="M42" s="1">
        <v>7.2642967542503906E-2</v>
      </c>
      <c r="N42" s="2">
        <v>7.5734157650695494E-2</v>
      </c>
      <c r="O42" s="2">
        <v>0.106646058732612</v>
      </c>
      <c r="P42" s="1">
        <v>8.34621329211747E-2</v>
      </c>
      <c r="Q42">
        <v>647</v>
      </c>
    </row>
    <row r="43" spans="1:17" x14ac:dyDescent="0.25">
      <c r="A43" s="12"/>
      <c r="B43" s="8" t="s">
        <v>35</v>
      </c>
      <c r="C43" s="1">
        <v>0.13292117465224099</v>
      </c>
      <c r="D43" s="1">
        <v>0.15455950540958299</v>
      </c>
      <c r="E43" s="1">
        <v>0.108191653786708</v>
      </c>
      <c r="F43" s="2">
        <v>0.16228748068006199</v>
      </c>
      <c r="G43" s="2">
        <v>0.15919629057187001</v>
      </c>
      <c r="H43" s="1">
        <v>8.8098918083462097E-2</v>
      </c>
      <c r="I43">
        <v>647</v>
      </c>
      <c r="K43" s="1">
        <v>8.34621329211747E-2</v>
      </c>
      <c r="L43" s="1">
        <v>0.160741885625966</v>
      </c>
      <c r="M43" s="1">
        <v>8.5007727975270495E-2</v>
      </c>
      <c r="N43" s="2">
        <v>7.2642967542503906E-2</v>
      </c>
      <c r="O43" s="2">
        <v>0.17465224111282801</v>
      </c>
      <c r="P43" s="1">
        <v>0.106646058732612</v>
      </c>
      <c r="Q43">
        <v>647</v>
      </c>
    </row>
    <row r="44" spans="1:17" x14ac:dyDescent="0.25">
      <c r="A44" s="12"/>
      <c r="B44" s="8" t="s">
        <v>36</v>
      </c>
      <c r="C44" s="1">
        <v>0.157650695517774</v>
      </c>
      <c r="D44" s="1">
        <v>0.18238021638330801</v>
      </c>
      <c r="E44" s="4">
        <v>0.205564142194745</v>
      </c>
      <c r="F44" s="2">
        <v>0.183925811437403</v>
      </c>
      <c r="G44" s="2">
        <v>0.15919629057187001</v>
      </c>
      <c r="H44" s="4">
        <v>0.20865533230293701</v>
      </c>
      <c r="I44">
        <v>647</v>
      </c>
      <c r="K44" s="1">
        <v>5.5641421947449803E-2</v>
      </c>
      <c r="L44" s="1">
        <v>0.123647604327666</v>
      </c>
      <c r="M44" s="4">
        <v>0.112828438948995</v>
      </c>
      <c r="N44" s="2">
        <v>5.7187017001545597E-2</v>
      </c>
      <c r="O44" s="2">
        <v>0.12055641421947499</v>
      </c>
      <c r="P44" s="4">
        <v>0.10973724884080401</v>
      </c>
      <c r="Q44">
        <v>647</v>
      </c>
    </row>
    <row r="45" spans="1:17" x14ac:dyDescent="0.25">
      <c r="A45" s="12"/>
      <c r="B45" s="8" t="s">
        <v>37</v>
      </c>
      <c r="C45" s="1">
        <v>0.16383307573415801</v>
      </c>
      <c r="D45" s="1">
        <v>0.15146831530139099</v>
      </c>
      <c r="E45" s="4">
        <v>9.1190108191653796E-2</v>
      </c>
      <c r="F45" s="2">
        <v>0.13292117465224099</v>
      </c>
      <c r="G45" s="2">
        <v>0.14528593508500801</v>
      </c>
      <c r="H45" s="4">
        <v>0.15919629057187001</v>
      </c>
      <c r="I45">
        <v>647</v>
      </c>
      <c r="K45" s="1">
        <v>8.9644513137558002E-2</v>
      </c>
      <c r="L45" s="1">
        <v>9.5826893353941303E-2</v>
      </c>
      <c r="M45" s="4">
        <v>9.2735703245749604E-2</v>
      </c>
      <c r="N45" s="2">
        <v>7.41885625965997E-2</v>
      </c>
      <c r="O45" s="2">
        <v>8.5007727975270495E-2</v>
      </c>
      <c r="P45" s="4">
        <v>0.117465224111283</v>
      </c>
      <c r="Q45">
        <v>647</v>
      </c>
    </row>
    <row r="46" spans="1:17" x14ac:dyDescent="0.25">
      <c r="A46" s="12"/>
      <c r="B46" s="8" t="s">
        <v>38</v>
      </c>
      <c r="C46" s="1">
        <v>0.115919629057187</v>
      </c>
      <c r="D46" s="1">
        <v>0.134466769706337</v>
      </c>
      <c r="E46" s="1">
        <v>0.115919629057187</v>
      </c>
      <c r="F46" s="2">
        <v>0.131375579598145</v>
      </c>
      <c r="G46" s="2">
        <v>0.126738794435858</v>
      </c>
      <c r="H46" s="1">
        <v>0.105100463678516</v>
      </c>
      <c r="I46">
        <v>647</v>
      </c>
      <c r="K46" s="1">
        <v>9.1190108191653796E-2</v>
      </c>
      <c r="L46" s="1">
        <v>0.11901081916537901</v>
      </c>
      <c r="M46" s="1">
        <v>7.1097372488408001E-2</v>
      </c>
      <c r="N46" s="2">
        <v>8.9644513137558002E-2</v>
      </c>
      <c r="O46" s="2">
        <v>9.1190108191653796E-2</v>
      </c>
      <c r="P46" s="1">
        <v>6.4914992272024699E-2</v>
      </c>
      <c r="Q46">
        <v>647</v>
      </c>
    </row>
    <row r="47" spans="1:17" x14ac:dyDescent="0.25">
      <c r="A47" s="12"/>
      <c r="B47" s="8" t="s">
        <v>39</v>
      </c>
      <c r="C47" s="1">
        <v>0.17465224111282801</v>
      </c>
      <c r="D47" s="1">
        <v>0.12828438948995399</v>
      </c>
      <c r="E47" s="1">
        <v>0.11901081916537901</v>
      </c>
      <c r="F47" s="2">
        <v>0.17156105100463701</v>
      </c>
      <c r="G47" s="2">
        <v>0.117465224111283</v>
      </c>
      <c r="H47" s="1">
        <v>0.13292117465224099</v>
      </c>
      <c r="I47">
        <v>647</v>
      </c>
      <c r="K47" s="1">
        <v>8.34621329211747E-2</v>
      </c>
      <c r="L47" s="1">
        <v>9.1190108191653796E-2</v>
      </c>
      <c r="M47" s="1">
        <v>9.2735703245749604E-2</v>
      </c>
      <c r="N47" s="2">
        <v>0.114374034003091</v>
      </c>
      <c r="O47" s="2">
        <v>7.5734157650695494E-2</v>
      </c>
      <c r="P47" s="1">
        <v>0.10973724884080401</v>
      </c>
      <c r="Q47">
        <v>647</v>
      </c>
    </row>
    <row r="48" spans="1:17" x14ac:dyDescent="0.25">
      <c r="A48" s="12"/>
      <c r="B48" s="8" t="s">
        <v>40</v>
      </c>
      <c r="C48" s="1">
        <v>0.17465224111282801</v>
      </c>
      <c r="D48" s="1">
        <v>0.149922720247295</v>
      </c>
      <c r="E48" s="1">
        <v>6.4914992272024699E-2</v>
      </c>
      <c r="F48" s="2">
        <v>0.14683153013910399</v>
      </c>
      <c r="G48" s="2">
        <v>0.168469860896445</v>
      </c>
      <c r="H48" s="1">
        <v>8.8098918083462097E-2</v>
      </c>
      <c r="I48">
        <v>647</v>
      </c>
      <c r="K48" s="1">
        <v>9.4281298299845398E-2</v>
      </c>
      <c r="L48" s="1">
        <v>0.114374034003091</v>
      </c>
      <c r="M48" s="1">
        <v>3.86398763523957E-2</v>
      </c>
      <c r="N48" s="2">
        <v>9.5826893353941303E-2</v>
      </c>
      <c r="O48" s="2">
        <v>0.11901081916537901</v>
      </c>
      <c r="P48" s="1">
        <v>4.4822256568779001E-2</v>
      </c>
      <c r="Q48">
        <v>647</v>
      </c>
    </row>
    <row r="49" spans="1:17" x14ac:dyDescent="0.25">
      <c r="A49" s="12"/>
      <c r="B49" s="8" t="s">
        <v>41</v>
      </c>
      <c r="C49" s="1">
        <v>0.13562386980108501</v>
      </c>
      <c r="D49" s="1">
        <v>0.14104882459312801</v>
      </c>
      <c r="E49" s="1">
        <v>0.10307414104882499</v>
      </c>
      <c r="F49" s="2">
        <v>0.10126582278481</v>
      </c>
      <c r="G49" s="2">
        <v>0.139240506329114</v>
      </c>
      <c r="H49" s="1">
        <v>7.7757685352622105E-2</v>
      </c>
      <c r="I49">
        <v>553</v>
      </c>
      <c r="K49" s="1">
        <v>4.1591320072332703E-2</v>
      </c>
      <c r="L49" s="1">
        <v>9.94575045207957E-2</v>
      </c>
      <c r="M49" s="1">
        <v>8.3182640144665504E-2</v>
      </c>
      <c r="N49" s="2">
        <v>4.3399638336347197E-2</v>
      </c>
      <c r="O49" s="2">
        <v>8.3182640144665504E-2</v>
      </c>
      <c r="P49" s="1">
        <v>8.6799276672694395E-2</v>
      </c>
      <c r="Q49">
        <v>553</v>
      </c>
    </row>
    <row r="50" spans="1:17" x14ac:dyDescent="0.25">
      <c r="A50" s="12"/>
      <c r="B50" s="8" t="s">
        <v>42</v>
      </c>
      <c r="C50" s="1">
        <v>0.118421052631579</v>
      </c>
      <c r="D50" s="1">
        <v>0.197368421052632</v>
      </c>
      <c r="E50" s="1">
        <v>0.13815789473684201</v>
      </c>
      <c r="F50" s="2">
        <v>9.2105263157894704E-2</v>
      </c>
      <c r="G50" s="2">
        <v>0.25657894736842102</v>
      </c>
      <c r="H50" s="1">
        <v>0.13157894736842099</v>
      </c>
      <c r="I50">
        <v>152</v>
      </c>
      <c r="K50" s="1">
        <v>7.2368421052631596E-2</v>
      </c>
      <c r="L50" s="1">
        <v>0.157894736842105</v>
      </c>
      <c r="M50" s="1">
        <v>0.13815789473684201</v>
      </c>
      <c r="N50" s="2">
        <v>9.2105263157894704E-2</v>
      </c>
      <c r="O50" s="2">
        <v>0.13815789473684201</v>
      </c>
      <c r="P50" s="1">
        <v>0.13157894736842099</v>
      </c>
      <c r="Q50">
        <v>152</v>
      </c>
    </row>
    <row r="51" spans="1:17" x14ac:dyDescent="0.25">
      <c r="A51" s="12"/>
      <c r="B51" s="8" t="s">
        <v>43</v>
      </c>
      <c r="C51" s="1">
        <v>0.14528593508500801</v>
      </c>
      <c r="D51" s="1">
        <v>0.14374034003091199</v>
      </c>
      <c r="E51" s="1">
        <v>0.10973724884080401</v>
      </c>
      <c r="F51" s="2">
        <v>0.153013910355487</v>
      </c>
      <c r="G51" s="2">
        <v>0.134466769706337</v>
      </c>
      <c r="H51" s="1">
        <v>0.14837712519319901</v>
      </c>
      <c r="I51">
        <v>647</v>
      </c>
      <c r="K51" s="1">
        <v>8.8098918083462097E-2</v>
      </c>
      <c r="L51" s="1">
        <v>0.106646058732612</v>
      </c>
      <c r="M51" s="1">
        <v>0.13601236476043299</v>
      </c>
      <c r="N51" s="2">
        <v>0.10200927357032499</v>
      </c>
      <c r="O51" s="2">
        <v>0.12982998454404901</v>
      </c>
      <c r="P51" s="1">
        <v>0.15146831530139099</v>
      </c>
      <c r="Q51">
        <v>647</v>
      </c>
    </row>
    <row r="52" spans="1:17" x14ac:dyDescent="0.25">
      <c r="A52" s="12"/>
      <c r="B52" s="8" t="s">
        <v>44</v>
      </c>
      <c r="C52" s="1">
        <v>0.18083462132921199</v>
      </c>
      <c r="D52" s="1">
        <v>0.13292117465224099</v>
      </c>
      <c r="E52" s="1">
        <v>0.112828438948995</v>
      </c>
      <c r="F52" s="2">
        <v>0.197836166924266</v>
      </c>
      <c r="G52" s="2">
        <v>0.168469860896445</v>
      </c>
      <c r="H52" s="1">
        <v>0.142194744976816</v>
      </c>
      <c r="I52">
        <v>647</v>
      </c>
      <c r="K52" s="1">
        <v>8.34621329211747E-2</v>
      </c>
      <c r="L52" s="1">
        <v>0.114374034003091</v>
      </c>
      <c r="M52" s="1">
        <v>9.2735703245749604E-2</v>
      </c>
      <c r="N52" s="2">
        <v>7.1097372488408001E-2</v>
      </c>
      <c r="O52" s="2">
        <v>0.114374034003091</v>
      </c>
      <c r="P52" s="1">
        <v>0.10355486862442</v>
      </c>
      <c r="Q52">
        <v>647</v>
      </c>
    </row>
    <row r="53" spans="1:17" x14ac:dyDescent="0.25">
      <c r="A53" s="12" t="s">
        <v>69</v>
      </c>
      <c r="B53" s="8" t="s">
        <v>45</v>
      </c>
      <c r="C53" s="1">
        <v>0.108761329305136</v>
      </c>
      <c r="D53" s="1">
        <v>0.14803625377643501</v>
      </c>
      <c r="E53" s="1">
        <v>8.0060422960725103E-2</v>
      </c>
      <c r="F53" s="2">
        <v>0.11782477341389699</v>
      </c>
      <c r="G53" s="2">
        <v>0.15105740181268901</v>
      </c>
      <c r="H53" s="1">
        <v>8.3081570996978896E-2</v>
      </c>
      <c r="I53">
        <v>662</v>
      </c>
      <c r="K53" s="1">
        <v>3.62537764350453E-2</v>
      </c>
      <c r="L53" s="1">
        <v>0.102719033232628</v>
      </c>
      <c r="M53" s="1">
        <v>6.3444108761329304E-2</v>
      </c>
      <c r="N53" s="2">
        <v>3.7764350453172203E-2</v>
      </c>
      <c r="O53" s="2">
        <v>0.105740181268882</v>
      </c>
      <c r="P53" s="1">
        <v>6.4954682779456194E-2</v>
      </c>
      <c r="Q53">
        <v>662</v>
      </c>
    </row>
    <row r="54" spans="1:17" x14ac:dyDescent="0.25">
      <c r="A54" s="12"/>
      <c r="B54" s="8" t="s">
        <v>46</v>
      </c>
      <c r="C54" s="1">
        <v>0.15269461077844301</v>
      </c>
      <c r="D54" s="1">
        <v>0.149700598802395</v>
      </c>
      <c r="E54" s="1">
        <v>5.8383233532934099E-2</v>
      </c>
      <c r="F54" s="2">
        <v>0.15718562874251499</v>
      </c>
      <c r="G54" s="2">
        <v>0.15119760479041899</v>
      </c>
      <c r="H54" s="1">
        <v>5.9880239520958098E-2</v>
      </c>
      <c r="I54">
        <v>668</v>
      </c>
      <c r="K54" s="1">
        <v>8.3832335329341298E-2</v>
      </c>
      <c r="L54" s="1">
        <v>8.6826347305389198E-2</v>
      </c>
      <c r="M54" s="1">
        <v>5.8383233532934099E-2</v>
      </c>
      <c r="N54" s="2">
        <v>8.5329341317365304E-2</v>
      </c>
      <c r="O54" s="2">
        <v>8.8323353293413204E-2</v>
      </c>
      <c r="P54" s="1">
        <v>5.8383233532934099E-2</v>
      </c>
      <c r="Q54">
        <v>668</v>
      </c>
    </row>
    <row r="55" spans="1:17" x14ac:dyDescent="0.25">
      <c r="A55" s="12"/>
      <c r="B55" s="8" t="s">
        <v>47</v>
      </c>
      <c r="C55" s="1">
        <v>0.15410573678290199</v>
      </c>
      <c r="D55" s="1">
        <v>0.112485939257593</v>
      </c>
      <c r="E55" s="1">
        <v>0.13048368953880801</v>
      </c>
      <c r="F55" s="2">
        <v>0.16085489313835799</v>
      </c>
      <c r="G55" s="2">
        <v>0.115860517435321</v>
      </c>
      <c r="H55" s="1">
        <v>0.13498312710911101</v>
      </c>
      <c r="I55">
        <v>889</v>
      </c>
      <c r="K55" s="1">
        <v>8.22072072072072E-2</v>
      </c>
      <c r="L55" s="1">
        <v>9.90990990990991E-2</v>
      </c>
      <c r="M55" s="1">
        <v>0.10472972972973001</v>
      </c>
      <c r="N55" s="2">
        <v>8.55855855855856E-2</v>
      </c>
      <c r="O55" s="2">
        <v>0.10022522522522501</v>
      </c>
      <c r="P55" s="1">
        <v>0.105855855855856</v>
      </c>
      <c r="Q55">
        <v>888</v>
      </c>
    </row>
    <row r="56" spans="1:17" x14ac:dyDescent="0.25">
      <c r="A56" s="12"/>
      <c r="B56" s="8" t="s">
        <v>48</v>
      </c>
      <c r="C56" s="1">
        <v>0.125</v>
      </c>
      <c r="D56" s="1">
        <v>9.3253968253968297E-2</v>
      </c>
      <c r="E56" s="1">
        <v>9.1269841269841306E-2</v>
      </c>
      <c r="F56" s="2">
        <v>0.13095238095238099</v>
      </c>
      <c r="G56" s="2">
        <v>9.3253968253968297E-2</v>
      </c>
      <c r="H56" s="1">
        <v>9.1269841269841306E-2</v>
      </c>
      <c r="I56">
        <v>504</v>
      </c>
      <c r="K56" s="1">
        <v>5.1587301587301598E-2</v>
      </c>
      <c r="L56" s="1">
        <v>9.1269841269841306E-2</v>
      </c>
      <c r="M56" s="1">
        <v>7.9365079365079402E-2</v>
      </c>
      <c r="N56" s="2">
        <v>5.1587301587301598E-2</v>
      </c>
      <c r="O56" s="2">
        <v>9.3253968253968297E-2</v>
      </c>
      <c r="P56" s="1">
        <v>7.9365079365079402E-2</v>
      </c>
      <c r="Q56">
        <v>504</v>
      </c>
    </row>
    <row r="57" spans="1:17" x14ac:dyDescent="0.25">
      <c r="A57" s="12"/>
      <c r="B57" s="8" t="s">
        <v>49</v>
      </c>
      <c r="C57" s="1">
        <v>0.13930348258706499</v>
      </c>
      <c r="D57" s="1">
        <v>0.15920398009950201</v>
      </c>
      <c r="E57" s="1">
        <v>6.9651741293532299E-2</v>
      </c>
      <c r="F57" s="2">
        <v>0.14925373134328401</v>
      </c>
      <c r="G57" s="2">
        <v>0.174129353233831</v>
      </c>
      <c r="H57" s="1">
        <v>6.9651741293532299E-2</v>
      </c>
      <c r="I57">
        <v>201</v>
      </c>
      <c r="K57" s="1">
        <v>5.4726368159204002E-2</v>
      </c>
      <c r="L57" s="1">
        <v>9.9502487562189101E-2</v>
      </c>
      <c r="M57" s="1">
        <v>5.9701492537313397E-2</v>
      </c>
      <c r="N57" s="2">
        <v>5.4726368159204002E-2</v>
      </c>
      <c r="O57" s="2">
        <v>9.9502487562189101E-2</v>
      </c>
      <c r="P57" s="1">
        <v>5.9701492537313397E-2</v>
      </c>
      <c r="Q57">
        <v>201</v>
      </c>
    </row>
    <row r="58" spans="1:17" x14ac:dyDescent="0.25">
      <c r="A58" s="12"/>
      <c r="B58" s="8" t="s">
        <v>50</v>
      </c>
      <c r="C58" s="1">
        <v>0.168888888888889</v>
      </c>
      <c r="D58" s="1">
        <v>0.16</v>
      </c>
      <c r="E58" s="1">
        <v>9.2222222222222205E-2</v>
      </c>
      <c r="F58" s="2">
        <v>0.17888888888888901</v>
      </c>
      <c r="G58" s="2">
        <v>0.167777777777778</v>
      </c>
      <c r="H58" s="1">
        <v>9.2222222222222205E-2</v>
      </c>
      <c r="I58">
        <v>900</v>
      </c>
      <c r="K58" s="1">
        <v>7.2222222222222202E-2</v>
      </c>
      <c r="L58" s="1">
        <v>0.10666666666666701</v>
      </c>
      <c r="M58" s="1">
        <v>6.1111111111111102E-2</v>
      </c>
      <c r="N58" s="2">
        <v>7.3333333333333306E-2</v>
      </c>
      <c r="O58" s="2">
        <v>0.112222222222222</v>
      </c>
      <c r="P58" s="1">
        <v>6.1111111111111102E-2</v>
      </c>
      <c r="Q58">
        <v>900</v>
      </c>
    </row>
    <row r="59" spans="1:17" x14ac:dyDescent="0.25">
      <c r="A59" s="12"/>
      <c r="B59" s="8" t="s">
        <v>51</v>
      </c>
      <c r="C59" s="1">
        <v>0.16220238095238099</v>
      </c>
      <c r="D59" s="1">
        <v>0.15327380952381001</v>
      </c>
      <c r="E59" s="1">
        <v>0.16964285714285701</v>
      </c>
      <c r="F59" s="2">
        <v>0.16964285714285701</v>
      </c>
      <c r="G59" s="2">
        <v>0.16220238095238099</v>
      </c>
      <c r="H59" s="1">
        <v>0.17857142857142899</v>
      </c>
      <c r="I59">
        <v>672</v>
      </c>
      <c r="K59" s="1">
        <v>0.107142857142857</v>
      </c>
      <c r="L59" s="1">
        <v>0.110119047619048</v>
      </c>
      <c r="M59" s="1">
        <v>0.12797619047618999</v>
      </c>
      <c r="N59" s="2">
        <v>0.110119047619048</v>
      </c>
      <c r="O59" s="2">
        <v>0.111607142857143</v>
      </c>
      <c r="P59" s="1">
        <v>0.132440476190476</v>
      </c>
      <c r="Q59">
        <v>672</v>
      </c>
    </row>
    <row r="60" spans="1:17" x14ac:dyDescent="0.25">
      <c r="A60" s="12"/>
      <c r="B60" s="8" t="s">
        <v>52</v>
      </c>
      <c r="C60" s="1">
        <v>2.85035629453682E-2</v>
      </c>
      <c r="D60" s="1">
        <v>0.11401425178147299</v>
      </c>
      <c r="E60" s="1">
        <v>8.5510688836104506E-2</v>
      </c>
      <c r="F60" s="2">
        <v>2.85035629453682E-2</v>
      </c>
      <c r="G60" s="2">
        <v>0.116389548693587</v>
      </c>
      <c r="H60" s="1">
        <v>8.5510688836104506E-2</v>
      </c>
      <c r="I60">
        <v>421</v>
      </c>
      <c r="K60" s="1">
        <v>1.42517814726841E-2</v>
      </c>
      <c r="L60" s="1">
        <v>9.0261282660332495E-2</v>
      </c>
      <c r="M60" s="1">
        <v>7.1258907363420401E-2</v>
      </c>
      <c r="N60" s="2">
        <v>1.42517814726841E-2</v>
      </c>
      <c r="O60" s="2">
        <v>9.5011876484560595E-2</v>
      </c>
      <c r="P60" s="1">
        <v>7.1258907363420401E-2</v>
      </c>
      <c r="Q60">
        <v>421</v>
      </c>
    </row>
    <row r="61" spans="1:17" x14ac:dyDescent="0.25">
      <c r="A61" s="12" t="s">
        <v>70</v>
      </c>
      <c r="B61" s="8" t="s">
        <v>53</v>
      </c>
      <c r="C61" s="1">
        <v>0.115207373271889</v>
      </c>
      <c r="D61" s="1">
        <v>0.12903225806451599</v>
      </c>
      <c r="E61" s="1">
        <v>0.122887864823349</v>
      </c>
      <c r="F61" s="2">
        <v>0.12749615975422399</v>
      </c>
      <c r="G61" s="2">
        <v>0.13210445468509999</v>
      </c>
      <c r="H61" s="1">
        <v>0.12596006144393199</v>
      </c>
      <c r="I61">
        <v>651</v>
      </c>
      <c r="K61" s="1">
        <v>6.7588325652841799E-2</v>
      </c>
      <c r="L61" s="1">
        <v>0.10752688172043</v>
      </c>
      <c r="M61" s="1">
        <v>7.9877112135176703E-2</v>
      </c>
      <c r="N61" s="2">
        <v>6.9124423963133702E-2</v>
      </c>
      <c r="O61" s="2">
        <v>0.110599078341014</v>
      </c>
      <c r="P61" s="1">
        <v>7.9877112135176703E-2</v>
      </c>
      <c r="Q61">
        <v>651</v>
      </c>
    </row>
    <row r="62" spans="1:17" x14ac:dyDescent="0.25">
      <c r="A62" s="12"/>
      <c r="B62" s="8" t="s">
        <v>54</v>
      </c>
      <c r="C62" s="1">
        <v>7.7519379844961198E-2</v>
      </c>
      <c r="D62" s="1">
        <v>0.11111111111111099</v>
      </c>
      <c r="E62" s="1">
        <v>0.108527131782946</v>
      </c>
      <c r="F62" s="2">
        <v>8.5271317829457405E-2</v>
      </c>
      <c r="G62" s="2">
        <v>0.113695090439276</v>
      </c>
      <c r="H62" s="1">
        <v>0.11111111111111099</v>
      </c>
      <c r="I62">
        <v>774</v>
      </c>
      <c r="K62" s="1">
        <v>4.6511627906976702E-2</v>
      </c>
      <c r="L62" s="1">
        <v>0.10077519379845</v>
      </c>
      <c r="M62" s="1">
        <v>7.3643410852713198E-2</v>
      </c>
      <c r="N62" s="2">
        <v>4.90956072351421E-2</v>
      </c>
      <c r="O62" s="2">
        <v>0.10077519379845</v>
      </c>
      <c r="P62" s="1">
        <v>7.3643410852713198E-2</v>
      </c>
      <c r="Q62">
        <v>774</v>
      </c>
    </row>
    <row r="63" spans="1:17" x14ac:dyDescent="0.25">
      <c r="A63" s="12"/>
      <c r="B63" s="8" t="s">
        <v>55</v>
      </c>
      <c r="C63" s="1">
        <v>5.32544378698225E-2</v>
      </c>
      <c r="D63" s="1">
        <v>0.15384615384615399</v>
      </c>
      <c r="E63" s="1">
        <v>4.1420118343195297E-2</v>
      </c>
      <c r="F63" s="2">
        <v>5.32544378698225E-2</v>
      </c>
      <c r="G63" s="2">
        <v>0.165680473372781</v>
      </c>
      <c r="H63" s="1">
        <v>4.1420118343195297E-2</v>
      </c>
      <c r="I63">
        <v>169</v>
      </c>
      <c r="K63" s="1">
        <v>2.9585798816568001E-2</v>
      </c>
      <c r="L63" s="1">
        <v>0.14792899408283999</v>
      </c>
      <c r="M63" s="1">
        <v>6.5088757396449703E-2</v>
      </c>
      <c r="N63" s="2">
        <v>2.9585798816568001E-2</v>
      </c>
      <c r="O63" s="2">
        <v>0.14792899408283999</v>
      </c>
      <c r="P63" s="1">
        <v>6.5088757396449703E-2</v>
      </c>
      <c r="Q63">
        <v>169</v>
      </c>
    </row>
    <row r="64" spans="1:17" x14ac:dyDescent="0.25">
      <c r="A64" s="12"/>
      <c r="B64" s="8" t="s">
        <v>56</v>
      </c>
      <c r="C64" s="1">
        <v>9.4036697247706399E-2</v>
      </c>
      <c r="D64" s="1">
        <v>0.13073394495412799</v>
      </c>
      <c r="E64" s="1">
        <v>0.153669724770642</v>
      </c>
      <c r="F64" s="2">
        <v>9.6330275229357804E-2</v>
      </c>
      <c r="G64" s="2">
        <v>0.13073394495412799</v>
      </c>
      <c r="H64" s="1">
        <v>0.158256880733945</v>
      </c>
      <c r="I64">
        <v>436</v>
      </c>
      <c r="K64" s="1">
        <v>6.8807339449541302E-2</v>
      </c>
      <c r="L64" s="1">
        <v>9.1743119266055106E-2</v>
      </c>
      <c r="M64" s="1">
        <v>7.7981651376146793E-2</v>
      </c>
      <c r="N64" s="2">
        <v>7.5688073394495403E-2</v>
      </c>
      <c r="O64" s="2">
        <v>9.8623853211009194E-2</v>
      </c>
      <c r="P64" s="1">
        <v>7.7981651376146793E-2</v>
      </c>
      <c r="Q64">
        <v>436</v>
      </c>
    </row>
    <row r="65" spans="1:17" x14ac:dyDescent="0.25">
      <c r="A65" s="12"/>
      <c r="B65" s="8" t="s">
        <v>57</v>
      </c>
      <c r="C65" s="1">
        <v>0.105345911949686</v>
      </c>
      <c r="D65" s="1">
        <v>0.133647798742138</v>
      </c>
      <c r="E65" s="1">
        <v>8.0188679245283001E-2</v>
      </c>
      <c r="F65" s="2">
        <v>0.110062893081761</v>
      </c>
      <c r="G65" s="2">
        <v>0.13679245283018901</v>
      </c>
      <c r="H65" s="1">
        <v>8.17610062893082E-2</v>
      </c>
      <c r="I65">
        <v>636</v>
      </c>
      <c r="K65" s="1">
        <v>8.3333333333333301E-2</v>
      </c>
      <c r="L65" s="1">
        <v>0.10377358490565999</v>
      </c>
      <c r="M65" s="1">
        <v>7.2327044025157203E-2</v>
      </c>
      <c r="N65" s="2">
        <v>9.4339622641509399E-2</v>
      </c>
      <c r="O65" s="2">
        <v>0.105345911949686</v>
      </c>
      <c r="P65" s="1">
        <v>7.3899371069182401E-2</v>
      </c>
      <c r="Q65">
        <v>636</v>
      </c>
    </row>
    <row r="66" spans="1:17" x14ac:dyDescent="0.25">
      <c r="A66" s="12" t="s">
        <v>71</v>
      </c>
      <c r="B66" s="8" t="s">
        <v>53</v>
      </c>
      <c r="C66" s="1">
        <v>0.140929535232384</v>
      </c>
      <c r="D66" s="1">
        <v>0.14842578710644699</v>
      </c>
      <c r="E66" s="1">
        <v>0.13043478260869601</v>
      </c>
      <c r="F66" s="2">
        <v>0.152923538230885</v>
      </c>
      <c r="G66" s="2">
        <v>0.152923538230885</v>
      </c>
      <c r="H66" s="1">
        <v>0.133433283358321</v>
      </c>
      <c r="I66">
        <v>667</v>
      </c>
      <c r="K66" s="1">
        <v>7.1964017991004506E-2</v>
      </c>
      <c r="L66" s="1">
        <v>0.104947526236882</v>
      </c>
      <c r="M66" s="1">
        <v>8.5457271364317799E-2</v>
      </c>
      <c r="N66" s="2">
        <v>7.6461769115442293E-2</v>
      </c>
      <c r="O66" s="2">
        <v>0.10644677661169399</v>
      </c>
      <c r="P66" s="1">
        <v>8.8455772113942996E-2</v>
      </c>
      <c r="Q66">
        <v>667</v>
      </c>
    </row>
    <row r="67" spans="1:17" x14ac:dyDescent="0.25">
      <c r="A67" s="12"/>
      <c r="B67" s="8" t="s">
        <v>54</v>
      </c>
      <c r="C67" s="1">
        <v>0.12784810126582299</v>
      </c>
      <c r="D67" s="1">
        <v>0.122784810126582</v>
      </c>
      <c r="E67" s="1">
        <v>0.11265822784810101</v>
      </c>
      <c r="F67" s="2">
        <v>0.13670886075949401</v>
      </c>
      <c r="G67" s="2">
        <v>0.12531645569620301</v>
      </c>
      <c r="H67" s="1">
        <v>0.11518987341772199</v>
      </c>
      <c r="I67">
        <v>790</v>
      </c>
      <c r="K67" s="1">
        <v>4.4303797468354403E-2</v>
      </c>
      <c r="L67" s="1">
        <v>9.11392405063291E-2</v>
      </c>
      <c r="M67" s="1">
        <v>7.8481012658227906E-2</v>
      </c>
      <c r="N67" s="2">
        <v>4.4303797468354403E-2</v>
      </c>
      <c r="O67" s="2">
        <v>9.3670886075949394E-2</v>
      </c>
      <c r="P67" s="1">
        <v>7.8481012658227906E-2</v>
      </c>
      <c r="Q67">
        <v>790</v>
      </c>
    </row>
    <row r="68" spans="1:17" x14ac:dyDescent="0.25">
      <c r="A68" s="12"/>
      <c r="B68" s="8" t="s">
        <v>55</v>
      </c>
      <c r="C68" s="1">
        <v>0.116279069767442</v>
      </c>
      <c r="D68" s="1">
        <v>0.145348837209302</v>
      </c>
      <c r="E68" s="1">
        <v>4.6511627906976702E-2</v>
      </c>
      <c r="F68" s="2">
        <v>0.127906976744186</v>
      </c>
      <c r="G68" s="2">
        <v>0.15116279069767399</v>
      </c>
      <c r="H68" s="1">
        <v>4.6511627906976702E-2</v>
      </c>
      <c r="I68">
        <v>172</v>
      </c>
      <c r="K68" s="1">
        <v>1.74418604651163E-2</v>
      </c>
      <c r="L68" s="1">
        <v>0.17441860465116299</v>
      </c>
      <c r="M68" s="1">
        <v>3.4883720930232599E-2</v>
      </c>
      <c r="N68" s="2">
        <v>1.74418604651163E-2</v>
      </c>
      <c r="O68" s="2">
        <v>0.18023255813953501</v>
      </c>
      <c r="P68" s="1">
        <v>3.4883720930232599E-2</v>
      </c>
      <c r="Q68">
        <v>172</v>
      </c>
    </row>
    <row r="69" spans="1:17" x14ac:dyDescent="0.25">
      <c r="A69" s="12"/>
      <c r="B69" s="8" t="s">
        <v>56</v>
      </c>
      <c r="C69" s="1">
        <v>0.112107623318386</v>
      </c>
      <c r="D69" s="1">
        <v>8.9686098654708502E-2</v>
      </c>
      <c r="E69" s="1">
        <v>0.103139013452915</v>
      </c>
      <c r="F69" s="2">
        <v>0.11883408071748899</v>
      </c>
      <c r="G69" s="2">
        <v>9.1928251121076193E-2</v>
      </c>
      <c r="H69" s="1">
        <v>0.10762331838564999</v>
      </c>
      <c r="I69">
        <v>446</v>
      </c>
      <c r="K69" s="1">
        <v>6.7264573991031404E-2</v>
      </c>
      <c r="L69" s="1">
        <v>0.121076233183857</v>
      </c>
      <c r="M69" s="1">
        <v>0.123318385650224</v>
      </c>
      <c r="N69" s="2">
        <v>7.3991031390134507E-2</v>
      </c>
      <c r="O69" s="2">
        <v>0.123318385650224</v>
      </c>
      <c r="P69" s="1">
        <v>0.12780269058296001</v>
      </c>
      <c r="Q69">
        <v>446</v>
      </c>
    </row>
    <row r="70" spans="1:17" x14ac:dyDescent="0.25">
      <c r="A70" s="12"/>
      <c r="B70" s="8" t="s">
        <v>57</v>
      </c>
      <c r="C70" s="1">
        <v>0.164596273291925</v>
      </c>
      <c r="D70" s="1">
        <v>0.13664596273291901</v>
      </c>
      <c r="E70" s="1">
        <v>8.0745341614906804E-2</v>
      </c>
      <c r="F70" s="2">
        <v>0.17857142857142899</v>
      </c>
      <c r="G70" s="2">
        <v>0.14285714285714299</v>
      </c>
      <c r="H70" s="1">
        <v>8.0745341614906804E-2</v>
      </c>
      <c r="I70">
        <v>644</v>
      </c>
      <c r="K70" s="1">
        <v>6.3664596273291907E-2</v>
      </c>
      <c r="L70" s="1">
        <v>9.9378881987577605E-2</v>
      </c>
      <c r="M70" s="1">
        <v>4.8136645962732899E-2</v>
      </c>
      <c r="N70" s="2">
        <v>6.5217391304347797E-2</v>
      </c>
      <c r="O70" s="2">
        <v>0.102484472049689</v>
      </c>
      <c r="P70" s="1">
        <v>4.9689440993788803E-2</v>
      </c>
      <c r="Q70">
        <v>644</v>
      </c>
    </row>
    <row r="71" spans="1:17" x14ac:dyDescent="0.25">
      <c r="A71" s="12" t="s">
        <v>72</v>
      </c>
      <c r="B71" s="8" t="s">
        <v>58</v>
      </c>
      <c r="C71" s="1">
        <v>0.13550600343053201</v>
      </c>
      <c r="D71" s="1">
        <v>9.6054888507718705E-2</v>
      </c>
      <c r="E71" s="1">
        <v>8.9193825042881703E-2</v>
      </c>
      <c r="F71" s="2">
        <v>0.13550600343053201</v>
      </c>
      <c r="G71" s="2">
        <v>0.101200686106346</v>
      </c>
      <c r="H71" s="1">
        <v>8.9193825042881703E-2</v>
      </c>
      <c r="I71">
        <v>583</v>
      </c>
      <c r="K71" s="1">
        <v>8.0617495711835296E-2</v>
      </c>
      <c r="L71" s="1">
        <v>0.109777015437393</v>
      </c>
      <c r="M71" s="1">
        <v>8.7478559176672396E-2</v>
      </c>
      <c r="N71" s="2">
        <v>6.1749571183533497E-2</v>
      </c>
      <c r="O71" s="2">
        <v>0.109777015437393</v>
      </c>
      <c r="P71" s="1">
        <v>8.2332761578044603E-2</v>
      </c>
      <c r="Q71">
        <v>583</v>
      </c>
    </row>
    <row r="72" spans="1:17" x14ac:dyDescent="0.25">
      <c r="A72" s="12"/>
      <c r="B72" s="8" t="s">
        <v>59</v>
      </c>
      <c r="C72" s="1">
        <v>0.133790737564322</v>
      </c>
      <c r="D72" s="1">
        <v>0.12349914236706699</v>
      </c>
      <c r="E72" s="1">
        <v>5.4888507718696397E-2</v>
      </c>
      <c r="F72" s="2">
        <v>0.12006861063464799</v>
      </c>
      <c r="G72" s="2">
        <v>0.11663807890223001</v>
      </c>
      <c r="H72" s="1">
        <v>6.0034305317324198E-2</v>
      </c>
      <c r="I72">
        <v>583</v>
      </c>
      <c r="K72" s="1">
        <v>8.7478559176672396E-2</v>
      </c>
      <c r="L72" s="1">
        <v>9.9485420240137207E-2</v>
      </c>
      <c r="M72" s="1">
        <v>4.6312178387650102E-2</v>
      </c>
      <c r="N72" s="2">
        <v>7.3756432246998294E-2</v>
      </c>
      <c r="O72" s="2">
        <v>0.11663807890223001</v>
      </c>
      <c r="P72" s="1">
        <v>6.3464837049742706E-2</v>
      </c>
      <c r="Q72">
        <v>583</v>
      </c>
    </row>
    <row r="73" spans="1:17" x14ac:dyDescent="0.25">
      <c r="A73" s="12"/>
      <c r="B73" s="8" t="s">
        <v>60</v>
      </c>
      <c r="C73" s="1">
        <v>0.18524871355059999</v>
      </c>
      <c r="D73" s="1">
        <v>0.16123499142367101</v>
      </c>
      <c r="E73" s="1">
        <v>0.13550600343053201</v>
      </c>
      <c r="F73" s="2">
        <v>0.18524871355059999</v>
      </c>
      <c r="G73" s="2">
        <v>0.15094339622641501</v>
      </c>
      <c r="H73" s="1">
        <v>0.14236706689536899</v>
      </c>
      <c r="I73">
        <v>583</v>
      </c>
      <c r="K73" s="1">
        <v>5.8319039451114899E-2</v>
      </c>
      <c r="L73" s="1">
        <v>0.108061749571184</v>
      </c>
      <c r="M73" s="1">
        <v>9.2624356775300204E-2</v>
      </c>
      <c r="N73" s="2">
        <v>5.6603773584905703E-2</v>
      </c>
      <c r="O73" s="2">
        <v>0.102915951972556</v>
      </c>
      <c r="P73" s="1">
        <v>0.108061749571184</v>
      </c>
      <c r="Q73">
        <v>583</v>
      </c>
    </row>
    <row r="74" spans="1:17" x14ac:dyDescent="0.25">
      <c r="A74" s="12"/>
      <c r="B74" s="8" t="s">
        <v>61</v>
      </c>
      <c r="C74" s="1">
        <v>0.11663807890223001</v>
      </c>
      <c r="D74" s="1">
        <v>0.126929674099485</v>
      </c>
      <c r="E74" s="1">
        <v>0.17152658662092601</v>
      </c>
      <c r="F74" s="2">
        <v>0.12349914236706699</v>
      </c>
      <c r="G74" s="2">
        <v>0.13207547169811301</v>
      </c>
      <c r="H74" s="1">
        <v>0.16809605488850801</v>
      </c>
      <c r="I74">
        <v>583</v>
      </c>
      <c r="K74" s="1">
        <v>7.2041166380789001E-2</v>
      </c>
      <c r="L74" s="1">
        <v>9.7770154373927998E-2</v>
      </c>
      <c r="M74" s="1">
        <v>0.133790737564322</v>
      </c>
      <c r="N74" s="2">
        <v>6.5180102915951998E-2</v>
      </c>
      <c r="O74" s="2">
        <v>0.102915951972556</v>
      </c>
      <c r="P74" s="1">
        <v>0.109777015437393</v>
      </c>
      <c r="Q74">
        <v>583</v>
      </c>
    </row>
    <row r="75" spans="1:17" x14ac:dyDescent="0.25">
      <c r="A75" s="12"/>
      <c r="B75" s="8" t="s">
        <v>62</v>
      </c>
      <c r="C75" s="1">
        <v>0.130360205831904</v>
      </c>
      <c r="D75" s="1">
        <v>0.144082332761578</v>
      </c>
      <c r="E75" s="1">
        <v>0.104631217838765</v>
      </c>
      <c r="F75" s="2">
        <v>0.144082332761578</v>
      </c>
      <c r="G75" s="2">
        <v>0.114922813036021</v>
      </c>
      <c r="H75" s="1">
        <v>0.12864493996569501</v>
      </c>
      <c r="I75">
        <v>583</v>
      </c>
      <c r="K75" s="1">
        <v>7.7186963979416795E-2</v>
      </c>
      <c r="L75" s="1">
        <v>0.113207547169811</v>
      </c>
      <c r="M75" s="1">
        <v>9.9485420240137207E-2</v>
      </c>
      <c r="N75" s="2">
        <v>6.3464837049742706E-2</v>
      </c>
      <c r="O75" s="2">
        <v>0.15608919382504299</v>
      </c>
      <c r="P75" s="1">
        <v>0.13207547169811301</v>
      </c>
      <c r="Q75">
        <v>583</v>
      </c>
    </row>
    <row r="76" spans="1:17" x14ac:dyDescent="0.25">
      <c r="A76" s="12"/>
      <c r="B76" s="8" t="s">
        <v>63</v>
      </c>
      <c r="C76" s="1">
        <v>0.12521440823327601</v>
      </c>
      <c r="D76" s="1">
        <v>0.144082332761578</v>
      </c>
      <c r="E76" s="1">
        <v>0.11663807890223001</v>
      </c>
      <c r="F76" s="2">
        <v>0.11663807890223001</v>
      </c>
      <c r="G76" s="2">
        <v>0.109777015437393</v>
      </c>
      <c r="H76" s="1">
        <v>0.13207547169811301</v>
      </c>
      <c r="I76">
        <v>583</v>
      </c>
      <c r="K76" s="1">
        <v>7.3756432246998294E-2</v>
      </c>
      <c r="L76" s="1">
        <v>9.9485420240137207E-2</v>
      </c>
      <c r="M76" s="1">
        <v>0.102915951972556</v>
      </c>
      <c r="N76" s="2">
        <v>6.0034305317324198E-2</v>
      </c>
      <c r="O76" s="2">
        <v>0.111492281303602</v>
      </c>
      <c r="P76" s="1">
        <v>9.7770154373927998E-2</v>
      </c>
      <c r="Q76">
        <v>583</v>
      </c>
    </row>
    <row r="77" spans="1:17" x14ac:dyDescent="0.25">
      <c r="A77" s="12"/>
      <c r="B77" s="8" t="s">
        <v>64</v>
      </c>
      <c r="C77" s="1">
        <v>0.15608919382504299</v>
      </c>
      <c r="D77" s="1">
        <v>0.14922813036020599</v>
      </c>
      <c r="E77" s="1">
        <v>8.7478559176672396E-2</v>
      </c>
      <c r="F77" s="2">
        <v>0.16809605488850801</v>
      </c>
      <c r="G77" s="2">
        <v>0.15094339622641501</v>
      </c>
      <c r="H77" s="1">
        <v>0.102915951972556</v>
      </c>
      <c r="I77">
        <v>583</v>
      </c>
      <c r="K77" s="1">
        <v>9.2624356775300204E-2</v>
      </c>
      <c r="L77" s="1">
        <v>0.114922813036021</v>
      </c>
      <c r="M77" s="1">
        <v>6.86106346483705E-2</v>
      </c>
      <c r="N77" s="2">
        <v>9.0909090909090898E-2</v>
      </c>
      <c r="O77" s="2">
        <v>7.7186963979416795E-2</v>
      </c>
      <c r="P77" s="1">
        <v>4.4596912521440803E-2</v>
      </c>
      <c r="Q77">
        <v>583</v>
      </c>
    </row>
    <row r="78" spans="1:17" x14ac:dyDescent="0.25">
      <c r="A78" s="12"/>
      <c r="B78" s="8" t="s">
        <v>65</v>
      </c>
      <c r="C78" s="1">
        <v>0.15265866209262399</v>
      </c>
      <c r="D78" s="1">
        <v>0.17495711835334499</v>
      </c>
      <c r="E78" s="4">
        <v>0.12349914236706699</v>
      </c>
      <c r="F78" s="2">
        <v>0.16466552315608901</v>
      </c>
      <c r="G78" s="2">
        <v>0.15437392795883401</v>
      </c>
      <c r="H78" s="4">
        <v>0.147512864493997</v>
      </c>
      <c r="I78">
        <v>583</v>
      </c>
      <c r="K78" s="1">
        <v>9.4339622641509399E-2</v>
      </c>
      <c r="L78" s="1">
        <v>0.114922813036021</v>
      </c>
      <c r="M78" s="4">
        <v>8.2332761578044603E-2</v>
      </c>
      <c r="N78" s="2">
        <v>8.2332761578044603E-2</v>
      </c>
      <c r="O78" s="2">
        <v>9.6054888507718705E-2</v>
      </c>
      <c r="P78" s="4">
        <v>8.5763293310463104E-2</v>
      </c>
      <c r="Q78">
        <v>583</v>
      </c>
    </row>
    <row r="79" spans="1:17" x14ac:dyDescent="0.25">
      <c r="A79" s="12" t="s">
        <v>73</v>
      </c>
      <c r="B79" s="8" t="s">
        <v>58</v>
      </c>
      <c r="C79" s="1">
        <v>0.113207547169811</v>
      </c>
      <c r="D79" s="1">
        <v>0.130360205831904</v>
      </c>
      <c r="E79" s="1">
        <v>0.11663807890223001</v>
      </c>
      <c r="F79" s="2">
        <v>0.108061749571184</v>
      </c>
      <c r="G79" s="2">
        <v>0.126929674099485</v>
      </c>
      <c r="H79" s="1">
        <v>0.12178387650085799</v>
      </c>
      <c r="I79">
        <v>583</v>
      </c>
      <c r="K79" s="1">
        <v>6.3464837049742706E-2</v>
      </c>
      <c r="L79" s="1">
        <v>0.12178387650085799</v>
      </c>
      <c r="M79" s="1">
        <v>9.7770154373927998E-2</v>
      </c>
      <c r="N79" s="2">
        <v>6.86106346483705E-2</v>
      </c>
      <c r="O79" s="2">
        <v>0.137221269296741</v>
      </c>
      <c r="P79" s="1">
        <v>9.6054888507718705E-2</v>
      </c>
      <c r="Q79">
        <v>583</v>
      </c>
    </row>
    <row r="80" spans="1:17" x14ac:dyDescent="0.25">
      <c r="A80" s="12"/>
      <c r="B80" s="8" t="s">
        <v>59</v>
      </c>
      <c r="C80" s="1">
        <v>0.102915951972556</v>
      </c>
      <c r="D80" s="1">
        <v>0.130360205831904</v>
      </c>
      <c r="E80" s="1">
        <v>4.8027444253859297E-2</v>
      </c>
      <c r="F80" s="2">
        <v>9.2624356775300204E-2</v>
      </c>
      <c r="G80" s="2">
        <v>0.130360205831904</v>
      </c>
      <c r="H80" s="1">
        <v>7.5471698113207503E-2</v>
      </c>
      <c r="I80">
        <v>583</v>
      </c>
      <c r="K80" s="1">
        <v>8.4048027444253895E-2</v>
      </c>
      <c r="L80" s="1">
        <v>9.9485420240137207E-2</v>
      </c>
      <c r="M80" s="1">
        <v>3.9451114922813002E-2</v>
      </c>
      <c r="N80" s="2">
        <v>9.7770154373927998E-2</v>
      </c>
      <c r="O80" s="2">
        <v>9.9485420240137207E-2</v>
      </c>
      <c r="P80" s="1">
        <v>4.8027444253859297E-2</v>
      </c>
      <c r="Q80">
        <v>583</v>
      </c>
    </row>
    <row r="81" spans="1:17" x14ac:dyDescent="0.25">
      <c r="A81" s="12"/>
      <c r="B81" s="8" t="s">
        <v>60</v>
      </c>
      <c r="C81" s="1">
        <v>0.106346483704974</v>
      </c>
      <c r="D81" s="1">
        <v>0.13893653516294999</v>
      </c>
      <c r="E81" s="1">
        <v>0.108061749571184</v>
      </c>
      <c r="F81" s="2">
        <v>0.104631217838765</v>
      </c>
      <c r="G81" s="2">
        <v>0.14065180102916</v>
      </c>
      <c r="H81" s="1">
        <v>0.12178387650085799</v>
      </c>
      <c r="I81">
        <v>583</v>
      </c>
      <c r="K81" s="1">
        <v>7.0325900514579806E-2</v>
      </c>
      <c r="L81" s="1">
        <v>0.111492281303602</v>
      </c>
      <c r="M81" s="1">
        <v>8.0617495711835296E-2</v>
      </c>
      <c r="N81" s="2">
        <v>6.6895368782161194E-2</v>
      </c>
      <c r="O81" s="2">
        <v>0.12006861063464799</v>
      </c>
      <c r="P81" s="1">
        <v>9.0909090909090898E-2</v>
      </c>
      <c r="Q81">
        <v>583</v>
      </c>
    </row>
    <row r="82" spans="1:17" x14ac:dyDescent="0.25">
      <c r="A82" s="12"/>
      <c r="B82" s="8" t="s">
        <v>61</v>
      </c>
      <c r="C82" s="1">
        <v>7.3756432246998294E-2</v>
      </c>
      <c r="D82" s="1">
        <v>0.12864493996569501</v>
      </c>
      <c r="E82" s="1">
        <v>0.144082332761578</v>
      </c>
      <c r="F82" s="2">
        <v>7.7186963979416795E-2</v>
      </c>
      <c r="G82" s="2">
        <v>0.104631217838765</v>
      </c>
      <c r="H82" s="1">
        <v>0.16123499142367101</v>
      </c>
      <c r="I82">
        <v>583</v>
      </c>
      <c r="K82" s="1">
        <v>7.3756432246998294E-2</v>
      </c>
      <c r="L82" s="1">
        <v>9.0909090909090898E-2</v>
      </c>
      <c r="M82" s="1">
        <v>0.114922813036021</v>
      </c>
      <c r="N82" s="2">
        <v>8.4048027444253895E-2</v>
      </c>
      <c r="O82" s="2">
        <v>9.4339622641509399E-2</v>
      </c>
      <c r="P82" s="1">
        <v>9.0909090909090898E-2</v>
      </c>
      <c r="Q82">
        <v>583</v>
      </c>
    </row>
    <row r="83" spans="1:17" x14ac:dyDescent="0.25">
      <c r="A83" s="12"/>
      <c r="B83" s="8" t="s">
        <v>62</v>
      </c>
      <c r="C83" s="1">
        <v>9.6054888507718705E-2</v>
      </c>
      <c r="D83" s="1">
        <v>0.147512864493997</v>
      </c>
      <c r="E83" s="1">
        <v>0.11835334476843901</v>
      </c>
      <c r="F83" s="2">
        <v>0.13207547169811301</v>
      </c>
      <c r="G83" s="2">
        <v>0.173241852487136</v>
      </c>
      <c r="H83" s="1">
        <v>0.11835334476843901</v>
      </c>
      <c r="I83">
        <v>583</v>
      </c>
      <c r="K83" s="1">
        <v>9.4339622641509399E-2</v>
      </c>
      <c r="L83" s="1">
        <v>0.11663807890223001</v>
      </c>
      <c r="M83" s="1">
        <v>8.2332761578044603E-2</v>
      </c>
      <c r="N83" s="2">
        <v>6.1749571183533497E-2</v>
      </c>
      <c r="O83" s="2">
        <v>0.126929674099485</v>
      </c>
      <c r="P83" s="1">
        <v>0.102915951972556</v>
      </c>
      <c r="Q83">
        <v>583</v>
      </c>
    </row>
    <row r="84" spans="1:17" x14ac:dyDescent="0.25">
      <c r="A84" s="12"/>
      <c r="B84" s="8" t="s">
        <v>63</v>
      </c>
      <c r="C84" s="1">
        <v>7.7186963979416795E-2</v>
      </c>
      <c r="D84" s="1">
        <v>0.130360205831904</v>
      </c>
      <c r="E84" s="1">
        <v>0.14922813036020599</v>
      </c>
      <c r="F84" s="2">
        <v>7.7186963979416795E-2</v>
      </c>
      <c r="G84" s="2">
        <v>0.169811320754717</v>
      </c>
      <c r="H84" s="1">
        <v>0.12349914236706699</v>
      </c>
      <c r="I84">
        <v>583</v>
      </c>
      <c r="K84" s="1">
        <v>3.77358490566038E-2</v>
      </c>
      <c r="L84" s="1">
        <v>9.6054888507718705E-2</v>
      </c>
      <c r="M84" s="1">
        <v>9.2624356775300204E-2</v>
      </c>
      <c r="N84" s="2">
        <v>7.5471698113207503E-2</v>
      </c>
      <c r="O84" s="2">
        <v>0.12006861063464799</v>
      </c>
      <c r="P84" s="1">
        <v>0.114922813036021</v>
      </c>
      <c r="Q84">
        <v>583</v>
      </c>
    </row>
    <row r="85" spans="1:17" x14ac:dyDescent="0.25">
      <c r="A85" s="12"/>
      <c r="B85" s="8" t="s">
        <v>64</v>
      </c>
      <c r="C85" s="1">
        <v>0.159519725557461</v>
      </c>
      <c r="D85" s="1">
        <v>0.101200686106346</v>
      </c>
      <c r="E85" s="1">
        <v>7.0325900514579806E-2</v>
      </c>
      <c r="F85" s="2">
        <v>0.133790737564322</v>
      </c>
      <c r="G85" s="2">
        <v>0.126929674099485</v>
      </c>
      <c r="H85" s="1">
        <v>6.86106346483705E-2</v>
      </c>
      <c r="I85">
        <v>583</v>
      </c>
      <c r="K85" s="1">
        <v>9.6054888507718705E-2</v>
      </c>
      <c r="L85" s="1">
        <v>0.130360205831904</v>
      </c>
      <c r="M85" s="1">
        <v>9.4339622641509399E-2</v>
      </c>
      <c r="N85" s="2">
        <v>0.109777015437393</v>
      </c>
      <c r="O85" s="2">
        <v>0.14579759862778699</v>
      </c>
      <c r="P85" s="1">
        <v>7.7186963979416795E-2</v>
      </c>
      <c r="Q85">
        <v>583</v>
      </c>
    </row>
    <row r="86" spans="1:17" x14ac:dyDescent="0.25">
      <c r="A86" s="12"/>
      <c r="B86" s="8" t="s">
        <v>65</v>
      </c>
      <c r="C86" s="1">
        <v>0.114922813036021</v>
      </c>
      <c r="D86" s="1">
        <v>0.15265866209262399</v>
      </c>
      <c r="E86" s="4">
        <v>0.106346483704974</v>
      </c>
      <c r="F86" s="2">
        <v>0.108061749571184</v>
      </c>
      <c r="G86" s="2">
        <v>0.16123499142367101</v>
      </c>
      <c r="H86" s="4">
        <v>0.15094339622641501</v>
      </c>
      <c r="I86">
        <v>583</v>
      </c>
      <c r="K86" s="1">
        <v>8.7478559176672396E-2</v>
      </c>
      <c r="L86" s="1">
        <v>0.111492281303602</v>
      </c>
      <c r="M86" s="4">
        <v>9.6054888507718705E-2</v>
      </c>
      <c r="N86" s="2">
        <v>8.0617495711835296E-2</v>
      </c>
      <c r="O86" s="2">
        <v>0.12521440823327601</v>
      </c>
      <c r="P86" s="4">
        <v>0.101200686106346</v>
      </c>
      <c r="Q86">
        <v>583</v>
      </c>
    </row>
    <row r="88" spans="1:17" x14ac:dyDescent="0.25">
      <c r="B88" s="10" t="s">
        <v>2</v>
      </c>
      <c r="C88" s="2">
        <f>AVERAGE(C4:C12)*100</f>
        <v>28.614401231576892</v>
      </c>
      <c r="D88" s="2">
        <f t="shared" ref="D88:E88" si="0">AVERAGE(D4:D12)*100</f>
        <v>14.993361074517988</v>
      </c>
      <c r="E88" s="2">
        <f t="shared" si="0"/>
        <v>11.174996244617038</v>
      </c>
      <c r="F88" s="2"/>
      <c r="G88" s="2"/>
      <c r="H88" s="2"/>
      <c r="I88" s="3"/>
      <c r="J88" s="3"/>
      <c r="K88" s="2">
        <f>AVERAGE(K4:K12)*100</f>
        <v>7.4132993523867041</v>
      </c>
      <c r="L88" s="2">
        <f t="shared" ref="L88:M88" si="1">AVERAGE(L4:L12)*100</f>
        <v>12.40462035228213</v>
      </c>
      <c r="M88" s="2">
        <f t="shared" si="1"/>
        <v>8.1665917728691415</v>
      </c>
      <c r="N88" s="2"/>
      <c r="O88" s="2"/>
      <c r="P88" s="2"/>
    </row>
    <row r="89" spans="1:17" x14ac:dyDescent="0.25">
      <c r="B89" s="10" t="s">
        <v>3</v>
      </c>
      <c r="C89" s="2">
        <f>AVERAGE(C13:C21)*100</f>
        <v>19.468310790989687</v>
      </c>
      <c r="D89" s="2">
        <f t="shared" ref="D89:E89" si="2">AVERAGE(D13:D21)*100</f>
        <v>14.320525839193865</v>
      </c>
      <c r="E89" s="2">
        <f t="shared" si="2"/>
        <v>10.905363962620902</v>
      </c>
      <c r="F89" s="2"/>
      <c r="G89" s="2"/>
      <c r="H89" s="2"/>
      <c r="I89" s="3"/>
      <c r="J89" s="3"/>
      <c r="K89" s="2">
        <f>AVERAGE(K13:K21)*100</f>
        <v>6.776317030156755</v>
      </c>
      <c r="L89" s="2">
        <f t="shared" ref="L89:M89" si="3">AVERAGE(L13:L21)*100</f>
        <v>11.500892172622979</v>
      </c>
      <c r="M89" s="2">
        <f t="shared" si="3"/>
        <v>7.5904348208365597</v>
      </c>
      <c r="N89" s="2"/>
      <c r="O89" s="2"/>
      <c r="P89" s="2"/>
    </row>
    <row r="90" spans="1:17" x14ac:dyDescent="0.25">
      <c r="B90" s="10" t="s">
        <v>10</v>
      </c>
      <c r="C90" s="2">
        <f>AVERAGE(C22:C30)*100</f>
        <v>18.432092241662868</v>
      </c>
      <c r="D90" s="2">
        <f t="shared" ref="D90:E90" si="4">AVERAGE(D22:D30)*100</f>
        <v>13.576204492524099</v>
      </c>
      <c r="E90" s="2">
        <f t="shared" si="4"/>
        <v>10.103852436493908</v>
      </c>
      <c r="F90" s="2"/>
      <c r="G90" s="2"/>
      <c r="H90" s="2"/>
      <c r="I90" s="3"/>
      <c r="J90" s="3"/>
      <c r="K90" s="2">
        <f>AVERAGE(K22:K30)*100</f>
        <v>10.927445609946018</v>
      </c>
      <c r="L90" s="2">
        <f t="shared" ref="L90:M90" si="5">AVERAGE(L22:L30)*100</f>
        <v>11.931586561313042</v>
      </c>
      <c r="M90" s="2">
        <f t="shared" si="5"/>
        <v>8.6740890586064037</v>
      </c>
      <c r="N90" s="2"/>
      <c r="O90" s="2"/>
      <c r="P90" s="2"/>
    </row>
    <row r="91" spans="1:17" x14ac:dyDescent="0.25">
      <c r="B91" s="10" t="s">
        <v>0</v>
      </c>
      <c r="C91" s="2">
        <f>AVERAGE(C31:C41)*100</f>
        <v>19.709391919303354</v>
      </c>
      <c r="D91" s="2">
        <f t="shared" ref="D91:E91" si="6">AVERAGE(D31:D41)*100</f>
        <v>14.540205380389665</v>
      </c>
      <c r="E91" s="2">
        <f t="shared" si="6"/>
        <v>11.760896745589298</v>
      </c>
      <c r="F91" s="2"/>
      <c r="G91" s="2"/>
      <c r="H91" s="2"/>
      <c r="I91" s="3"/>
      <c r="J91" s="3"/>
      <c r="K91" s="2">
        <f>AVERAGE(K31:K41)*100</f>
        <v>9.2254772870395438</v>
      </c>
      <c r="L91" s="2">
        <f t="shared" ref="L91:M91" si="7">AVERAGE(L31:L41)*100</f>
        <v>11.685168062301234</v>
      </c>
      <c r="M91" s="2">
        <f t="shared" si="7"/>
        <v>9.3766588287125607</v>
      </c>
      <c r="N91" s="2"/>
      <c r="O91" s="2"/>
      <c r="P91" s="2"/>
    </row>
    <row r="92" spans="1:17" x14ac:dyDescent="0.25">
      <c r="B92" s="10" t="s">
        <v>1</v>
      </c>
      <c r="C92" s="2">
        <f>AVERAGE(C42:C52)*100</f>
        <v>14.772615776506019</v>
      </c>
      <c r="D92" s="2">
        <f t="shared" ref="D92:E92" si="8">AVERAGE(D42:D52)*100</f>
        <v>15.075958380396337</v>
      </c>
      <c r="E92" s="2">
        <f t="shared" si="8"/>
        <v>11.297978462179664</v>
      </c>
      <c r="F92" s="2"/>
      <c r="G92" s="2"/>
      <c r="H92" s="2"/>
      <c r="I92" s="3"/>
      <c r="J92" s="3"/>
      <c r="K92" s="2">
        <f>AVERAGE(K42:K52)*100</f>
        <v>7.9771245258936627</v>
      </c>
      <c r="L92" s="2">
        <f t="shared" ref="L92:M92" si="9">AVERAGE(L42:L52)*100</f>
        <v>11.66933961165936</v>
      </c>
      <c r="M92" s="2">
        <f t="shared" si="9"/>
        <v>9.2343308426069317</v>
      </c>
      <c r="N92" s="2"/>
      <c r="O92" s="2"/>
      <c r="P92" s="2"/>
    </row>
    <row r="93" spans="1:17" x14ac:dyDescent="0.25">
      <c r="B93" s="10" t="s">
        <v>4</v>
      </c>
      <c r="C93" s="2">
        <f>AVERAGE(C53:C60)*100</f>
        <v>12.993249903002305</v>
      </c>
      <c r="D93" s="2">
        <f t="shared" ref="D93:E93" si="10">AVERAGE(D53:D60)*100</f>
        <v>13.624610018689703</v>
      </c>
      <c r="E93" s="2">
        <f t="shared" si="10"/>
        <v>9.715308709962807</v>
      </c>
      <c r="F93" s="2"/>
      <c r="G93" s="2"/>
      <c r="H93" s="2"/>
      <c r="I93" s="3"/>
      <c r="J93" s="3"/>
      <c r="K93" s="2">
        <f>AVERAGE(K53:K60)*100</f>
        <v>6.277798119448283</v>
      </c>
      <c r="L93" s="2">
        <f t="shared" ref="L93:M93" si="11">AVERAGE(L53:L60)*100</f>
        <v>9.8307975676899275</v>
      </c>
      <c r="M93" s="2">
        <f t="shared" si="11"/>
        <v>7.8246231609638466</v>
      </c>
      <c r="N93" s="2"/>
      <c r="O93" s="2"/>
      <c r="P93" s="2"/>
    </row>
    <row r="94" spans="1:17" x14ac:dyDescent="0.25">
      <c r="B94" s="10" t="s">
        <v>5</v>
      </c>
      <c r="C94" s="2">
        <f>AVERAGE(C61:C65)*100</f>
        <v>8.9072760036813019</v>
      </c>
      <c r="D94" s="2">
        <f t="shared" ref="D94:E94" si="12">AVERAGE(D61:D65)*100</f>
        <v>13.16742533436094</v>
      </c>
      <c r="E94" s="2">
        <f t="shared" si="12"/>
        <v>10.133870379308307</v>
      </c>
      <c r="F94" s="2"/>
      <c r="G94" s="2"/>
      <c r="H94" s="2"/>
      <c r="I94" s="3"/>
      <c r="J94" s="3"/>
      <c r="K94" s="2">
        <f>AVERAGE(K61:K65)*100</f>
        <v>5.9165285031852219</v>
      </c>
      <c r="L94" s="2">
        <f t="shared" ref="L94:M94" si="13">AVERAGE(L61:L65)*100</f>
        <v>11.034955475468703</v>
      </c>
      <c r="M94" s="2">
        <f t="shared" si="13"/>
        <v>7.3783595157128721</v>
      </c>
      <c r="N94" s="2"/>
      <c r="O94" s="2"/>
      <c r="P94" s="2"/>
    </row>
    <row r="95" spans="1:17" x14ac:dyDescent="0.25">
      <c r="B95" s="10" t="s">
        <v>11</v>
      </c>
      <c r="C95" s="2">
        <f>AVERAGE(C66:C70)*100</f>
        <v>13.235212057519199</v>
      </c>
      <c r="D95" s="2">
        <f t="shared" ref="D95:E95" si="14">AVERAGE(D66:D70)*100</f>
        <v>12.857829916599171</v>
      </c>
      <c r="E95" s="2">
        <f t="shared" si="14"/>
        <v>9.4697798686319103</v>
      </c>
      <c r="F95" s="2"/>
      <c r="G95" s="2"/>
      <c r="H95" s="2"/>
      <c r="I95" s="3"/>
      <c r="J95" s="3"/>
      <c r="K95" s="2">
        <f>AVERAGE(K66:K70)*100</f>
        <v>5.2927769237759703</v>
      </c>
      <c r="L95" s="2">
        <f t="shared" ref="L95:M95" si="15">AVERAGE(L66:L70)*100</f>
        <v>11.819209731316175</v>
      </c>
      <c r="M95" s="2">
        <f t="shared" si="15"/>
        <v>7.4055407313147041</v>
      </c>
      <c r="N95" s="2"/>
      <c r="O95" s="2"/>
      <c r="P95" s="2"/>
    </row>
    <row r="96" spans="1:17" x14ac:dyDescent="0.25">
      <c r="B96" s="10" t="s">
        <v>6</v>
      </c>
      <c r="C96" s="2">
        <f>AVERAGE(C71:C78)*100</f>
        <v>14.193825042881638</v>
      </c>
      <c r="D96" s="2">
        <f t="shared" ref="D96:E96" si="16">AVERAGE(D71:D78)*100</f>
        <v>14.000857632933108</v>
      </c>
      <c r="E96" s="2">
        <f t="shared" si="16"/>
        <v>11.042024013722132</v>
      </c>
      <c r="F96" s="2"/>
      <c r="G96" s="2"/>
      <c r="H96" s="2"/>
      <c r="I96" s="3"/>
      <c r="J96" s="3"/>
      <c r="K96" s="2">
        <f>AVERAGE(K71:K78)*100</f>
        <v>7.9545454545454533</v>
      </c>
      <c r="L96" s="2">
        <f t="shared" ref="L96:M96" si="17">AVERAGE(L71:L78)*100</f>
        <v>10.720411663807905</v>
      </c>
      <c r="M96" s="2">
        <f t="shared" si="17"/>
        <v>8.919382504288162</v>
      </c>
      <c r="N96" s="2"/>
      <c r="O96" s="2"/>
      <c r="P96" s="2"/>
    </row>
    <row r="97" spans="2:16" x14ac:dyDescent="0.25">
      <c r="B97" s="10" t="s">
        <v>7</v>
      </c>
      <c r="C97" s="2">
        <f>AVERAGE(C79:C86)*100</f>
        <v>10.548885077186961</v>
      </c>
      <c r="D97" s="2">
        <f t="shared" ref="D97:E97" si="18">AVERAGE(D79:D86)*100</f>
        <v>13.250428816466551</v>
      </c>
      <c r="E97" s="2">
        <f t="shared" si="18"/>
        <v>10.763293310463126</v>
      </c>
      <c r="F97" s="2"/>
      <c r="G97" s="2"/>
      <c r="H97" s="2"/>
      <c r="I97" s="3"/>
      <c r="J97" s="3"/>
      <c r="K97" s="2">
        <f>AVERAGE(K79:K86)*100</f>
        <v>7.5900514579759868</v>
      </c>
      <c r="L97" s="2">
        <f t="shared" ref="L97:M97" si="19">AVERAGE(L79:L86)*100</f>
        <v>10.977701543739284</v>
      </c>
      <c r="M97" s="2">
        <f t="shared" si="19"/>
        <v>8.726415094339627</v>
      </c>
      <c r="N97" s="2"/>
      <c r="O97" s="2"/>
      <c r="P97" s="2"/>
    </row>
    <row r="99" spans="2:16" x14ac:dyDescent="0.25">
      <c r="C99">
        <f>TTEST(C53:C60,C71:C78,2,2)</f>
        <v>0.51238105508670218</v>
      </c>
    </row>
  </sheetData>
  <mergeCells count="16">
    <mergeCell ref="A79:A86"/>
    <mergeCell ref="C1:I1"/>
    <mergeCell ref="K1:Q1"/>
    <mergeCell ref="A4:A12"/>
    <mergeCell ref="A13:A21"/>
    <mergeCell ref="A22:A30"/>
    <mergeCell ref="A31:A41"/>
    <mergeCell ref="N2:P2"/>
    <mergeCell ref="K2:M2"/>
    <mergeCell ref="F2:H2"/>
    <mergeCell ref="C2:E2"/>
    <mergeCell ref="A42:A52"/>
    <mergeCell ref="A53:A60"/>
    <mergeCell ref="A61:A65"/>
    <mergeCell ref="A66:A70"/>
    <mergeCell ref="A71:A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workbookViewId="0">
      <selection activeCell="F31" sqref="F31"/>
    </sheetView>
  </sheetViews>
  <sheetFormatPr defaultColWidth="9.140625" defaultRowHeight="15" x14ac:dyDescent="0.25"/>
  <cols>
    <col min="1" max="1" width="9.140625" style="5"/>
    <col min="2" max="2" width="24.140625" style="8" bestFit="1" customWidth="1"/>
    <col min="6" max="7" width="9.140625" style="3"/>
    <col min="10" max="10" width="14.28515625" customWidth="1"/>
    <col min="14" max="15" width="9.140625" style="3"/>
  </cols>
  <sheetData>
    <row r="1" spans="1:17" s="5" customFormat="1" x14ac:dyDescent="0.25">
      <c r="B1" s="8"/>
      <c r="C1" s="13" t="s">
        <v>23</v>
      </c>
      <c r="D1" s="13"/>
      <c r="E1" s="13"/>
      <c r="F1" s="13"/>
      <c r="G1" s="13"/>
      <c r="H1" s="13"/>
      <c r="I1" s="13"/>
      <c r="J1" s="11"/>
      <c r="K1" s="13" t="s">
        <v>24</v>
      </c>
      <c r="L1" s="13"/>
      <c r="M1" s="13"/>
      <c r="N1" s="13"/>
      <c r="O1" s="13"/>
      <c r="P1" s="13"/>
      <c r="Q1" s="13"/>
    </row>
    <row r="2" spans="1:17" s="5" customFormat="1" x14ac:dyDescent="0.25">
      <c r="B2" s="8"/>
      <c r="C2" s="13" t="s">
        <v>74</v>
      </c>
      <c r="D2" s="13"/>
      <c r="E2" s="13"/>
      <c r="F2" s="14" t="s">
        <v>75</v>
      </c>
      <c r="G2" s="14"/>
      <c r="H2" s="14"/>
      <c r="I2" s="11"/>
      <c r="J2" s="11"/>
      <c r="K2" s="13" t="s">
        <v>74</v>
      </c>
      <c r="L2" s="13"/>
      <c r="M2" s="13"/>
      <c r="N2" s="14" t="s">
        <v>75</v>
      </c>
      <c r="O2" s="14"/>
      <c r="P2" s="14"/>
      <c r="Q2" s="11"/>
    </row>
    <row r="3" spans="1:17" s="5" customFormat="1" x14ac:dyDescent="0.25">
      <c r="B3" s="8"/>
      <c r="C3" s="5" t="s">
        <v>21</v>
      </c>
      <c r="D3" s="5" t="s">
        <v>8</v>
      </c>
      <c r="E3" s="5" t="s">
        <v>9</v>
      </c>
      <c r="F3" s="7" t="s">
        <v>21</v>
      </c>
      <c r="G3" s="7" t="s">
        <v>8</v>
      </c>
      <c r="H3" s="5" t="s">
        <v>9</v>
      </c>
      <c r="I3" s="5" t="s">
        <v>22</v>
      </c>
      <c r="K3" s="5" t="s">
        <v>21</v>
      </c>
      <c r="L3" s="5" t="s">
        <v>8</v>
      </c>
      <c r="M3" s="5" t="s">
        <v>9</v>
      </c>
      <c r="N3" s="7" t="s">
        <v>21</v>
      </c>
      <c r="O3" s="7" t="s">
        <v>8</v>
      </c>
      <c r="P3" s="5" t="s">
        <v>9</v>
      </c>
      <c r="Q3" s="5" t="s">
        <v>22</v>
      </c>
    </row>
    <row r="4" spans="1:17" ht="15" customHeight="1" x14ac:dyDescent="0.25">
      <c r="A4" s="12" t="s">
        <v>93</v>
      </c>
      <c r="B4" s="8" t="s">
        <v>76</v>
      </c>
      <c r="C4" s="1">
        <v>0.28968903436988502</v>
      </c>
      <c r="D4" s="1">
        <v>0.26677577741407499</v>
      </c>
      <c r="E4" s="1">
        <v>0.28150572831423898</v>
      </c>
      <c r="F4" s="2">
        <v>0.29132569558101501</v>
      </c>
      <c r="G4" s="2">
        <v>0.28805237315875598</v>
      </c>
      <c r="H4" s="1">
        <v>0.28968903436988502</v>
      </c>
      <c r="I4">
        <v>611</v>
      </c>
      <c r="K4">
        <v>5.5646481178396101E-2</v>
      </c>
      <c r="L4" s="1">
        <v>0.18494271685760999</v>
      </c>
      <c r="M4" s="1">
        <v>0.15548281505728301</v>
      </c>
      <c r="N4" s="1">
        <v>5.5646481178396101E-2</v>
      </c>
      <c r="O4" s="2">
        <v>0.18494271685760999</v>
      </c>
      <c r="P4" s="2">
        <v>0.15711947626841199</v>
      </c>
      <c r="Q4" s="1">
        <v>611</v>
      </c>
    </row>
    <row r="5" spans="1:17" x14ac:dyDescent="0.25">
      <c r="A5" s="12"/>
      <c r="B5" s="8" t="s">
        <v>77</v>
      </c>
      <c r="C5" s="1">
        <v>0.174224343675418</v>
      </c>
      <c r="D5" s="1">
        <v>0.241050119331742</v>
      </c>
      <c r="E5" s="1">
        <v>0.18019093078758999</v>
      </c>
      <c r="F5" s="2">
        <v>0.18854415274462999</v>
      </c>
      <c r="G5" s="2">
        <v>0.26014319809069197</v>
      </c>
      <c r="H5" s="1">
        <v>0.192124105011933</v>
      </c>
      <c r="I5">
        <v>838</v>
      </c>
      <c r="K5">
        <v>9.0692124105011901E-2</v>
      </c>
      <c r="L5" s="1">
        <v>0.18735083532219601</v>
      </c>
      <c r="M5" s="1">
        <v>0.126491646778043</v>
      </c>
      <c r="N5" s="1">
        <v>9.1885441527446293E-2</v>
      </c>
      <c r="O5" s="2">
        <v>0.192124105011933</v>
      </c>
      <c r="P5" s="2">
        <v>0.12887828162291201</v>
      </c>
      <c r="Q5" s="1">
        <v>838</v>
      </c>
    </row>
    <row r="6" spans="1:17" x14ac:dyDescent="0.25">
      <c r="A6" s="12"/>
      <c r="B6" s="8" t="s">
        <v>78</v>
      </c>
      <c r="C6" s="1">
        <v>7.9069767441860506E-2</v>
      </c>
      <c r="D6" s="1">
        <v>0.106976744186047</v>
      </c>
      <c r="E6" s="1">
        <v>9.0697674418604698E-2</v>
      </c>
      <c r="F6" s="2">
        <v>7.9069767441860506E-2</v>
      </c>
      <c r="G6" s="2">
        <v>0.111627906976744</v>
      </c>
      <c r="H6" s="1">
        <v>9.5348837209302303E-2</v>
      </c>
      <c r="I6">
        <v>430</v>
      </c>
      <c r="K6">
        <v>3.9534883720930197E-2</v>
      </c>
      <c r="L6" s="1">
        <v>9.3023255813953501E-2</v>
      </c>
      <c r="M6" s="1">
        <v>7.2093023255814001E-2</v>
      </c>
      <c r="N6" s="1">
        <v>3.9534883720930197E-2</v>
      </c>
      <c r="O6" s="2">
        <v>9.5348837209302303E-2</v>
      </c>
      <c r="P6" s="2">
        <v>7.4418604651162804E-2</v>
      </c>
      <c r="Q6" s="1">
        <v>430</v>
      </c>
    </row>
    <row r="7" spans="1:17" x14ac:dyDescent="0.25">
      <c r="A7" s="12"/>
      <c r="B7" s="8" t="s">
        <v>79</v>
      </c>
      <c r="C7" s="1">
        <v>0.29351032448377601</v>
      </c>
      <c r="D7" s="1">
        <v>0.21533923303834801</v>
      </c>
      <c r="E7" s="1">
        <v>0.225663716814159</v>
      </c>
      <c r="F7" s="2">
        <v>0.30530973451327398</v>
      </c>
      <c r="G7" s="2">
        <v>0.224188790560472</v>
      </c>
      <c r="H7" s="1">
        <v>0.24188790560472001</v>
      </c>
      <c r="I7">
        <v>678</v>
      </c>
      <c r="K7">
        <v>4.5722713864306798E-2</v>
      </c>
      <c r="L7" s="1">
        <v>0.16371681415929201</v>
      </c>
      <c r="M7" s="1">
        <v>0.19321533923303799</v>
      </c>
      <c r="N7" s="1">
        <v>4.5722713864306798E-2</v>
      </c>
      <c r="O7" s="2">
        <v>0.16519174041297899</v>
      </c>
      <c r="P7" s="2">
        <v>0.196165191740413</v>
      </c>
      <c r="Q7" s="1">
        <v>678</v>
      </c>
    </row>
    <row r="8" spans="1:17" x14ac:dyDescent="0.25">
      <c r="A8" s="12"/>
      <c r="B8" s="8" t="s">
        <v>80</v>
      </c>
      <c r="C8" s="1">
        <v>0.202672605790646</v>
      </c>
      <c r="D8" s="1">
        <v>0.14922048997772799</v>
      </c>
      <c r="E8" s="4">
        <v>0.17594654788418701</v>
      </c>
      <c r="F8" s="2">
        <v>0.207126948775056</v>
      </c>
      <c r="G8" s="2">
        <v>0.15367483296213799</v>
      </c>
      <c r="H8" s="4">
        <v>0.18262806236080201</v>
      </c>
      <c r="I8">
        <v>898</v>
      </c>
      <c r="K8">
        <v>5.9020044543429802E-2</v>
      </c>
      <c r="L8" s="1">
        <v>0.123608017817372</v>
      </c>
      <c r="M8" s="1">
        <v>0.135857461024499</v>
      </c>
      <c r="N8" s="4">
        <v>6.1247216035634697E-2</v>
      </c>
      <c r="O8" s="2">
        <v>0.124721603563474</v>
      </c>
      <c r="P8" s="2">
        <v>0.135857461024499</v>
      </c>
      <c r="Q8" s="4">
        <v>898</v>
      </c>
    </row>
    <row r="9" spans="1:17" x14ac:dyDescent="0.25">
      <c r="A9" s="12"/>
      <c r="B9" s="8" t="s">
        <v>81</v>
      </c>
      <c r="C9" s="1">
        <v>0.23983739837398399</v>
      </c>
      <c r="D9" s="1">
        <v>0.21680216802168001</v>
      </c>
      <c r="E9" s="1">
        <v>0.185636856368564</v>
      </c>
      <c r="F9" s="2">
        <v>0.25338753387533902</v>
      </c>
      <c r="G9" s="2">
        <v>0.21815718157181599</v>
      </c>
      <c r="H9" s="1">
        <v>0.19241192411924099</v>
      </c>
      <c r="I9">
        <v>738</v>
      </c>
      <c r="K9">
        <v>7.0460704607046107E-2</v>
      </c>
      <c r="L9" s="1">
        <v>0.17344173441734401</v>
      </c>
      <c r="M9" s="1">
        <v>0.13008130081300801</v>
      </c>
      <c r="N9" s="1">
        <v>7.3170731707317097E-2</v>
      </c>
      <c r="O9" s="2">
        <v>0.17886178861788599</v>
      </c>
      <c r="P9" s="2">
        <v>0.13550135501355001</v>
      </c>
      <c r="Q9" s="1">
        <v>738</v>
      </c>
    </row>
    <row r="10" spans="1:17" x14ac:dyDescent="0.25">
      <c r="A10" s="12"/>
      <c r="B10" s="8" t="s">
        <v>82</v>
      </c>
      <c r="C10" s="1">
        <v>0.158892128279883</v>
      </c>
      <c r="D10" s="1">
        <v>0.22157434402332399</v>
      </c>
      <c r="E10" s="1">
        <v>0.206997084548105</v>
      </c>
      <c r="F10" s="2">
        <v>0.16618075801749299</v>
      </c>
      <c r="G10" s="2">
        <v>0.23177842565597701</v>
      </c>
      <c r="H10" s="1">
        <v>0.212827988338192</v>
      </c>
      <c r="I10">
        <v>686</v>
      </c>
      <c r="K10">
        <v>0.102040816326531</v>
      </c>
      <c r="L10" s="1">
        <v>0.19533527696792999</v>
      </c>
      <c r="M10" s="1">
        <v>0.17492711370262401</v>
      </c>
      <c r="N10" s="1">
        <v>0.104956268221574</v>
      </c>
      <c r="O10" s="2">
        <v>0.19825072886297401</v>
      </c>
      <c r="P10" s="2">
        <v>0.17638483965014601</v>
      </c>
      <c r="Q10" s="1">
        <v>686</v>
      </c>
    </row>
    <row r="11" spans="1:17" x14ac:dyDescent="0.25">
      <c r="A11" s="12" t="s">
        <v>94</v>
      </c>
      <c r="B11" s="8" t="s">
        <v>83</v>
      </c>
      <c r="C11" s="1">
        <v>6.8104426787741201E-2</v>
      </c>
      <c r="D11" s="1">
        <v>0.20204313280363201</v>
      </c>
      <c r="E11" s="1">
        <v>9.6481271282633396E-2</v>
      </c>
      <c r="F11" s="2">
        <v>6.8104426787741201E-2</v>
      </c>
      <c r="G11" s="2">
        <v>0.20998864926220201</v>
      </c>
      <c r="H11" s="1">
        <v>9.7616345062429097E-2</v>
      </c>
      <c r="I11">
        <v>881</v>
      </c>
      <c r="K11">
        <v>5.5618615209988703E-2</v>
      </c>
      <c r="L11" s="1">
        <v>0.15777525539160001</v>
      </c>
      <c r="M11" s="1">
        <v>7.1509648127128303E-2</v>
      </c>
      <c r="N11" s="1">
        <v>5.5618615209988703E-2</v>
      </c>
      <c r="O11" s="2">
        <v>0.16118047673098801</v>
      </c>
      <c r="P11" s="2">
        <v>7.3779795686719593E-2</v>
      </c>
      <c r="Q11" s="1">
        <v>881</v>
      </c>
    </row>
    <row r="12" spans="1:17" x14ac:dyDescent="0.25">
      <c r="A12" s="12"/>
      <c r="B12" s="8" t="s">
        <v>84</v>
      </c>
      <c r="C12" s="1">
        <v>4.3613707165108997E-2</v>
      </c>
      <c r="D12" s="1">
        <v>0.152647975077882</v>
      </c>
      <c r="E12" s="1">
        <v>0.124610591900312</v>
      </c>
      <c r="F12" s="2">
        <v>4.3613707165108997E-2</v>
      </c>
      <c r="G12" s="2">
        <v>0.15576323987538901</v>
      </c>
      <c r="H12" s="1">
        <v>0.127725856697819</v>
      </c>
      <c r="I12">
        <v>321</v>
      </c>
      <c r="K12">
        <v>1.86915887850467E-2</v>
      </c>
      <c r="L12" s="1">
        <v>0.13084112149532701</v>
      </c>
      <c r="M12" s="1">
        <v>8.0996884735202501E-2</v>
      </c>
      <c r="N12" s="1">
        <v>1.86915887850467E-2</v>
      </c>
      <c r="O12" s="2">
        <v>0.13084112149532701</v>
      </c>
      <c r="P12" s="2">
        <v>8.4112149532710304E-2</v>
      </c>
      <c r="Q12" s="1">
        <v>321</v>
      </c>
    </row>
    <row r="13" spans="1:17" ht="15" customHeight="1" x14ac:dyDescent="0.25">
      <c r="A13" s="12"/>
      <c r="B13" s="8" t="s">
        <v>85</v>
      </c>
      <c r="C13" s="1">
        <v>2.2222222222222199E-2</v>
      </c>
      <c r="D13" s="1">
        <v>0.13968253968253999</v>
      </c>
      <c r="E13" s="1">
        <v>0.13968253968253999</v>
      </c>
      <c r="F13" s="2">
        <v>2.53968253968254E-2</v>
      </c>
      <c r="G13" s="2">
        <v>0.14920634920634901</v>
      </c>
      <c r="H13" s="1">
        <v>0.14285714285714299</v>
      </c>
      <c r="I13">
        <v>315</v>
      </c>
      <c r="K13">
        <v>1.9047619047619101E-2</v>
      </c>
      <c r="L13" s="1">
        <v>0.104761904761905</v>
      </c>
      <c r="M13" s="1">
        <v>0.107936507936508</v>
      </c>
      <c r="N13" s="1">
        <v>1.9047619047619101E-2</v>
      </c>
      <c r="O13" s="2">
        <v>0.104761904761905</v>
      </c>
      <c r="P13" s="2">
        <v>0.114285714285714</v>
      </c>
      <c r="Q13" s="1">
        <v>315</v>
      </c>
    </row>
    <row r="14" spans="1:17" x14ac:dyDescent="0.25">
      <c r="A14" s="12"/>
      <c r="B14" s="8" t="s">
        <v>86</v>
      </c>
      <c r="C14" s="1">
        <v>4.9528301886792497E-2</v>
      </c>
      <c r="D14" s="1">
        <v>0.16627358490565999</v>
      </c>
      <c r="E14" s="1">
        <v>0.16273584905660399</v>
      </c>
      <c r="F14" s="2">
        <v>4.9528301886792497E-2</v>
      </c>
      <c r="G14" s="2">
        <v>0.174528301886792</v>
      </c>
      <c r="H14" s="1">
        <v>0.16745283018867901</v>
      </c>
      <c r="I14">
        <v>848</v>
      </c>
      <c r="K14">
        <v>3.77358490566038E-2</v>
      </c>
      <c r="L14" s="1">
        <v>0.15448113207547201</v>
      </c>
      <c r="M14" s="1">
        <v>0.14150943396226401</v>
      </c>
      <c r="N14" s="1">
        <v>3.77358490566038E-2</v>
      </c>
      <c r="O14" s="2">
        <v>0.15919811320754701</v>
      </c>
      <c r="P14" s="2">
        <v>0.14504716981132099</v>
      </c>
      <c r="Q14" s="1">
        <v>848</v>
      </c>
    </row>
    <row r="15" spans="1:17" x14ac:dyDescent="0.25">
      <c r="A15" s="12"/>
      <c r="B15" s="8" t="s">
        <v>87</v>
      </c>
      <c r="C15" s="1">
        <v>0.20099667774086399</v>
      </c>
      <c r="D15" s="1">
        <v>0.181063122923588</v>
      </c>
      <c r="E15" s="1">
        <v>0.167774086378738</v>
      </c>
      <c r="F15" s="2">
        <v>0.209302325581395</v>
      </c>
      <c r="G15" s="2">
        <v>0.18770764119601299</v>
      </c>
      <c r="H15" s="1">
        <v>0.172757475083056</v>
      </c>
      <c r="I15">
        <v>602</v>
      </c>
      <c r="K15">
        <v>7.9734219269102999E-2</v>
      </c>
      <c r="L15" s="1">
        <v>0.16445182724252499</v>
      </c>
      <c r="M15" s="1">
        <v>0.172757475083056</v>
      </c>
      <c r="N15" s="1">
        <v>8.1395348837209294E-2</v>
      </c>
      <c r="O15" s="2">
        <v>0.167774086378738</v>
      </c>
      <c r="P15" s="2">
        <v>0.17441860465116299</v>
      </c>
      <c r="Q15" s="1">
        <v>602</v>
      </c>
    </row>
    <row r="16" spans="1:17" x14ac:dyDescent="0.25">
      <c r="A16" s="12"/>
      <c r="B16" s="8" t="s">
        <v>88</v>
      </c>
      <c r="C16" s="1">
        <v>0.14421930870083399</v>
      </c>
      <c r="D16" s="1">
        <v>0.191895113230036</v>
      </c>
      <c r="E16" s="1">
        <v>0.16567342073897501</v>
      </c>
      <c r="F16" s="2">
        <v>0.14898688915375399</v>
      </c>
      <c r="G16" s="2">
        <v>0.196662693682956</v>
      </c>
      <c r="H16" s="1">
        <v>0.17044100119189501</v>
      </c>
      <c r="I16">
        <v>839</v>
      </c>
      <c r="K16">
        <v>0.123957091775924</v>
      </c>
      <c r="L16" s="1">
        <v>0.15256257449344501</v>
      </c>
      <c r="M16" s="1">
        <v>0.14421930870083399</v>
      </c>
      <c r="N16" s="1">
        <v>0.126340882002384</v>
      </c>
      <c r="O16" s="2">
        <v>0.15613825983313501</v>
      </c>
      <c r="P16" s="2">
        <v>0.14421930870083399</v>
      </c>
      <c r="Q16" s="1">
        <v>839</v>
      </c>
    </row>
    <row r="17" spans="1:17" x14ac:dyDescent="0.25">
      <c r="A17" s="12"/>
      <c r="B17" s="8" t="s">
        <v>89</v>
      </c>
      <c r="C17" s="1">
        <v>0.188445667125172</v>
      </c>
      <c r="D17" s="1">
        <v>0.17744154057771699</v>
      </c>
      <c r="E17" s="1">
        <v>0.170563961485557</v>
      </c>
      <c r="F17" s="2">
        <v>0.19119669876203599</v>
      </c>
      <c r="G17" s="2">
        <v>0.18431911966987599</v>
      </c>
      <c r="H17" s="1">
        <v>0.174690508940853</v>
      </c>
      <c r="I17">
        <v>727</v>
      </c>
      <c r="K17">
        <v>0.12104539202200799</v>
      </c>
      <c r="L17" s="1">
        <v>0.16231086657496599</v>
      </c>
      <c r="M17" s="1">
        <v>0.16506189821182901</v>
      </c>
      <c r="N17" s="1">
        <v>0.123796423658872</v>
      </c>
      <c r="O17" s="2">
        <v>0.16643741403026099</v>
      </c>
      <c r="P17" s="2">
        <v>0.170563961485557</v>
      </c>
      <c r="Q17" s="1">
        <v>727</v>
      </c>
    </row>
    <row r="18" spans="1:17" x14ac:dyDescent="0.25">
      <c r="A18" s="12"/>
      <c r="B18" s="8" t="s">
        <v>90</v>
      </c>
      <c r="C18" s="1">
        <v>0.141666666666667</v>
      </c>
      <c r="D18" s="1">
        <v>0.226388888888889</v>
      </c>
      <c r="E18" s="1">
        <v>0.16250000000000001</v>
      </c>
      <c r="F18" s="2">
        <v>0.148611111111111</v>
      </c>
      <c r="G18" s="2">
        <v>0.234722222222222</v>
      </c>
      <c r="H18" s="1">
        <v>0.172222222222222</v>
      </c>
      <c r="I18">
        <v>720</v>
      </c>
      <c r="K18">
        <v>0.12777777777777799</v>
      </c>
      <c r="L18" s="1">
        <v>0.16805555555555601</v>
      </c>
      <c r="M18" s="1">
        <v>0.15</v>
      </c>
      <c r="N18" s="1">
        <v>0.12777777777777799</v>
      </c>
      <c r="O18" s="2">
        <v>0.17499999999999999</v>
      </c>
      <c r="P18" s="2">
        <v>0.15277777777777801</v>
      </c>
      <c r="Q18" s="1">
        <v>720</v>
      </c>
    </row>
    <row r="19" spans="1:17" x14ac:dyDescent="0.25">
      <c r="A19" s="12"/>
      <c r="B19" s="8" t="s">
        <v>91</v>
      </c>
      <c r="C19" s="1">
        <v>0.40509554140127402</v>
      </c>
      <c r="D19" s="1">
        <v>0.19363057324840799</v>
      </c>
      <c r="E19" s="1">
        <v>0.177070063694268</v>
      </c>
      <c r="F19" s="2">
        <v>0.42675159235668803</v>
      </c>
      <c r="G19" s="2">
        <v>0.20127388535031801</v>
      </c>
      <c r="H19" s="1">
        <v>0.178343949044586</v>
      </c>
      <c r="I19">
        <v>785</v>
      </c>
      <c r="K19">
        <v>6.1146496815286597E-2</v>
      </c>
      <c r="L19" s="1">
        <v>0.151592356687898</v>
      </c>
      <c r="M19" s="1">
        <v>0.14522292993630601</v>
      </c>
      <c r="N19" s="1">
        <v>6.2420382165605102E-2</v>
      </c>
      <c r="O19" s="2">
        <v>0.156687898089172</v>
      </c>
      <c r="P19" s="2">
        <v>0.14522292993630601</v>
      </c>
      <c r="Q19" s="1">
        <v>785</v>
      </c>
    </row>
    <row r="20" spans="1:17" x14ac:dyDescent="0.25">
      <c r="A20" s="12"/>
      <c r="B20" s="8" t="s">
        <v>92</v>
      </c>
      <c r="C20" s="1">
        <v>0.19974059662775601</v>
      </c>
      <c r="D20" s="1">
        <v>0.23086900129701701</v>
      </c>
      <c r="E20" s="4">
        <v>0.201037613488975</v>
      </c>
      <c r="F20" s="2">
        <v>0.21141374837872901</v>
      </c>
      <c r="G20" s="2">
        <v>0.236057068741894</v>
      </c>
      <c r="H20" s="4">
        <v>0.20622568093385199</v>
      </c>
      <c r="I20">
        <v>771</v>
      </c>
      <c r="K20">
        <v>0.11284046692607</v>
      </c>
      <c r="L20" s="1">
        <v>0.158236057068742</v>
      </c>
      <c r="M20" s="1">
        <v>0.13748378728923499</v>
      </c>
      <c r="N20" s="4">
        <v>0.116731517509728</v>
      </c>
      <c r="O20" s="2">
        <v>0.16212710765239999</v>
      </c>
      <c r="P20" s="2">
        <v>0.13748378728923499</v>
      </c>
      <c r="Q20" s="4">
        <v>771</v>
      </c>
    </row>
    <row r="22" spans="1:17" x14ac:dyDescent="0.25">
      <c r="B22" s="10" t="s">
        <v>2</v>
      </c>
      <c r="C22" s="2">
        <f>AVERAGE(C4:C10)*100</f>
        <v>20.541365748792177</v>
      </c>
      <c r="D22" s="2">
        <f t="shared" ref="D22:Q22" si="0">AVERAGE(D4:D10)*100</f>
        <v>20.253412514184912</v>
      </c>
      <c r="E22" s="2">
        <f t="shared" si="0"/>
        <v>19.237693416220697</v>
      </c>
      <c r="F22" s="2">
        <f t="shared" si="0"/>
        <v>21.299208442123824</v>
      </c>
      <c r="G22" s="2">
        <f t="shared" si="0"/>
        <v>21.251752985379927</v>
      </c>
      <c r="H22" s="2">
        <f t="shared" si="0"/>
        <v>20.098826528772506</v>
      </c>
      <c r="I22" s="2">
        <f>AVERAGE(I4:I10)</f>
        <v>697</v>
      </c>
      <c r="J22" s="2"/>
      <c r="K22" s="2">
        <f t="shared" si="0"/>
        <v>6.6159681192235986</v>
      </c>
      <c r="L22" s="2">
        <f t="shared" si="0"/>
        <v>16.020266447938532</v>
      </c>
      <c r="M22" s="2">
        <f t="shared" si="0"/>
        <v>14.11640999806156</v>
      </c>
      <c r="N22" s="2">
        <f t="shared" si="0"/>
        <v>6.7451962322229306</v>
      </c>
      <c r="O22" s="2">
        <f t="shared" si="0"/>
        <v>16.277736007659406</v>
      </c>
      <c r="P22" s="2">
        <f t="shared" si="0"/>
        <v>14.34750299958707</v>
      </c>
      <c r="Q22" s="2">
        <f>AVERAGE(Q4:Q10)</f>
        <v>697</v>
      </c>
    </row>
    <row r="23" spans="1:17" x14ac:dyDescent="0.25">
      <c r="B23" s="10" t="s">
        <v>3</v>
      </c>
      <c r="C23" s="2">
        <f>AVERAGE(C11:C20)*100</f>
        <v>14.636331163244321</v>
      </c>
      <c r="D23" s="2">
        <f t="shared" ref="D23:Q23" si="1">AVERAGE(D11:D20)*100</f>
        <v>18.619354726353691</v>
      </c>
      <c r="E23" s="2">
        <f t="shared" si="1"/>
        <v>15.681293977086025</v>
      </c>
      <c r="F23" s="2">
        <f t="shared" si="1"/>
        <v>15.229056265801812</v>
      </c>
      <c r="G23" s="2">
        <f t="shared" si="1"/>
        <v>19.302291710940107</v>
      </c>
      <c r="H23" s="2">
        <f t="shared" si="1"/>
        <v>16.103330122225341</v>
      </c>
      <c r="I23" s="2">
        <f>AVERAGE(I11:I20)</f>
        <v>680.9</v>
      </c>
      <c r="J23" s="2"/>
      <c r="K23" s="2">
        <f t="shared" si="1"/>
        <v>7.5759511668542796</v>
      </c>
      <c r="L23" s="2">
        <f t="shared" si="1"/>
        <v>15.050686513474362</v>
      </c>
      <c r="M23" s="2">
        <f t="shared" si="1"/>
        <v>13.166978739823627</v>
      </c>
      <c r="N23" s="2">
        <f t="shared" si="1"/>
        <v>7.6955600405083464</v>
      </c>
      <c r="O23" s="2">
        <f t="shared" si="1"/>
        <v>15.401463821794732</v>
      </c>
      <c r="P23" s="2">
        <f t="shared" si="1"/>
        <v>13.419111991573379</v>
      </c>
      <c r="Q23" s="2">
        <f>AVERAGE(Q11:Q20)</f>
        <v>680.9</v>
      </c>
    </row>
    <row r="24" spans="1:17" x14ac:dyDescent="0.25">
      <c r="C24" s="15">
        <f>TTEST(C4:C10,C11:C20,2,2)</f>
        <v>0.25121414400798242</v>
      </c>
      <c r="D24" s="15">
        <f t="shared" ref="D24:H24" si="2">TTEST(D4:D10,D11:D20,2,2)</f>
        <v>0.43865965301344811</v>
      </c>
      <c r="E24" s="15">
        <f t="shared" si="2"/>
        <v>0.11474530858976779</v>
      </c>
      <c r="F24" s="15">
        <f t="shared" si="2"/>
        <v>0.26021407852144246</v>
      </c>
      <c r="G24" s="15">
        <f t="shared" si="2"/>
        <v>0.38933752943925504</v>
      </c>
      <c r="H24" s="15">
        <f t="shared" si="2"/>
        <v>8.8502103573865454E-2</v>
      </c>
    </row>
  </sheetData>
  <mergeCells count="8">
    <mergeCell ref="A4:A10"/>
    <mergeCell ref="A11:A20"/>
    <mergeCell ref="C1:I1"/>
    <mergeCell ref="K1:Q1"/>
    <mergeCell ref="C2:E2"/>
    <mergeCell ref="F2:H2"/>
    <mergeCell ref="K2:M2"/>
    <mergeCell ref="N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SlowSpindles</vt:lpstr>
      <vt:lpstr>BroadBdSpindles</vt:lpstr>
      <vt:lpstr>SlowSpindles-20Hz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2017-04-15T13:14:07Z</dcterms:modified>
</cp:coreProperties>
</file>