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240" yWindow="105" windowWidth="14805" windowHeight="8010"/>
  </bookViews>
  <sheets>
    <sheet name="SlowSpindles-FRO-Seed" sheetId="36" r:id="rId1"/>
    <sheet name="SlowSpindles-PAR-Seed" sheetId="38" r:id="rId2"/>
    <sheet name="BroadBdSpindles-FRO-Seed" sheetId="39" r:id="rId3"/>
    <sheet name="BroadBdSpindles-PAR-Seed" sheetId="40" r:id="rId4"/>
  </sheets>
  <calcPr calcId="162913"/>
</workbook>
</file>

<file path=xl/calcChain.xml><?xml version="1.0" encoding="utf-8"?>
<calcChain xmlns="http://schemas.openxmlformats.org/spreadsheetml/2006/main">
  <c r="G96" i="40" l="1"/>
  <c r="F96" i="40"/>
  <c r="D96" i="40"/>
  <c r="C96" i="40"/>
  <c r="G95" i="40"/>
  <c r="F95" i="40"/>
  <c r="D95" i="40"/>
  <c r="C95" i="40"/>
  <c r="G94" i="40"/>
  <c r="F94" i="40"/>
  <c r="D94" i="40"/>
  <c r="C94" i="40"/>
  <c r="G93" i="40"/>
  <c r="F93" i="40"/>
  <c r="D93" i="40"/>
  <c r="C93" i="40"/>
  <c r="G92" i="40"/>
  <c r="F92" i="40"/>
  <c r="D92" i="40"/>
  <c r="C92" i="40"/>
  <c r="G91" i="40"/>
  <c r="F91" i="40"/>
  <c r="D91" i="40"/>
  <c r="C91" i="40"/>
  <c r="G90" i="40"/>
  <c r="F90" i="40"/>
  <c r="D90" i="40"/>
  <c r="C90" i="40"/>
  <c r="G89" i="40"/>
  <c r="F89" i="40"/>
  <c r="D89" i="40"/>
  <c r="C89" i="40"/>
  <c r="G88" i="40"/>
  <c r="F88" i="40"/>
  <c r="D88" i="40"/>
  <c r="C88" i="40"/>
  <c r="G87" i="40"/>
  <c r="F87" i="40"/>
  <c r="D87" i="40"/>
  <c r="C87" i="40"/>
  <c r="AK85" i="40"/>
  <c r="AJ85" i="40"/>
  <c r="AI85" i="40"/>
  <c r="AH85" i="40"/>
  <c r="AG85" i="40"/>
  <c r="AF85" i="40"/>
  <c r="AE85" i="40"/>
  <c r="AD85" i="40"/>
  <c r="AC85" i="40"/>
  <c r="AB85" i="40"/>
  <c r="AA85" i="40"/>
  <c r="Z85" i="40"/>
  <c r="Y85" i="40"/>
  <c r="X85" i="40"/>
  <c r="W85" i="40"/>
  <c r="V85" i="40"/>
  <c r="AK84" i="40"/>
  <c r="AJ84" i="40"/>
  <c r="AI84" i="40"/>
  <c r="AH84" i="40"/>
  <c r="AG84" i="40"/>
  <c r="AF84" i="40"/>
  <c r="AE84" i="40"/>
  <c r="AD84" i="40"/>
  <c r="AC84" i="40"/>
  <c r="AB84" i="40"/>
  <c r="AA84" i="40"/>
  <c r="Z84" i="40"/>
  <c r="Y84" i="40"/>
  <c r="X84" i="40"/>
  <c r="W84" i="40"/>
  <c r="V84" i="40"/>
  <c r="AK83" i="40"/>
  <c r="AJ83" i="40"/>
  <c r="AI83" i="40"/>
  <c r="AH83" i="40"/>
  <c r="AG83" i="40"/>
  <c r="AF83" i="40"/>
  <c r="AE83" i="40"/>
  <c r="AD83" i="40"/>
  <c r="AC83" i="40"/>
  <c r="AB83" i="40"/>
  <c r="AA83" i="40"/>
  <c r="Z83" i="40"/>
  <c r="Y83" i="40"/>
  <c r="X83" i="40"/>
  <c r="W83" i="40"/>
  <c r="V83" i="40"/>
  <c r="AK82" i="40"/>
  <c r="AJ82" i="40"/>
  <c r="AI82" i="40"/>
  <c r="AH82" i="40"/>
  <c r="AG82" i="40"/>
  <c r="AF82" i="40"/>
  <c r="AE82" i="40"/>
  <c r="AD82" i="40"/>
  <c r="AC82" i="40"/>
  <c r="AB82" i="40"/>
  <c r="AA82" i="40"/>
  <c r="Z82" i="40"/>
  <c r="Y82" i="40"/>
  <c r="X82" i="40"/>
  <c r="W82" i="40"/>
  <c r="V82" i="40"/>
  <c r="AK81" i="40"/>
  <c r="AJ81" i="40"/>
  <c r="AI81" i="40"/>
  <c r="AH81" i="40"/>
  <c r="AG81" i="40"/>
  <c r="AF81" i="40"/>
  <c r="AE81" i="40"/>
  <c r="AD81" i="40"/>
  <c r="AC81" i="40"/>
  <c r="AB81" i="40"/>
  <c r="AA81" i="40"/>
  <c r="Z81" i="40"/>
  <c r="Y81" i="40"/>
  <c r="X81" i="40"/>
  <c r="W81" i="40"/>
  <c r="V81" i="40"/>
  <c r="AK80" i="40"/>
  <c r="AJ80" i="40"/>
  <c r="AI80" i="40"/>
  <c r="AH80" i="40"/>
  <c r="AG80" i="40"/>
  <c r="AF80" i="40"/>
  <c r="AE80" i="40"/>
  <c r="AD80" i="40"/>
  <c r="AC80" i="40"/>
  <c r="AB80" i="40"/>
  <c r="AA80" i="40"/>
  <c r="Z80" i="40"/>
  <c r="Y80" i="40"/>
  <c r="X80" i="40"/>
  <c r="W80" i="40"/>
  <c r="V80" i="40"/>
  <c r="AK79" i="40"/>
  <c r="AJ79" i="40"/>
  <c r="AI79" i="40"/>
  <c r="AH79" i="40"/>
  <c r="AG79" i="40"/>
  <c r="AF79" i="40"/>
  <c r="AE79" i="40"/>
  <c r="AD79" i="40"/>
  <c r="AC79" i="40"/>
  <c r="AB79" i="40"/>
  <c r="AA79" i="40"/>
  <c r="Z79" i="40"/>
  <c r="Y79" i="40"/>
  <c r="X79" i="40"/>
  <c r="W79" i="40"/>
  <c r="V79" i="40"/>
  <c r="AK78" i="40"/>
  <c r="AK96" i="40" s="1"/>
  <c r="AJ78" i="40"/>
  <c r="AJ96" i="40" s="1"/>
  <c r="AI78" i="40"/>
  <c r="AI96" i="40" s="1"/>
  <c r="AH78" i="40"/>
  <c r="AH96" i="40" s="1"/>
  <c r="AG78" i="40"/>
  <c r="AG96" i="40" s="1"/>
  <c r="AF78" i="40"/>
  <c r="AF96" i="40" s="1"/>
  <c r="AE78" i="40"/>
  <c r="AE96" i="40" s="1"/>
  <c r="AD78" i="40"/>
  <c r="AD96" i="40" s="1"/>
  <c r="AC78" i="40"/>
  <c r="AC96" i="40" s="1"/>
  <c r="AB78" i="40"/>
  <c r="AB96" i="40" s="1"/>
  <c r="AA78" i="40"/>
  <c r="AA96" i="40" s="1"/>
  <c r="Z78" i="40"/>
  <c r="Z96" i="40" s="1"/>
  <c r="Y78" i="40"/>
  <c r="Y96" i="40" s="1"/>
  <c r="X78" i="40"/>
  <c r="X96" i="40" s="1"/>
  <c r="W78" i="40"/>
  <c r="W96" i="40" s="1"/>
  <c r="V78" i="40"/>
  <c r="V96" i="40" s="1"/>
  <c r="AK77" i="40"/>
  <c r="AJ77" i="40"/>
  <c r="AI77" i="40"/>
  <c r="AH77" i="40"/>
  <c r="AG77" i="40"/>
  <c r="AF77" i="40"/>
  <c r="AE77" i="40"/>
  <c r="AD77" i="40"/>
  <c r="AC77" i="40"/>
  <c r="AB77" i="40"/>
  <c r="AA77" i="40"/>
  <c r="Z77" i="40"/>
  <c r="Y77" i="40"/>
  <c r="X77" i="40"/>
  <c r="W77" i="40"/>
  <c r="V77" i="40"/>
  <c r="AK76" i="40"/>
  <c r="AJ76" i="40"/>
  <c r="AI76" i="40"/>
  <c r="AH76" i="40"/>
  <c r="AG76" i="40"/>
  <c r="AF76" i="40"/>
  <c r="AE76" i="40"/>
  <c r="AD76" i="40"/>
  <c r="AC76" i="40"/>
  <c r="AB76" i="40"/>
  <c r="AA76" i="40"/>
  <c r="Z76" i="40"/>
  <c r="Y76" i="40"/>
  <c r="X76" i="40"/>
  <c r="W76" i="40"/>
  <c r="V76" i="40"/>
  <c r="AK75" i="40"/>
  <c r="AJ75" i="40"/>
  <c r="AI75" i="40"/>
  <c r="AH75" i="40"/>
  <c r="AG75" i="40"/>
  <c r="AF75" i="40"/>
  <c r="AE75" i="40"/>
  <c r="AD75" i="40"/>
  <c r="AC75" i="40"/>
  <c r="AB75" i="40"/>
  <c r="AA75" i="40"/>
  <c r="Z75" i="40"/>
  <c r="Y75" i="40"/>
  <c r="X75" i="40"/>
  <c r="W75" i="40"/>
  <c r="V75" i="40"/>
  <c r="AK74" i="40"/>
  <c r="AJ74" i="40"/>
  <c r="AI74" i="40"/>
  <c r="AH74" i="40"/>
  <c r="AG74" i="40"/>
  <c r="AF74" i="40"/>
  <c r="AE74" i="40"/>
  <c r="AD74" i="40"/>
  <c r="AC74" i="40"/>
  <c r="AB74" i="40"/>
  <c r="AA74" i="40"/>
  <c r="Z74" i="40"/>
  <c r="Y74" i="40"/>
  <c r="X74" i="40"/>
  <c r="W74" i="40"/>
  <c r="V74" i="40"/>
  <c r="AK73" i="40"/>
  <c r="AJ73" i="40"/>
  <c r="AI73" i="40"/>
  <c r="AH73" i="40"/>
  <c r="AG73" i="40"/>
  <c r="AF73" i="40"/>
  <c r="AE73" i="40"/>
  <c r="AD73" i="40"/>
  <c r="AC73" i="40"/>
  <c r="AB73" i="40"/>
  <c r="AA73" i="40"/>
  <c r="Z73" i="40"/>
  <c r="Y73" i="40"/>
  <c r="X73" i="40"/>
  <c r="W73" i="40"/>
  <c r="V73" i="40"/>
  <c r="AK72" i="40"/>
  <c r="AJ72" i="40"/>
  <c r="AI72" i="40"/>
  <c r="AH72" i="40"/>
  <c r="AG72" i="40"/>
  <c r="AF72" i="40"/>
  <c r="AE72" i="40"/>
  <c r="AD72" i="40"/>
  <c r="AC72" i="40"/>
  <c r="AB72" i="40"/>
  <c r="AA72" i="40"/>
  <c r="Z72" i="40"/>
  <c r="Y72" i="40"/>
  <c r="X72" i="40"/>
  <c r="W72" i="40"/>
  <c r="V72" i="40"/>
  <c r="AK71" i="40"/>
  <c r="AJ71" i="40"/>
  <c r="AI71" i="40"/>
  <c r="AH71" i="40"/>
  <c r="AG71" i="40"/>
  <c r="AF71" i="40"/>
  <c r="AE71" i="40"/>
  <c r="AD71" i="40"/>
  <c r="AC71" i="40"/>
  <c r="AB71" i="40"/>
  <c r="AA71" i="40"/>
  <c r="Z71" i="40"/>
  <c r="Y71" i="40"/>
  <c r="X71" i="40"/>
  <c r="W71" i="40"/>
  <c r="V71" i="40"/>
  <c r="AK70" i="40"/>
  <c r="AK95" i="40" s="1"/>
  <c r="AJ70" i="40"/>
  <c r="AJ95" i="40" s="1"/>
  <c r="AI70" i="40"/>
  <c r="AI95" i="40" s="1"/>
  <c r="AH70" i="40"/>
  <c r="AH95" i="40" s="1"/>
  <c r="AG70" i="40"/>
  <c r="AG95" i="40" s="1"/>
  <c r="AF70" i="40"/>
  <c r="AF95" i="40" s="1"/>
  <c r="AE70" i="40"/>
  <c r="AE95" i="40" s="1"/>
  <c r="AD70" i="40"/>
  <c r="AC70" i="40"/>
  <c r="AC95" i="40" s="1"/>
  <c r="AB70" i="40"/>
  <c r="AB95" i="40" s="1"/>
  <c r="AA70" i="40"/>
  <c r="AA95" i="40" s="1"/>
  <c r="Z70" i="40"/>
  <c r="Z95" i="40" s="1"/>
  <c r="Y70" i="40"/>
  <c r="Y95" i="40" s="1"/>
  <c r="X70" i="40"/>
  <c r="X95" i="40" s="1"/>
  <c r="W70" i="40"/>
  <c r="W95" i="40" s="1"/>
  <c r="V70" i="40"/>
  <c r="AK69" i="40"/>
  <c r="AJ69" i="40"/>
  <c r="AI69" i="40"/>
  <c r="AH69" i="40"/>
  <c r="AG69" i="40"/>
  <c r="AF69" i="40"/>
  <c r="AE69" i="40"/>
  <c r="AD69" i="40"/>
  <c r="AC69" i="40"/>
  <c r="AB69" i="40"/>
  <c r="AA69" i="40"/>
  <c r="Z69" i="40"/>
  <c r="Y69" i="40"/>
  <c r="X69" i="40"/>
  <c r="W69" i="40"/>
  <c r="V69" i="40"/>
  <c r="AK68" i="40"/>
  <c r="AJ68" i="40"/>
  <c r="AI68" i="40"/>
  <c r="AH68" i="40"/>
  <c r="AG68" i="40"/>
  <c r="AF68" i="40"/>
  <c r="AE68" i="40"/>
  <c r="AD68" i="40"/>
  <c r="AC68" i="40"/>
  <c r="AB68" i="40"/>
  <c r="AA68" i="40"/>
  <c r="Z68" i="40"/>
  <c r="Y68" i="40"/>
  <c r="X68" i="40"/>
  <c r="W68" i="40"/>
  <c r="V68" i="40"/>
  <c r="AK67" i="40"/>
  <c r="AJ67" i="40"/>
  <c r="AI67" i="40"/>
  <c r="AH67" i="40"/>
  <c r="AG67" i="40"/>
  <c r="AF67" i="40"/>
  <c r="AE67" i="40"/>
  <c r="AD67" i="40"/>
  <c r="AC67" i="40"/>
  <c r="AB67" i="40"/>
  <c r="AA67" i="40"/>
  <c r="Z67" i="40"/>
  <c r="Y67" i="40"/>
  <c r="X67" i="40"/>
  <c r="W67" i="40"/>
  <c r="V67" i="40"/>
  <c r="AK66" i="40"/>
  <c r="AJ66" i="40"/>
  <c r="AI66" i="40"/>
  <c r="AH66" i="40"/>
  <c r="AG66" i="40"/>
  <c r="AF66" i="40"/>
  <c r="AE66" i="40"/>
  <c r="AD66" i="40"/>
  <c r="AC66" i="40"/>
  <c r="AB66" i="40"/>
  <c r="AA66" i="40"/>
  <c r="Z66" i="40"/>
  <c r="Y66" i="40"/>
  <c r="X66" i="40"/>
  <c r="W66" i="40"/>
  <c r="V66" i="40"/>
  <c r="AK65" i="40"/>
  <c r="AK94" i="40" s="1"/>
  <c r="AJ65" i="40"/>
  <c r="AJ94" i="40" s="1"/>
  <c r="AI65" i="40"/>
  <c r="AI94" i="40" s="1"/>
  <c r="AH65" i="40"/>
  <c r="AH94" i="40" s="1"/>
  <c r="AG65" i="40"/>
  <c r="AG94" i="40" s="1"/>
  <c r="AF65" i="40"/>
  <c r="AF94" i="40" s="1"/>
  <c r="AE65" i="40"/>
  <c r="AE94" i="40" s="1"/>
  <c r="AD65" i="40"/>
  <c r="AD94" i="40" s="1"/>
  <c r="AC65" i="40"/>
  <c r="AC94" i="40" s="1"/>
  <c r="AB65" i="40"/>
  <c r="AB94" i="40" s="1"/>
  <c r="AA65" i="40"/>
  <c r="AA94" i="40" s="1"/>
  <c r="Z65" i="40"/>
  <c r="Z94" i="40" s="1"/>
  <c r="Y65" i="40"/>
  <c r="Y94" i="40" s="1"/>
  <c r="X65" i="40"/>
  <c r="X94" i="40" s="1"/>
  <c r="W65" i="40"/>
  <c r="W94" i="40" s="1"/>
  <c r="V65" i="40"/>
  <c r="V94" i="40" s="1"/>
  <c r="AK64" i="40"/>
  <c r="AJ64" i="40"/>
  <c r="AI64" i="40"/>
  <c r="AH64" i="40"/>
  <c r="AG64" i="40"/>
  <c r="AF64" i="40"/>
  <c r="AE64" i="40"/>
  <c r="AD64" i="40"/>
  <c r="AC64" i="40"/>
  <c r="AB64" i="40"/>
  <c r="AA64" i="40"/>
  <c r="Z64" i="40"/>
  <c r="Y64" i="40"/>
  <c r="X64" i="40"/>
  <c r="W64" i="40"/>
  <c r="V64" i="40"/>
  <c r="AK63" i="40"/>
  <c r="AJ63" i="40"/>
  <c r="AI63" i="40"/>
  <c r="AH63" i="40"/>
  <c r="AG63" i="40"/>
  <c r="AF63" i="40"/>
  <c r="AE63" i="40"/>
  <c r="AD63" i="40"/>
  <c r="AC63" i="40"/>
  <c r="AB63" i="40"/>
  <c r="AA63" i="40"/>
  <c r="Z63" i="40"/>
  <c r="Y63" i="40"/>
  <c r="X63" i="40"/>
  <c r="W63" i="40"/>
  <c r="V63" i="40"/>
  <c r="AK62" i="40"/>
  <c r="AJ62" i="40"/>
  <c r="AI62" i="40"/>
  <c r="AH62" i="40"/>
  <c r="AG62" i="40"/>
  <c r="AF62" i="40"/>
  <c r="AE62" i="40"/>
  <c r="AD62" i="40"/>
  <c r="AC62" i="40"/>
  <c r="AB62" i="40"/>
  <c r="AA62" i="40"/>
  <c r="Z62" i="40"/>
  <c r="Y62" i="40"/>
  <c r="X62" i="40"/>
  <c r="W62" i="40"/>
  <c r="V62" i="40"/>
  <c r="AK61" i="40"/>
  <c r="AJ61" i="40"/>
  <c r="AI61" i="40"/>
  <c r="AH61" i="40"/>
  <c r="AG61" i="40"/>
  <c r="AF61" i="40"/>
  <c r="AE61" i="40"/>
  <c r="AD61" i="40"/>
  <c r="AC61" i="40"/>
  <c r="AB61" i="40"/>
  <c r="AA61" i="40"/>
  <c r="Z61" i="40"/>
  <c r="Y61" i="40"/>
  <c r="X61" i="40"/>
  <c r="W61" i="40"/>
  <c r="V61" i="40"/>
  <c r="AK60" i="40"/>
  <c r="AK93" i="40" s="1"/>
  <c r="AJ60" i="40"/>
  <c r="AJ93" i="40" s="1"/>
  <c r="AI60" i="40"/>
  <c r="AI93" i="40" s="1"/>
  <c r="AH60" i="40"/>
  <c r="AH93" i="40" s="1"/>
  <c r="AG60" i="40"/>
  <c r="AG93" i="40" s="1"/>
  <c r="AF60" i="40"/>
  <c r="AF93" i="40" s="1"/>
  <c r="AE60" i="40"/>
  <c r="AE93" i="40" s="1"/>
  <c r="AD60" i="40"/>
  <c r="AD93" i="40" s="1"/>
  <c r="AC60" i="40"/>
  <c r="AC93" i="40" s="1"/>
  <c r="AB60" i="40"/>
  <c r="AB93" i="40" s="1"/>
  <c r="AA60" i="40"/>
  <c r="AA93" i="40" s="1"/>
  <c r="Z60" i="40"/>
  <c r="Z93" i="40" s="1"/>
  <c r="Y60" i="40"/>
  <c r="Y93" i="40" s="1"/>
  <c r="X60" i="40"/>
  <c r="X93" i="40" s="1"/>
  <c r="W60" i="40"/>
  <c r="W93" i="40" s="1"/>
  <c r="V60" i="40"/>
  <c r="V93" i="40" s="1"/>
  <c r="AK59" i="40"/>
  <c r="AJ59" i="40"/>
  <c r="AI59" i="40"/>
  <c r="AH59" i="40"/>
  <c r="AG59" i="40"/>
  <c r="AF59" i="40"/>
  <c r="AE59" i="40"/>
  <c r="AD59" i="40"/>
  <c r="AC59" i="40"/>
  <c r="AB59" i="40"/>
  <c r="AA59" i="40"/>
  <c r="Z59" i="40"/>
  <c r="Y59" i="40"/>
  <c r="X59" i="40"/>
  <c r="W59" i="40"/>
  <c r="V59" i="40"/>
  <c r="AK58" i="40"/>
  <c r="AJ58" i="40"/>
  <c r="AI58" i="40"/>
  <c r="AH58" i="40"/>
  <c r="AG58" i="40"/>
  <c r="AF58" i="40"/>
  <c r="AE58" i="40"/>
  <c r="AD58" i="40"/>
  <c r="AC58" i="40"/>
  <c r="AB58" i="40"/>
  <c r="AA58" i="40"/>
  <c r="Z58" i="40"/>
  <c r="Y58" i="40"/>
  <c r="X58" i="40"/>
  <c r="W58" i="40"/>
  <c r="V58" i="40"/>
  <c r="AK57" i="40"/>
  <c r="AJ57" i="40"/>
  <c r="AI57" i="40"/>
  <c r="AH57" i="40"/>
  <c r="AG57" i="40"/>
  <c r="AF57" i="40"/>
  <c r="AE57" i="40"/>
  <c r="AD57" i="40"/>
  <c r="AC57" i="40"/>
  <c r="AB57" i="40"/>
  <c r="AA57" i="40"/>
  <c r="Z57" i="40"/>
  <c r="Y57" i="40"/>
  <c r="X57" i="40"/>
  <c r="W57" i="40"/>
  <c r="V57" i="40"/>
  <c r="AK56" i="40"/>
  <c r="AJ56" i="40"/>
  <c r="AI56" i="40"/>
  <c r="AH56" i="40"/>
  <c r="AG56" i="40"/>
  <c r="AF56" i="40"/>
  <c r="AE56" i="40"/>
  <c r="AD56" i="40"/>
  <c r="AC56" i="40"/>
  <c r="AB56" i="40"/>
  <c r="AA56" i="40"/>
  <c r="Z56" i="40"/>
  <c r="Y56" i="40"/>
  <c r="X56" i="40"/>
  <c r="W56" i="40"/>
  <c r="V56" i="40"/>
  <c r="AK55" i="40"/>
  <c r="AJ55" i="40"/>
  <c r="AI55" i="40"/>
  <c r="AH55" i="40"/>
  <c r="AG55" i="40"/>
  <c r="AF55" i="40"/>
  <c r="AE55" i="40"/>
  <c r="AD55" i="40"/>
  <c r="AC55" i="40"/>
  <c r="AB55" i="40"/>
  <c r="AA55" i="40"/>
  <c r="Z55" i="40"/>
  <c r="Y55" i="40"/>
  <c r="X55" i="40"/>
  <c r="W55" i="40"/>
  <c r="V55" i="40"/>
  <c r="AK54" i="40"/>
  <c r="AJ54" i="40"/>
  <c r="AI54" i="40"/>
  <c r="AH54" i="40"/>
  <c r="AG54" i="40"/>
  <c r="AF54" i="40"/>
  <c r="AE54" i="40"/>
  <c r="AD54" i="40"/>
  <c r="AC54" i="40"/>
  <c r="AB54" i="40"/>
  <c r="AA54" i="40"/>
  <c r="Z54" i="40"/>
  <c r="Y54" i="40"/>
  <c r="X54" i="40"/>
  <c r="W54" i="40"/>
  <c r="V54" i="40"/>
  <c r="AK53" i="40"/>
  <c r="AJ53" i="40"/>
  <c r="AI53" i="40"/>
  <c r="AH53" i="40"/>
  <c r="AG53" i="40"/>
  <c r="AF53" i="40"/>
  <c r="AE53" i="40"/>
  <c r="AD53" i="40"/>
  <c r="AC53" i="40"/>
  <c r="AB53" i="40"/>
  <c r="AA53" i="40"/>
  <c r="Z53" i="40"/>
  <c r="Y53" i="40"/>
  <c r="X53" i="40"/>
  <c r="W53" i="40"/>
  <c r="V53" i="40"/>
  <c r="AK52" i="40"/>
  <c r="AK103" i="40" s="1"/>
  <c r="AJ52" i="40"/>
  <c r="AJ103" i="40" s="1"/>
  <c r="AI52" i="40"/>
  <c r="AI103" i="40" s="1"/>
  <c r="AH52" i="40"/>
  <c r="AH103" i="40" s="1"/>
  <c r="AG52" i="40"/>
  <c r="AG103" i="40" s="1"/>
  <c r="AF52" i="40"/>
  <c r="AF103" i="40" s="1"/>
  <c r="AE52" i="40"/>
  <c r="AE103" i="40" s="1"/>
  <c r="AD52" i="40"/>
  <c r="AC52" i="40"/>
  <c r="AC103" i="40" s="1"/>
  <c r="AB52" i="40"/>
  <c r="AB103" i="40" s="1"/>
  <c r="AA52" i="40"/>
  <c r="AA103" i="40" s="1"/>
  <c r="Z52" i="40"/>
  <c r="Z103" i="40" s="1"/>
  <c r="Y52" i="40"/>
  <c r="Y103" i="40" s="1"/>
  <c r="X52" i="40"/>
  <c r="X103" i="40" s="1"/>
  <c r="W52" i="40"/>
  <c r="W103" i="40" s="1"/>
  <c r="V52" i="40"/>
  <c r="V103" i="40" s="1"/>
  <c r="AK51" i="40"/>
  <c r="AJ51" i="40"/>
  <c r="AI51" i="40"/>
  <c r="AH51" i="40"/>
  <c r="AG51" i="40"/>
  <c r="AF51" i="40"/>
  <c r="AE51" i="40"/>
  <c r="AD51" i="40"/>
  <c r="AC51" i="40"/>
  <c r="AB51" i="40"/>
  <c r="AA51" i="40"/>
  <c r="Z51" i="40"/>
  <c r="Y51" i="40"/>
  <c r="X51" i="40"/>
  <c r="W51" i="40"/>
  <c r="V51" i="40"/>
  <c r="AK50" i="40"/>
  <c r="AJ50" i="40"/>
  <c r="AI50" i="40"/>
  <c r="AH50" i="40"/>
  <c r="AG50" i="40"/>
  <c r="AF50" i="40"/>
  <c r="AE50" i="40"/>
  <c r="AD50" i="40"/>
  <c r="AC50" i="40"/>
  <c r="AB50" i="40"/>
  <c r="AA50" i="40"/>
  <c r="Z50" i="40"/>
  <c r="Y50" i="40"/>
  <c r="X50" i="40"/>
  <c r="W50" i="40"/>
  <c r="V50" i="40"/>
  <c r="AK49" i="40"/>
  <c r="AJ49" i="40"/>
  <c r="AI49" i="40"/>
  <c r="AH49" i="40"/>
  <c r="AG49" i="40"/>
  <c r="AF49" i="40"/>
  <c r="AE49" i="40"/>
  <c r="AD49" i="40"/>
  <c r="AC49" i="40"/>
  <c r="AB49" i="40"/>
  <c r="AA49" i="40"/>
  <c r="Z49" i="40"/>
  <c r="Y49" i="40"/>
  <c r="X49" i="40"/>
  <c r="W49" i="40"/>
  <c r="V49" i="40"/>
  <c r="AK48" i="40"/>
  <c r="AJ48" i="40"/>
  <c r="AI48" i="40"/>
  <c r="AH48" i="40"/>
  <c r="AG48" i="40"/>
  <c r="AF48" i="40"/>
  <c r="AE48" i="40"/>
  <c r="AD48" i="40"/>
  <c r="AC48" i="40"/>
  <c r="AB48" i="40"/>
  <c r="AA48" i="40"/>
  <c r="Z48" i="40"/>
  <c r="Y48" i="40"/>
  <c r="X48" i="40"/>
  <c r="W48" i="40"/>
  <c r="V48" i="40"/>
  <c r="AK47" i="40"/>
  <c r="AJ47" i="40"/>
  <c r="AI47" i="40"/>
  <c r="AH47" i="40"/>
  <c r="AG47" i="40"/>
  <c r="AF47" i="40"/>
  <c r="AE47" i="40"/>
  <c r="AD47" i="40"/>
  <c r="AC47" i="40"/>
  <c r="AB47" i="40"/>
  <c r="AA47" i="40"/>
  <c r="Z47" i="40"/>
  <c r="Y47" i="40"/>
  <c r="X47" i="40"/>
  <c r="W47" i="40"/>
  <c r="V47" i="40"/>
  <c r="AK46" i="40"/>
  <c r="AJ46" i="40"/>
  <c r="AI46" i="40"/>
  <c r="AH46" i="40"/>
  <c r="AG46" i="40"/>
  <c r="AF46" i="40"/>
  <c r="AE46" i="40"/>
  <c r="AD46" i="40"/>
  <c r="AC46" i="40"/>
  <c r="AB46" i="40"/>
  <c r="AA46" i="40"/>
  <c r="Z46" i="40"/>
  <c r="Y46" i="40"/>
  <c r="X46" i="40"/>
  <c r="W46" i="40"/>
  <c r="V46" i="40"/>
  <c r="AK45" i="40"/>
  <c r="AJ45" i="40"/>
  <c r="AI45" i="40"/>
  <c r="AH45" i="40"/>
  <c r="AG45" i="40"/>
  <c r="AF45" i="40"/>
  <c r="AE45" i="40"/>
  <c r="AD45" i="40"/>
  <c r="AC45" i="40"/>
  <c r="AB45" i="40"/>
  <c r="AA45" i="40"/>
  <c r="Z45" i="40"/>
  <c r="Y45" i="40"/>
  <c r="X45" i="40"/>
  <c r="W45" i="40"/>
  <c r="V45" i="40"/>
  <c r="AK44" i="40"/>
  <c r="AJ44" i="40"/>
  <c r="AI44" i="40"/>
  <c r="AH44" i="40"/>
  <c r="AG44" i="40"/>
  <c r="AF44" i="40"/>
  <c r="AE44" i="40"/>
  <c r="AD44" i="40"/>
  <c r="AC44" i="40"/>
  <c r="AB44" i="40"/>
  <c r="AA44" i="40"/>
  <c r="Z44" i="40"/>
  <c r="Y44" i="40"/>
  <c r="X44" i="40"/>
  <c r="W44" i="40"/>
  <c r="V44" i="40"/>
  <c r="AK43" i="40"/>
  <c r="AJ43" i="40"/>
  <c r="AI43" i="40"/>
  <c r="AH43" i="40"/>
  <c r="AG43" i="40"/>
  <c r="AF43" i="40"/>
  <c r="AE43" i="40"/>
  <c r="AD43" i="40"/>
  <c r="AC43" i="40"/>
  <c r="AB43" i="40"/>
  <c r="AA43" i="40"/>
  <c r="Z43" i="40"/>
  <c r="Y43" i="40"/>
  <c r="X43" i="40"/>
  <c r="W43" i="40"/>
  <c r="V43" i="40"/>
  <c r="AK42" i="40"/>
  <c r="AJ42" i="40"/>
  <c r="AI42" i="40"/>
  <c r="AH42" i="40"/>
  <c r="AG42" i="40"/>
  <c r="AF42" i="40"/>
  <c r="AE42" i="40"/>
  <c r="AD42" i="40"/>
  <c r="AC42" i="40"/>
  <c r="AB42" i="40"/>
  <c r="AA42" i="40"/>
  <c r="Z42" i="40"/>
  <c r="Y42" i="40"/>
  <c r="X42" i="40"/>
  <c r="W42" i="40"/>
  <c r="V42" i="40"/>
  <c r="AK41" i="40"/>
  <c r="AK91" i="40" s="1"/>
  <c r="AJ41" i="40"/>
  <c r="AJ91" i="40" s="1"/>
  <c r="AI41" i="40"/>
  <c r="AI91" i="40" s="1"/>
  <c r="AH41" i="40"/>
  <c r="AH91" i="40" s="1"/>
  <c r="AG41" i="40"/>
  <c r="AG91" i="40" s="1"/>
  <c r="AF41" i="40"/>
  <c r="AF91" i="40" s="1"/>
  <c r="AE41" i="40"/>
  <c r="AE91" i="40" s="1"/>
  <c r="AD41" i="40"/>
  <c r="AD91" i="40" s="1"/>
  <c r="AC41" i="40"/>
  <c r="AC91" i="40" s="1"/>
  <c r="AB41" i="40"/>
  <c r="AB91" i="40" s="1"/>
  <c r="AA41" i="40"/>
  <c r="AA91" i="40" s="1"/>
  <c r="Z41" i="40"/>
  <c r="Z91" i="40" s="1"/>
  <c r="Y41" i="40"/>
  <c r="Y91" i="40" s="1"/>
  <c r="X41" i="40"/>
  <c r="X91" i="40" s="1"/>
  <c r="W41" i="40"/>
  <c r="W91" i="40" s="1"/>
  <c r="V41" i="40"/>
  <c r="V91" i="40" s="1"/>
  <c r="AK40" i="40"/>
  <c r="AJ40" i="40"/>
  <c r="AI40" i="40"/>
  <c r="AH40" i="40"/>
  <c r="AG40" i="40"/>
  <c r="AF40" i="40"/>
  <c r="AE40" i="40"/>
  <c r="AD40" i="40"/>
  <c r="AC40" i="40"/>
  <c r="AB40" i="40"/>
  <c r="AA40" i="40"/>
  <c r="Z40" i="40"/>
  <c r="Y40" i="40"/>
  <c r="X40" i="40"/>
  <c r="W40" i="40"/>
  <c r="V40" i="40"/>
  <c r="AK39" i="40"/>
  <c r="AJ39" i="40"/>
  <c r="AI39" i="40"/>
  <c r="AH39" i="40"/>
  <c r="AG39" i="40"/>
  <c r="AF39" i="40"/>
  <c r="AE39" i="40"/>
  <c r="AD39" i="40"/>
  <c r="AC39" i="40"/>
  <c r="AB39" i="40"/>
  <c r="AA39" i="40"/>
  <c r="Z39" i="40"/>
  <c r="Y39" i="40"/>
  <c r="X39" i="40"/>
  <c r="W39" i="40"/>
  <c r="V39" i="40"/>
  <c r="AK38" i="40"/>
  <c r="AJ38" i="40"/>
  <c r="AI38" i="40"/>
  <c r="AH38" i="40"/>
  <c r="AG38" i="40"/>
  <c r="AF38" i="40"/>
  <c r="AE38" i="40"/>
  <c r="AD38" i="40"/>
  <c r="AC38" i="40"/>
  <c r="AB38" i="40"/>
  <c r="AA38" i="40"/>
  <c r="Z38" i="40"/>
  <c r="Y38" i="40"/>
  <c r="X38" i="40"/>
  <c r="W38" i="40"/>
  <c r="V38" i="40"/>
  <c r="AK37" i="40"/>
  <c r="AJ37" i="40"/>
  <c r="AI37" i="40"/>
  <c r="AH37" i="40"/>
  <c r="AG37" i="40"/>
  <c r="AF37" i="40"/>
  <c r="AE37" i="40"/>
  <c r="AD37" i="40"/>
  <c r="AC37" i="40"/>
  <c r="AB37" i="40"/>
  <c r="AA37" i="40"/>
  <c r="Z37" i="40"/>
  <c r="Y37" i="40"/>
  <c r="X37" i="40"/>
  <c r="W37" i="40"/>
  <c r="V37" i="40"/>
  <c r="AK36" i="40"/>
  <c r="AJ36" i="40"/>
  <c r="AI36" i="40"/>
  <c r="AH36" i="40"/>
  <c r="AG36" i="40"/>
  <c r="AF36" i="40"/>
  <c r="AE36" i="40"/>
  <c r="AD36" i="40"/>
  <c r="AC36" i="40"/>
  <c r="AB36" i="40"/>
  <c r="AA36" i="40"/>
  <c r="Z36" i="40"/>
  <c r="Y36" i="40"/>
  <c r="X36" i="40"/>
  <c r="W36" i="40"/>
  <c r="V36" i="40"/>
  <c r="AK35" i="40"/>
  <c r="AJ35" i="40"/>
  <c r="AI35" i="40"/>
  <c r="AH35" i="40"/>
  <c r="AG35" i="40"/>
  <c r="AF35" i="40"/>
  <c r="AE35" i="40"/>
  <c r="AD35" i="40"/>
  <c r="AC35" i="40"/>
  <c r="AB35" i="40"/>
  <c r="AA35" i="40"/>
  <c r="Z35" i="40"/>
  <c r="Y35" i="40"/>
  <c r="X35" i="40"/>
  <c r="W35" i="40"/>
  <c r="V35" i="40"/>
  <c r="AK34" i="40"/>
  <c r="AJ34" i="40"/>
  <c r="AI34" i="40"/>
  <c r="AH34" i="40"/>
  <c r="AG34" i="40"/>
  <c r="AF34" i="40"/>
  <c r="AE34" i="40"/>
  <c r="AD34" i="40"/>
  <c r="AC34" i="40"/>
  <c r="AB34" i="40"/>
  <c r="AA34" i="40"/>
  <c r="Z34" i="40"/>
  <c r="Y34" i="40"/>
  <c r="X34" i="40"/>
  <c r="W34" i="40"/>
  <c r="V34" i="40"/>
  <c r="AK33" i="40"/>
  <c r="AJ33" i="40"/>
  <c r="AI33" i="40"/>
  <c r="AH33" i="40"/>
  <c r="AG33" i="40"/>
  <c r="AF33" i="40"/>
  <c r="AE33" i="40"/>
  <c r="AD33" i="40"/>
  <c r="AC33" i="40"/>
  <c r="AB33" i="40"/>
  <c r="AA33" i="40"/>
  <c r="Z33" i="40"/>
  <c r="Y33" i="40"/>
  <c r="X33" i="40"/>
  <c r="W33" i="40"/>
  <c r="V33" i="40"/>
  <c r="AK32" i="40"/>
  <c r="AJ32" i="40"/>
  <c r="AI32" i="40"/>
  <c r="AH32" i="40"/>
  <c r="AG32" i="40"/>
  <c r="AF32" i="40"/>
  <c r="AE32" i="40"/>
  <c r="AD32" i="40"/>
  <c r="AC32" i="40"/>
  <c r="AB32" i="40"/>
  <c r="AA32" i="40"/>
  <c r="Z32" i="40"/>
  <c r="Y32" i="40"/>
  <c r="X32" i="40"/>
  <c r="W32" i="40"/>
  <c r="V32" i="40"/>
  <c r="AK31" i="40"/>
  <c r="AJ31" i="40"/>
  <c r="AI31" i="40"/>
  <c r="AH31" i="40"/>
  <c r="AG31" i="40"/>
  <c r="AF31" i="40"/>
  <c r="AE31" i="40"/>
  <c r="AD31" i="40"/>
  <c r="AC31" i="40"/>
  <c r="AB31" i="40"/>
  <c r="AA31" i="40"/>
  <c r="Z31" i="40"/>
  <c r="Y31" i="40"/>
  <c r="X31" i="40"/>
  <c r="W31" i="40"/>
  <c r="V31" i="40"/>
  <c r="AK30" i="40"/>
  <c r="AK90" i="40" s="1"/>
  <c r="AJ30" i="40"/>
  <c r="AJ90" i="40" s="1"/>
  <c r="AI30" i="40"/>
  <c r="AI90" i="40" s="1"/>
  <c r="AH30" i="40"/>
  <c r="AH90" i="40" s="1"/>
  <c r="AG30" i="40"/>
  <c r="AG90" i="40" s="1"/>
  <c r="AF30" i="40"/>
  <c r="AF90" i="40" s="1"/>
  <c r="AE30" i="40"/>
  <c r="AE90" i="40" s="1"/>
  <c r="AD30" i="40"/>
  <c r="AD90" i="40" s="1"/>
  <c r="AC30" i="40"/>
  <c r="AC90" i="40" s="1"/>
  <c r="AB30" i="40"/>
  <c r="AB90" i="40" s="1"/>
  <c r="AA30" i="40"/>
  <c r="AA90" i="40" s="1"/>
  <c r="Z30" i="40"/>
  <c r="Z90" i="40" s="1"/>
  <c r="Y30" i="40"/>
  <c r="Y90" i="40" s="1"/>
  <c r="X30" i="40"/>
  <c r="X90" i="40" s="1"/>
  <c r="W30" i="40"/>
  <c r="W90" i="40" s="1"/>
  <c r="V30" i="40"/>
  <c r="V90" i="40" s="1"/>
  <c r="AK29" i="40"/>
  <c r="AJ29" i="40"/>
  <c r="AI29" i="40"/>
  <c r="AH29" i="40"/>
  <c r="AG29" i="40"/>
  <c r="AF29" i="40"/>
  <c r="AE29" i="40"/>
  <c r="AD29" i="40"/>
  <c r="AC29" i="40"/>
  <c r="AB29" i="40"/>
  <c r="AA29" i="40"/>
  <c r="Z29" i="40"/>
  <c r="Y29" i="40"/>
  <c r="X29" i="40"/>
  <c r="W29" i="40"/>
  <c r="V29" i="40"/>
  <c r="AK28" i="40"/>
  <c r="AJ28" i="40"/>
  <c r="AI28" i="40"/>
  <c r="AH28" i="40"/>
  <c r="AG28" i="40"/>
  <c r="AF28" i="40"/>
  <c r="AE28" i="40"/>
  <c r="AD28" i="40"/>
  <c r="AC28" i="40"/>
  <c r="AB28" i="40"/>
  <c r="AA28" i="40"/>
  <c r="Z28" i="40"/>
  <c r="Y28" i="40"/>
  <c r="X28" i="40"/>
  <c r="W28" i="40"/>
  <c r="V28" i="40"/>
  <c r="AK27" i="40"/>
  <c r="AJ27" i="40"/>
  <c r="AI27" i="40"/>
  <c r="AH27" i="40"/>
  <c r="AG27" i="40"/>
  <c r="AF27" i="40"/>
  <c r="AE27" i="40"/>
  <c r="AD27" i="40"/>
  <c r="AC27" i="40"/>
  <c r="AB27" i="40"/>
  <c r="AA27" i="40"/>
  <c r="Z27" i="40"/>
  <c r="Y27" i="40"/>
  <c r="X27" i="40"/>
  <c r="W27" i="40"/>
  <c r="V27" i="40"/>
  <c r="AK26" i="40"/>
  <c r="AJ26" i="40"/>
  <c r="AI26" i="40"/>
  <c r="AH26" i="40"/>
  <c r="AG26" i="40"/>
  <c r="AF26" i="40"/>
  <c r="AE26" i="40"/>
  <c r="AD26" i="40"/>
  <c r="AC26" i="40"/>
  <c r="AB26" i="40"/>
  <c r="AA26" i="40"/>
  <c r="Z26" i="40"/>
  <c r="Y26" i="40"/>
  <c r="X26" i="40"/>
  <c r="W26" i="40"/>
  <c r="V26" i="40"/>
  <c r="AK25" i="40"/>
  <c r="AJ25" i="40"/>
  <c r="AI25" i="40"/>
  <c r="AH25" i="40"/>
  <c r="AG25" i="40"/>
  <c r="AF25" i="40"/>
  <c r="AE25" i="40"/>
  <c r="AD25" i="40"/>
  <c r="AC25" i="40"/>
  <c r="AB25" i="40"/>
  <c r="AA25" i="40"/>
  <c r="Z25" i="40"/>
  <c r="Y25" i="40"/>
  <c r="X25" i="40"/>
  <c r="W25" i="40"/>
  <c r="V25" i="40"/>
  <c r="AK24" i="40"/>
  <c r="AJ24" i="40"/>
  <c r="AI24" i="40"/>
  <c r="AH24" i="40"/>
  <c r="AG24" i="40"/>
  <c r="AF24" i="40"/>
  <c r="AE24" i="40"/>
  <c r="AD24" i="40"/>
  <c r="AC24" i="40"/>
  <c r="AB24" i="40"/>
  <c r="AA24" i="40"/>
  <c r="Z24" i="40"/>
  <c r="Y24" i="40"/>
  <c r="X24" i="40"/>
  <c r="W24" i="40"/>
  <c r="V24" i="40"/>
  <c r="AK23" i="40"/>
  <c r="AJ23" i="40"/>
  <c r="AI23" i="40"/>
  <c r="AH23" i="40"/>
  <c r="AG23" i="40"/>
  <c r="AF23" i="40"/>
  <c r="AE23" i="40"/>
  <c r="AD23" i="40"/>
  <c r="AC23" i="40"/>
  <c r="AB23" i="40"/>
  <c r="AA23" i="40"/>
  <c r="Z23" i="40"/>
  <c r="Y23" i="40"/>
  <c r="X23" i="40"/>
  <c r="W23" i="40"/>
  <c r="V23" i="40"/>
  <c r="AK22" i="40"/>
  <c r="AJ22" i="40"/>
  <c r="AI22" i="40"/>
  <c r="AH22" i="40"/>
  <c r="AG22" i="40"/>
  <c r="AF22" i="40"/>
  <c r="AE22" i="40"/>
  <c r="AD22" i="40"/>
  <c r="AC22" i="40"/>
  <c r="AB22" i="40"/>
  <c r="AA22" i="40"/>
  <c r="Z22" i="40"/>
  <c r="Y22" i="40"/>
  <c r="X22" i="40"/>
  <c r="W22" i="40"/>
  <c r="V22" i="40"/>
  <c r="AK21" i="40"/>
  <c r="AK89" i="40" s="1"/>
  <c r="AJ21" i="40"/>
  <c r="AJ89" i="40" s="1"/>
  <c r="AI21" i="40"/>
  <c r="AI89" i="40" s="1"/>
  <c r="AH21" i="40"/>
  <c r="AH89" i="40" s="1"/>
  <c r="AG21" i="40"/>
  <c r="AG89" i="40" s="1"/>
  <c r="AF21" i="40"/>
  <c r="AF89" i="40" s="1"/>
  <c r="AE21" i="40"/>
  <c r="AE89" i="40" s="1"/>
  <c r="AD21" i="40"/>
  <c r="AD89" i="40" s="1"/>
  <c r="AC21" i="40"/>
  <c r="AC89" i="40" s="1"/>
  <c r="AB21" i="40"/>
  <c r="AB89" i="40" s="1"/>
  <c r="AA21" i="40"/>
  <c r="AA89" i="40" s="1"/>
  <c r="Z21" i="40"/>
  <c r="Z89" i="40" s="1"/>
  <c r="Y21" i="40"/>
  <c r="Y89" i="40" s="1"/>
  <c r="X21" i="40"/>
  <c r="X89" i="40" s="1"/>
  <c r="W21" i="40"/>
  <c r="W89" i="40" s="1"/>
  <c r="V21" i="40"/>
  <c r="V89" i="40" s="1"/>
  <c r="AK20" i="40"/>
  <c r="AJ20" i="40"/>
  <c r="AI20" i="40"/>
  <c r="AH20" i="40"/>
  <c r="AG20" i="40"/>
  <c r="AF20" i="40"/>
  <c r="AE20" i="40"/>
  <c r="AD20" i="40"/>
  <c r="AC20" i="40"/>
  <c r="AB20" i="40"/>
  <c r="AA20" i="40"/>
  <c r="Z20" i="40"/>
  <c r="Y20" i="40"/>
  <c r="X20" i="40"/>
  <c r="W20" i="40"/>
  <c r="V20" i="40"/>
  <c r="AK19" i="40"/>
  <c r="AJ19" i="40"/>
  <c r="AI19" i="40"/>
  <c r="AH19" i="40"/>
  <c r="AG19" i="40"/>
  <c r="AF19" i="40"/>
  <c r="AE19" i="40"/>
  <c r="AD19" i="40"/>
  <c r="AC19" i="40"/>
  <c r="AB19" i="40"/>
  <c r="AA19" i="40"/>
  <c r="Z19" i="40"/>
  <c r="Y19" i="40"/>
  <c r="X19" i="40"/>
  <c r="W19" i="40"/>
  <c r="V19" i="40"/>
  <c r="AK18" i="40"/>
  <c r="AJ18" i="40"/>
  <c r="AI18" i="40"/>
  <c r="AH18" i="40"/>
  <c r="AG18" i="40"/>
  <c r="AF18" i="40"/>
  <c r="AE18" i="40"/>
  <c r="AD18" i="40"/>
  <c r="AC18" i="40"/>
  <c r="AB18" i="40"/>
  <c r="AA18" i="40"/>
  <c r="Z18" i="40"/>
  <c r="Y18" i="40"/>
  <c r="X18" i="40"/>
  <c r="W18" i="40"/>
  <c r="V18" i="40"/>
  <c r="AK17" i="40"/>
  <c r="AJ17" i="40"/>
  <c r="AI17" i="40"/>
  <c r="AH17" i="40"/>
  <c r="AG17" i="40"/>
  <c r="AF17" i="40"/>
  <c r="AE17" i="40"/>
  <c r="AD17" i="40"/>
  <c r="AC17" i="40"/>
  <c r="AB17" i="40"/>
  <c r="AA17" i="40"/>
  <c r="Z17" i="40"/>
  <c r="Y17" i="40"/>
  <c r="X17" i="40"/>
  <c r="W17" i="40"/>
  <c r="V17" i="40"/>
  <c r="AK16" i="40"/>
  <c r="AJ16" i="40"/>
  <c r="AI16" i="40"/>
  <c r="AH16" i="40"/>
  <c r="AG16" i="40"/>
  <c r="AF16" i="40"/>
  <c r="AE16" i="40"/>
  <c r="AD16" i="40"/>
  <c r="AC16" i="40"/>
  <c r="AB16" i="40"/>
  <c r="AA16" i="40"/>
  <c r="Z16" i="40"/>
  <c r="Y16" i="40"/>
  <c r="X16" i="40"/>
  <c r="W16" i="40"/>
  <c r="V16" i="40"/>
  <c r="AK15" i="40"/>
  <c r="AJ15" i="40"/>
  <c r="AI15" i="40"/>
  <c r="AH15" i="40"/>
  <c r="AG15" i="40"/>
  <c r="AF15" i="40"/>
  <c r="AE15" i="40"/>
  <c r="AD15" i="40"/>
  <c r="AC15" i="40"/>
  <c r="AB15" i="40"/>
  <c r="AA15" i="40"/>
  <c r="Z15" i="40"/>
  <c r="Y15" i="40"/>
  <c r="X15" i="40"/>
  <c r="W15" i="40"/>
  <c r="V15" i="40"/>
  <c r="AK14" i="40"/>
  <c r="AJ14" i="40"/>
  <c r="AI14" i="40"/>
  <c r="AH14" i="40"/>
  <c r="AG14" i="40"/>
  <c r="AF14" i="40"/>
  <c r="AE14" i="40"/>
  <c r="AD14" i="40"/>
  <c r="AC14" i="40"/>
  <c r="AB14" i="40"/>
  <c r="AA14" i="40"/>
  <c r="Z14" i="40"/>
  <c r="Y14" i="40"/>
  <c r="X14" i="40"/>
  <c r="W14" i="40"/>
  <c r="V14" i="40"/>
  <c r="AK13" i="40"/>
  <c r="AJ13" i="40"/>
  <c r="AI13" i="40"/>
  <c r="AH13" i="40"/>
  <c r="AG13" i="40"/>
  <c r="AF13" i="40"/>
  <c r="AE13" i="40"/>
  <c r="AD13" i="40"/>
  <c r="AC13" i="40"/>
  <c r="AB13" i="40"/>
  <c r="AA13" i="40"/>
  <c r="Z13" i="40"/>
  <c r="Y13" i="40"/>
  <c r="X13" i="40"/>
  <c r="W13" i="40"/>
  <c r="V13" i="40"/>
  <c r="AK12" i="40"/>
  <c r="AK101" i="40" s="1"/>
  <c r="AJ12" i="40"/>
  <c r="AI12" i="40"/>
  <c r="AH12" i="40"/>
  <c r="AH101" i="40" s="1"/>
  <c r="AG12" i="40"/>
  <c r="AG101" i="40" s="1"/>
  <c r="AF12" i="40"/>
  <c r="AE12" i="40"/>
  <c r="AD12" i="40"/>
  <c r="AD101" i="40" s="1"/>
  <c r="AC12" i="40"/>
  <c r="AC101" i="40" s="1"/>
  <c r="AB12" i="40"/>
  <c r="AA12" i="40"/>
  <c r="Z12" i="40"/>
  <c r="Z101" i="40" s="1"/>
  <c r="Y12" i="40"/>
  <c r="Y101" i="40" s="1"/>
  <c r="X12" i="40"/>
  <c r="W12" i="40"/>
  <c r="V12" i="40"/>
  <c r="V101" i="40" s="1"/>
  <c r="AK11" i="40"/>
  <c r="AJ11" i="40"/>
  <c r="AI11" i="40"/>
  <c r="AH11" i="40"/>
  <c r="AG11" i="40"/>
  <c r="AF11" i="40"/>
  <c r="AE11" i="40"/>
  <c r="AD11" i="40"/>
  <c r="AC11" i="40"/>
  <c r="AB11" i="40"/>
  <c r="AA11" i="40"/>
  <c r="Z11" i="40"/>
  <c r="Y11" i="40"/>
  <c r="X11" i="40"/>
  <c r="W11" i="40"/>
  <c r="V11" i="40"/>
  <c r="AK10" i="40"/>
  <c r="AJ10" i="40"/>
  <c r="AI10" i="40"/>
  <c r="AH10" i="40"/>
  <c r="AG10" i="40"/>
  <c r="AF10" i="40"/>
  <c r="AE10" i="40"/>
  <c r="AD10" i="40"/>
  <c r="AC10" i="40"/>
  <c r="AB10" i="40"/>
  <c r="AA10" i="40"/>
  <c r="Z10" i="40"/>
  <c r="Y10" i="40"/>
  <c r="X10" i="40"/>
  <c r="W10" i="40"/>
  <c r="V10" i="40"/>
  <c r="AK9" i="40"/>
  <c r="AJ9" i="40"/>
  <c r="AI9" i="40"/>
  <c r="AH9" i="40"/>
  <c r="AG9" i="40"/>
  <c r="AF9" i="40"/>
  <c r="AE9" i="40"/>
  <c r="AD9" i="40"/>
  <c r="AC9" i="40"/>
  <c r="AB9" i="40"/>
  <c r="AA9" i="40"/>
  <c r="Z9" i="40"/>
  <c r="Y9" i="40"/>
  <c r="X9" i="40"/>
  <c r="W9" i="40"/>
  <c r="V9" i="40"/>
  <c r="AK8" i="40"/>
  <c r="AJ8" i="40"/>
  <c r="AI8" i="40"/>
  <c r="AH8" i="40"/>
  <c r="AG8" i="40"/>
  <c r="AF8" i="40"/>
  <c r="AE8" i="40"/>
  <c r="AD8" i="40"/>
  <c r="AC8" i="40"/>
  <c r="AB8" i="40"/>
  <c r="AA8" i="40"/>
  <c r="Z8" i="40"/>
  <c r="Y8" i="40"/>
  <c r="X8" i="40"/>
  <c r="W8" i="40"/>
  <c r="V8" i="40"/>
  <c r="AK7" i="40"/>
  <c r="AJ7" i="40"/>
  <c r="AI7" i="40"/>
  <c r="AH7" i="40"/>
  <c r="AG7" i="40"/>
  <c r="AF7" i="40"/>
  <c r="AE7" i="40"/>
  <c r="AD7" i="40"/>
  <c r="AC7" i="40"/>
  <c r="AB7" i="40"/>
  <c r="AA7" i="40"/>
  <c r="Z7" i="40"/>
  <c r="Y7" i="40"/>
  <c r="X7" i="40"/>
  <c r="W7" i="40"/>
  <c r="V7" i="40"/>
  <c r="AK6" i="40"/>
  <c r="AJ6" i="40"/>
  <c r="AI6" i="40"/>
  <c r="AH6" i="40"/>
  <c r="AG6" i="40"/>
  <c r="AF6" i="40"/>
  <c r="AE6" i="40"/>
  <c r="AD6" i="40"/>
  <c r="AC6" i="40"/>
  <c r="AB6" i="40"/>
  <c r="AA6" i="40"/>
  <c r="Z6" i="40"/>
  <c r="Y6" i="40"/>
  <c r="X6" i="40"/>
  <c r="W6" i="40"/>
  <c r="V6" i="40"/>
  <c r="AK5" i="40"/>
  <c r="AJ5" i="40"/>
  <c r="AI5" i="40"/>
  <c r="AH5" i="40"/>
  <c r="AG5" i="40"/>
  <c r="AF5" i="40"/>
  <c r="AE5" i="40"/>
  <c r="AD5" i="40"/>
  <c r="AC5" i="40"/>
  <c r="AB5" i="40"/>
  <c r="AA5" i="40"/>
  <c r="Z5" i="40"/>
  <c r="Y5" i="40"/>
  <c r="X5" i="40"/>
  <c r="W5" i="40"/>
  <c r="V5" i="40"/>
  <c r="AK4" i="40"/>
  <c r="AJ4" i="40"/>
  <c r="AI4" i="40"/>
  <c r="AH4" i="40"/>
  <c r="AG4" i="40"/>
  <c r="AF4" i="40"/>
  <c r="AE4" i="40"/>
  <c r="AD4" i="40"/>
  <c r="AC4" i="40"/>
  <c r="AB4" i="40"/>
  <c r="AA4" i="40"/>
  <c r="Z4" i="40"/>
  <c r="Y4" i="40"/>
  <c r="X4" i="40"/>
  <c r="W4" i="40"/>
  <c r="V4" i="40"/>
  <c r="AK3" i="40"/>
  <c r="AK99" i="40" s="1"/>
  <c r="AJ3" i="40"/>
  <c r="AI3" i="40"/>
  <c r="AH3" i="40"/>
  <c r="AH99" i="40" s="1"/>
  <c r="AG3" i="40"/>
  <c r="AG99" i="40" s="1"/>
  <c r="AF3" i="40"/>
  <c r="AE3" i="40"/>
  <c r="AD3" i="40"/>
  <c r="AD99" i="40" s="1"/>
  <c r="AC3" i="40"/>
  <c r="AC99" i="40" s="1"/>
  <c r="AB3" i="40"/>
  <c r="AA3" i="40"/>
  <c r="Z3" i="40"/>
  <c r="Z99" i="40" s="1"/>
  <c r="Y3" i="40"/>
  <c r="Y99" i="40" s="1"/>
  <c r="X3" i="40"/>
  <c r="W3" i="40"/>
  <c r="V3" i="40"/>
  <c r="V99" i="40" s="1"/>
  <c r="AK96" i="39"/>
  <c r="G96" i="39"/>
  <c r="F96" i="39"/>
  <c r="D96" i="39"/>
  <c r="C96" i="39"/>
  <c r="G95" i="39"/>
  <c r="F95" i="39"/>
  <c r="D95" i="39"/>
  <c r="C95" i="39"/>
  <c r="G94" i="39"/>
  <c r="F94" i="39"/>
  <c r="D94" i="39"/>
  <c r="C94" i="39"/>
  <c r="G93" i="39"/>
  <c r="F93" i="39"/>
  <c r="D93" i="39"/>
  <c r="C93" i="39"/>
  <c r="G92" i="39"/>
  <c r="F92" i="39"/>
  <c r="D92" i="39"/>
  <c r="C92" i="39"/>
  <c r="G91" i="39"/>
  <c r="F91" i="39"/>
  <c r="D91" i="39"/>
  <c r="C91" i="39"/>
  <c r="G90" i="39"/>
  <c r="F90" i="39"/>
  <c r="D90" i="39"/>
  <c r="C90" i="39"/>
  <c r="G89" i="39"/>
  <c r="F89" i="39"/>
  <c r="D89" i="39"/>
  <c r="C89" i="39"/>
  <c r="G88" i="39"/>
  <c r="F88" i="39"/>
  <c r="D88" i="39"/>
  <c r="C88" i="39"/>
  <c r="G87" i="39"/>
  <c r="F87" i="39"/>
  <c r="D87" i="39"/>
  <c r="C87" i="39"/>
  <c r="AK85" i="39"/>
  <c r="AJ85" i="39"/>
  <c r="AI85" i="39"/>
  <c r="AH85" i="39"/>
  <c r="AG85" i="39"/>
  <c r="AF85" i="39"/>
  <c r="AE85" i="39"/>
  <c r="AD85" i="39"/>
  <c r="AC85" i="39"/>
  <c r="AB85" i="39"/>
  <c r="AA85" i="39"/>
  <c r="Z85" i="39"/>
  <c r="Y85" i="39"/>
  <c r="X85" i="39"/>
  <c r="W85" i="39"/>
  <c r="V85" i="39"/>
  <c r="AK84" i="39"/>
  <c r="AJ84" i="39"/>
  <c r="AI84" i="39"/>
  <c r="AH84" i="39"/>
  <c r="AG84" i="39"/>
  <c r="AF84" i="39"/>
  <c r="AE84" i="39"/>
  <c r="AD84" i="39"/>
  <c r="AC84" i="39"/>
  <c r="AB84" i="39"/>
  <c r="AA84" i="39"/>
  <c r="Z84" i="39"/>
  <c r="Y84" i="39"/>
  <c r="X84" i="39"/>
  <c r="W84" i="39"/>
  <c r="V84" i="39"/>
  <c r="AK83" i="39"/>
  <c r="AJ83" i="39"/>
  <c r="AI83" i="39"/>
  <c r="AH83" i="39"/>
  <c r="AG83" i="39"/>
  <c r="AF83" i="39"/>
  <c r="AE83" i="39"/>
  <c r="AD83" i="39"/>
  <c r="AC83" i="39"/>
  <c r="AB83" i="39"/>
  <c r="AA83" i="39"/>
  <c r="Z83" i="39"/>
  <c r="Y83" i="39"/>
  <c r="X83" i="39"/>
  <c r="W83" i="39"/>
  <c r="V83" i="39"/>
  <c r="AK82" i="39"/>
  <c r="AJ82" i="39"/>
  <c r="AI82" i="39"/>
  <c r="AH82" i="39"/>
  <c r="AG82" i="39"/>
  <c r="AF82" i="39"/>
  <c r="AE82" i="39"/>
  <c r="AD82" i="39"/>
  <c r="AC82" i="39"/>
  <c r="AB82" i="39"/>
  <c r="AA82" i="39"/>
  <c r="Z82" i="39"/>
  <c r="Y82" i="39"/>
  <c r="X82" i="39"/>
  <c r="W82" i="39"/>
  <c r="V82" i="39"/>
  <c r="AK81" i="39"/>
  <c r="AJ81" i="39"/>
  <c r="AI81" i="39"/>
  <c r="AH81" i="39"/>
  <c r="AG81" i="39"/>
  <c r="AF81" i="39"/>
  <c r="AE81" i="39"/>
  <c r="AD81" i="39"/>
  <c r="AC81" i="39"/>
  <c r="AB81" i="39"/>
  <c r="AA81" i="39"/>
  <c r="Z81" i="39"/>
  <c r="Y81" i="39"/>
  <c r="X81" i="39"/>
  <c r="W81" i="39"/>
  <c r="V81" i="39"/>
  <c r="AK80" i="39"/>
  <c r="AJ80" i="39"/>
  <c r="AI80" i="39"/>
  <c r="AH80" i="39"/>
  <c r="AG80" i="39"/>
  <c r="AF80" i="39"/>
  <c r="AE80" i="39"/>
  <c r="AD80" i="39"/>
  <c r="AC80" i="39"/>
  <c r="AB80" i="39"/>
  <c r="AA80" i="39"/>
  <c r="Z80" i="39"/>
  <c r="Y80" i="39"/>
  <c r="X80" i="39"/>
  <c r="W80" i="39"/>
  <c r="V80" i="39"/>
  <c r="AK79" i="39"/>
  <c r="AJ79" i="39"/>
  <c r="AI79" i="39"/>
  <c r="AH79" i="39"/>
  <c r="AG79" i="39"/>
  <c r="AF79" i="39"/>
  <c r="AE79" i="39"/>
  <c r="AD79" i="39"/>
  <c r="AC79" i="39"/>
  <c r="AB79" i="39"/>
  <c r="AA79" i="39"/>
  <c r="Z79" i="39"/>
  <c r="Y79" i="39"/>
  <c r="X79" i="39"/>
  <c r="W79" i="39"/>
  <c r="V79" i="39"/>
  <c r="AK78" i="39"/>
  <c r="AJ78" i="39"/>
  <c r="AJ96" i="39" s="1"/>
  <c r="AI78" i="39"/>
  <c r="AI96" i="39" s="1"/>
  <c r="AH78" i="39"/>
  <c r="AH96" i="39" s="1"/>
  <c r="AG78" i="39"/>
  <c r="AG96" i="39" s="1"/>
  <c r="AF78" i="39"/>
  <c r="AF96" i="39" s="1"/>
  <c r="AE78" i="39"/>
  <c r="AE96" i="39" s="1"/>
  <c r="AD78" i="39"/>
  <c r="AD96" i="39" s="1"/>
  <c r="AC78" i="39"/>
  <c r="AC96" i="39" s="1"/>
  <c r="AB78" i="39"/>
  <c r="AB96" i="39" s="1"/>
  <c r="AA78" i="39"/>
  <c r="AA96" i="39" s="1"/>
  <c r="Z78" i="39"/>
  <c r="Z96" i="39" s="1"/>
  <c r="Y78" i="39"/>
  <c r="Y96" i="39" s="1"/>
  <c r="X78" i="39"/>
  <c r="X96" i="39" s="1"/>
  <c r="W78" i="39"/>
  <c r="W96" i="39" s="1"/>
  <c r="V78" i="39"/>
  <c r="V96" i="39" s="1"/>
  <c r="AK77" i="39"/>
  <c r="AJ77" i="39"/>
  <c r="AI77" i="39"/>
  <c r="AH77" i="39"/>
  <c r="AG77" i="39"/>
  <c r="AF77" i="39"/>
  <c r="AE77" i="39"/>
  <c r="AD77" i="39"/>
  <c r="AC77" i="39"/>
  <c r="AB77" i="39"/>
  <c r="AA77" i="39"/>
  <c r="Z77" i="39"/>
  <c r="Y77" i="39"/>
  <c r="X77" i="39"/>
  <c r="W77" i="39"/>
  <c r="V77" i="39"/>
  <c r="AK76" i="39"/>
  <c r="AJ76" i="39"/>
  <c r="AI76" i="39"/>
  <c r="AH76" i="39"/>
  <c r="AG76" i="39"/>
  <c r="AF76" i="39"/>
  <c r="AE76" i="39"/>
  <c r="AD76" i="39"/>
  <c r="AC76" i="39"/>
  <c r="AB76" i="39"/>
  <c r="AA76" i="39"/>
  <c r="Z76" i="39"/>
  <c r="Y76" i="39"/>
  <c r="X76" i="39"/>
  <c r="W76" i="39"/>
  <c r="V76" i="39"/>
  <c r="AK75" i="39"/>
  <c r="AJ75" i="39"/>
  <c r="AI75" i="39"/>
  <c r="AH75" i="39"/>
  <c r="AG75" i="39"/>
  <c r="AF75" i="39"/>
  <c r="AE75" i="39"/>
  <c r="AD75" i="39"/>
  <c r="AC75" i="39"/>
  <c r="AB75" i="39"/>
  <c r="AA75" i="39"/>
  <c r="Z75" i="39"/>
  <c r="Y75" i="39"/>
  <c r="X75" i="39"/>
  <c r="W75" i="39"/>
  <c r="V75" i="39"/>
  <c r="AK74" i="39"/>
  <c r="AJ74" i="39"/>
  <c r="AI74" i="39"/>
  <c r="AH74" i="39"/>
  <c r="AG74" i="39"/>
  <c r="AF74" i="39"/>
  <c r="AE74" i="39"/>
  <c r="AD74" i="39"/>
  <c r="AC74" i="39"/>
  <c r="AB74" i="39"/>
  <c r="AA74" i="39"/>
  <c r="Z74" i="39"/>
  <c r="Y74" i="39"/>
  <c r="X74" i="39"/>
  <c r="W74" i="39"/>
  <c r="V74" i="39"/>
  <c r="AK73" i="39"/>
  <c r="AJ73" i="39"/>
  <c r="AI73" i="39"/>
  <c r="AH73" i="39"/>
  <c r="AG73" i="39"/>
  <c r="AF73" i="39"/>
  <c r="AE73" i="39"/>
  <c r="AD73" i="39"/>
  <c r="AC73" i="39"/>
  <c r="AB73" i="39"/>
  <c r="AA73" i="39"/>
  <c r="Z73" i="39"/>
  <c r="Y73" i="39"/>
  <c r="X73" i="39"/>
  <c r="W73" i="39"/>
  <c r="V73" i="39"/>
  <c r="AK72" i="39"/>
  <c r="AJ72" i="39"/>
  <c r="AI72" i="39"/>
  <c r="AH72" i="39"/>
  <c r="AG72" i="39"/>
  <c r="AF72" i="39"/>
  <c r="AE72" i="39"/>
  <c r="AD72" i="39"/>
  <c r="AC72" i="39"/>
  <c r="AB72" i="39"/>
  <c r="AA72" i="39"/>
  <c r="Z72" i="39"/>
  <c r="Y72" i="39"/>
  <c r="X72" i="39"/>
  <c r="W72" i="39"/>
  <c r="V72" i="39"/>
  <c r="AK71" i="39"/>
  <c r="AJ71" i="39"/>
  <c r="AI71" i="39"/>
  <c r="AH71" i="39"/>
  <c r="AG71" i="39"/>
  <c r="AF71" i="39"/>
  <c r="AE71" i="39"/>
  <c r="AD71" i="39"/>
  <c r="AC71" i="39"/>
  <c r="AB71" i="39"/>
  <c r="AA71" i="39"/>
  <c r="Z71" i="39"/>
  <c r="Y71" i="39"/>
  <c r="X71" i="39"/>
  <c r="W71" i="39"/>
  <c r="V71" i="39"/>
  <c r="AK70" i="39"/>
  <c r="AK95" i="39" s="1"/>
  <c r="AJ70" i="39"/>
  <c r="AJ95" i="39" s="1"/>
  <c r="AI70" i="39"/>
  <c r="AI95" i="39" s="1"/>
  <c r="AH70" i="39"/>
  <c r="AH95" i="39" s="1"/>
  <c r="AG70" i="39"/>
  <c r="AG95" i="39" s="1"/>
  <c r="AF70" i="39"/>
  <c r="AF95" i="39" s="1"/>
  <c r="AE70" i="39"/>
  <c r="AE95" i="39" s="1"/>
  <c r="AD70" i="39"/>
  <c r="AD95" i="39" s="1"/>
  <c r="AC70" i="39"/>
  <c r="AC95" i="39" s="1"/>
  <c r="AB70" i="39"/>
  <c r="AB95" i="39" s="1"/>
  <c r="AA70" i="39"/>
  <c r="AA95" i="39" s="1"/>
  <c r="Z70" i="39"/>
  <c r="Z95" i="39" s="1"/>
  <c r="Y70" i="39"/>
  <c r="Y95" i="39" s="1"/>
  <c r="X70" i="39"/>
  <c r="X95" i="39" s="1"/>
  <c r="W70" i="39"/>
  <c r="W95" i="39" s="1"/>
  <c r="V70" i="39"/>
  <c r="V95" i="39" s="1"/>
  <c r="AK69" i="39"/>
  <c r="AJ69" i="39"/>
  <c r="AI69" i="39"/>
  <c r="AH69" i="39"/>
  <c r="AG69" i="39"/>
  <c r="AF69" i="39"/>
  <c r="AE69" i="39"/>
  <c r="AD69" i="39"/>
  <c r="AC69" i="39"/>
  <c r="AB69" i="39"/>
  <c r="AA69" i="39"/>
  <c r="Z69" i="39"/>
  <c r="Y69" i="39"/>
  <c r="X69" i="39"/>
  <c r="W69" i="39"/>
  <c r="V69" i="39"/>
  <c r="AK68" i="39"/>
  <c r="AJ68" i="39"/>
  <c r="AI68" i="39"/>
  <c r="AH68" i="39"/>
  <c r="AG68" i="39"/>
  <c r="AF68" i="39"/>
  <c r="AE68" i="39"/>
  <c r="AD68" i="39"/>
  <c r="AC68" i="39"/>
  <c r="AB68" i="39"/>
  <c r="AA68" i="39"/>
  <c r="Z68" i="39"/>
  <c r="Y68" i="39"/>
  <c r="X68" i="39"/>
  <c r="W68" i="39"/>
  <c r="V68" i="39"/>
  <c r="AK67" i="39"/>
  <c r="AJ67" i="39"/>
  <c r="AI67" i="39"/>
  <c r="AH67" i="39"/>
  <c r="AG67" i="39"/>
  <c r="AF67" i="39"/>
  <c r="AE67" i="39"/>
  <c r="AD67" i="39"/>
  <c r="AC67" i="39"/>
  <c r="AB67" i="39"/>
  <c r="AA67" i="39"/>
  <c r="Z67" i="39"/>
  <c r="Y67" i="39"/>
  <c r="X67" i="39"/>
  <c r="W67" i="39"/>
  <c r="V67" i="39"/>
  <c r="AK66" i="39"/>
  <c r="AJ66" i="39"/>
  <c r="AI66" i="39"/>
  <c r="AH66" i="39"/>
  <c r="AG66" i="39"/>
  <c r="AF66" i="39"/>
  <c r="AE66" i="39"/>
  <c r="AD66" i="39"/>
  <c r="AC66" i="39"/>
  <c r="AB66" i="39"/>
  <c r="AA66" i="39"/>
  <c r="Z66" i="39"/>
  <c r="Y66" i="39"/>
  <c r="X66" i="39"/>
  <c r="W66" i="39"/>
  <c r="V66" i="39"/>
  <c r="AK65" i="39"/>
  <c r="AK94" i="39" s="1"/>
  <c r="AJ65" i="39"/>
  <c r="AJ94" i="39" s="1"/>
  <c r="AI65" i="39"/>
  <c r="AI94" i="39" s="1"/>
  <c r="AH65" i="39"/>
  <c r="AH94" i="39" s="1"/>
  <c r="AG65" i="39"/>
  <c r="AF65" i="39"/>
  <c r="AF94" i="39" s="1"/>
  <c r="AE65" i="39"/>
  <c r="AE94" i="39" s="1"/>
  <c r="AD65" i="39"/>
  <c r="AD94" i="39" s="1"/>
  <c r="AC65" i="39"/>
  <c r="AB65" i="39"/>
  <c r="AB94" i="39" s="1"/>
  <c r="AA65" i="39"/>
  <c r="AA94" i="39" s="1"/>
  <c r="Z65" i="39"/>
  <c r="Z94" i="39" s="1"/>
  <c r="Y65" i="39"/>
  <c r="Y94" i="39" s="1"/>
  <c r="X65" i="39"/>
  <c r="X94" i="39" s="1"/>
  <c r="W65" i="39"/>
  <c r="W94" i="39" s="1"/>
  <c r="V65" i="39"/>
  <c r="V94" i="39" s="1"/>
  <c r="AK64" i="39"/>
  <c r="AJ64" i="39"/>
  <c r="AI64" i="39"/>
  <c r="AH64" i="39"/>
  <c r="AG64" i="39"/>
  <c r="AF64" i="39"/>
  <c r="AE64" i="39"/>
  <c r="AD64" i="39"/>
  <c r="AC64" i="39"/>
  <c r="AB64" i="39"/>
  <c r="AA64" i="39"/>
  <c r="Z64" i="39"/>
  <c r="Y64" i="39"/>
  <c r="X64" i="39"/>
  <c r="W64" i="39"/>
  <c r="V64" i="39"/>
  <c r="AK63" i="39"/>
  <c r="AJ63" i="39"/>
  <c r="AI63" i="39"/>
  <c r="AH63" i="39"/>
  <c r="AG63" i="39"/>
  <c r="AF63" i="39"/>
  <c r="AE63" i="39"/>
  <c r="AD63" i="39"/>
  <c r="AC63" i="39"/>
  <c r="AB63" i="39"/>
  <c r="AA63" i="39"/>
  <c r="Z63" i="39"/>
  <c r="Y63" i="39"/>
  <c r="X63" i="39"/>
  <c r="W63" i="39"/>
  <c r="V63" i="39"/>
  <c r="AK62" i="39"/>
  <c r="AJ62" i="39"/>
  <c r="AI62" i="39"/>
  <c r="AH62" i="39"/>
  <c r="AG62" i="39"/>
  <c r="AF62" i="39"/>
  <c r="AE62" i="39"/>
  <c r="AD62" i="39"/>
  <c r="AC62" i="39"/>
  <c r="AB62" i="39"/>
  <c r="AA62" i="39"/>
  <c r="Z62" i="39"/>
  <c r="Y62" i="39"/>
  <c r="X62" i="39"/>
  <c r="W62" i="39"/>
  <c r="V62" i="39"/>
  <c r="AK61" i="39"/>
  <c r="AJ61" i="39"/>
  <c r="AI61" i="39"/>
  <c r="AH61" i="39"/>
  <c r="AG61" i="39"/>
  <c r="AF61" i="39"/>
  <c r="AE61" i="39"/>
  <c r="AD61" i="39"/>
  <c r="AC61" i="39"/>
  <c r="AB61" i="39"/>
  <c r="AA61" i="39"/>
  <c r="Z61" i="39"/>
  <c r="Y61" i="39"/>
  <c r="X61" i="39"/>
  <c r="W61" i="39"/>
  <c r="V61" i="39"/>
  <c r="AK60" i="39"/>
  <c r="AK93" i="39" s="1"/>
  <c r="AJ60" i="39"/>
  <c r="AJ93" i="39" s="1"/>
  <c r="AI60" i="39"/>
  <c r="AI93" i="39" s="1"/>
  <c r="AH60" i="39"/>
  <c r="AH93" i="39" s="1"/>
  <c r="AG60" i="39"/>
  <c r="AG93" i="39" s="1"/>
  <c r="AF60" i="39"/>
  <c r="AF93" i="39" s="1"/>
  <c r="AE60" i="39"/>
  <c r="AE93" i="39" s="1"/>
  <c r="AD60" i="39"/>
  <c r="AD93" i="39" s="1"/>
  <c r="AC60" i="39"/>
  <c r="AC93" i="39" s="1"/>
  <c r="AB60" i="39"/>
  <c r="AB93" i="39" s="1"/>
  <c r="AA60" i="39"/>
  <c r="AA93" i="39" s="1"/>
  <c r="Z60" i="39"/>
  <c r="Z93" i="39" s="1"/>
  <c r="Y60" i="39"/>
  <c r="Y93" i="39" s="1"/>
  <c r="X60" i="39"/>
  <c r="X93" i="39" s="1"/>
  <c r="W60" i="39"/>
  <c r="W93" i="39" s="1"/>
  <c r="V60" i="39"/>
  <c r="V93" i="39" s="1"/>
  <c r="AK59" i="39"/>
  <c r="AJ59" i="39"/>
  <c r="AI59" i="39"/>
  <c r="AH59" i="39"/>
  <c r="AG59" i="39"/>
  <c r="AF59" i="39"/>
  <c r="AE59" i="39"/>
  <c r="AD59" i="39"/>
  <c r="AC59" i="39"/>
  <c r="AB59" i="39"/>
  <c r="AA59" i="39"/>
  <c r="Z59" i="39"/>
  <c r="Y59" i="39"/>
  <c r="X59" i="39"/>
  <c r="W59" i="39"/>
  <c r="V59" i="39"/>
  <c r="AK58" i="39"/>
  <c r="AJ58" i="39"/>
  <c r="AI58" i="39"/>
  <c r="AH58" i="39"/>
  <c r="AG58" i="39"/>
  <c r="AF58" i="39"/>
  <c r="AE58" i="39"/>
  <c r="AD58" i="39"/>
  <c r="AC58" i="39"/>
  <c r="AB58" i="39"/>
  <c r="AA58" i="39"/>
  <c r="Z58" i="39"/>
  <c r="Y58" i="39"/>
  <c r="X58" i="39"/>
  <c r="W58" i="39"/>
  <c r="V58" i="39"/>
  <c r="AK57" i="39"/>
  <c r="AJ57" i="39"/>
  <c r="AI57" i="39"/>
  <c r="AH57" i="39"/>
  <c r="AG57" i="39"/>
  <c r="AF57" i="39"/>
  <c r="AE57" i="39"/>
  <c r="AD57" i="39"/>
  <c r="AC57" i="39"/>
  <c r="AB57" i="39"/>
  <c r="AA57" i="39"/>
  <c r="Z57" i="39"/>
  <c r="Y57" i="39"/>
  <c r="X57" i="39"/>
  <c r="W57" i="39"/>
  <c r="V57" i="39"/>
  <c r="AK56" i="39"/>
  <c r="AJ56" i="39"/>
  <c r="AI56" i="39"/>
  <c r="AH56" i="39"/>
  <c r="AG56" i="39"/>
  <c r="AF56" i="39"/>
  <c r="AE56" i="39"/>
  <c r="AD56" i="39"/>
  <c r="AC56" i="39"/>
  <c r="AB56" i="39"/>
  <c r="AA56" i="39"/>
  <c r="Z56" i="39"/>
  <c r="Y56" i="39"/>
  <c r="X56" i="39"/>
  <c r="W56" i="39"/>
  <c r="V56" i="39"/>
  <c r="AK55" i="39"/>
  <c r="AJ55" i="39"/>
  <c r="AI55" i="39"/>
  <c r="AH55" i="39"/>
  <c r="AG55" i="39"/>
  <c r="AF55" i="39"/>
  <c r="AE55" i="39"/>
  <c r="AD55" i="39"/>
  <c r="AC55" i="39"/>
  <c r="AB55" i="39"/>
  <c r="AA55" i="39"/>
  <c r="Z55" i="39"/>
  <c r="Y55" i="39"/>
  <c r="X55" i="39"/>
  <c r="W55" i="39"/>
  <c r="V55" i="39"/>
  <c r="AK54" i="39"/>
  <c r="AJ54" i="39"/>
  <c r="AI54" i="39"/>
  <c r="AH54" i="39"/>
  <c r="AG54" i="39"/>
  <c r="AF54" i="39"/>
  <c r="AE54" i="39"/>
  <c r="AD54" i="39"/>
  <c r="AC54" i="39"/>
  <c r="AB54" i="39"/>
  <c r="AA54" i="39"/>
  <c r="Z54" i="39"/>
  <c r="Y54" i="39"/>
  <c r="X54" i="39"/>
  <c r="W54" i="39"/>
  <c r="V54" i="39"/>
  <c r="AK53" i="39"/>
  <c r="AJ53" i="39"/>
  <c r="AI53" i="39"/>
  <c r="AH53" i="39"/>
  <c r="AG53" i="39"/>
  <c r="AF53" i="39"/>
  <c r="AE53" i="39"/>
  <c r="AD53" i="39"/>
  <c r="AC53" i="39"/>
  <c r="AB53" i="39"/>
  <c r="AA53" i="39"/>
  <c r="Z53" i="39"/>
  <c r="Y53" i="39"/>
  <c r="X53" i="39"/>
  <c r="W53" i="39"/>
  <c r="V53" i="39"/>
  <c r="AK52" i="39"/>
  <c r="AK103" i="39" s="1"/>
  <c r="AJ52" i="39"/>
  <c r="AJ103" i="39" s="1"/>
  <c r="AI52" i="39"/>
  <c r="AI103" i="39" s="1"/>
  <c r="AH52" i="39"/>
  <c r="AH103" i="39" s="1"/>
  <c r="AG52" i="39"/>
  <c r="AG103" i="39" s="1"/>
  <c r="AF52" i="39"/>
  <c r="AF92" i="39" s="1"/>
  <c r="AE52" i="39"/>
  <c r="AE92" i="39" s="1"/>
  <c r="AD52" i="39"/>
  <c r="AD103" i="39" s="1"/>
  <c r="AC52" i="39"/>
  <c r="AC103" i="39" s="1"/>
  <c r="AB52" i="39"/>
  <c r="AB103" i="39" s="1"/>
  <c r="AA52" i="39"/>
  <c r="AA103" i="39" s="1"/>
  <c r="Z52" i="39"/>
  <c r="Z103" i="39" s="1"/>
  <c r="Y52" i="39"/>
  <c r="Y103" i="39" s="1"/>
  <c r="X52" i="39"/>
  <c r="X92" i="39" s="1"/>
  <c r="W52" i="39"/>
  <c r="W92" i="39" s="1"/>
  <c r="V52" i="39"/>
  <c r="V103" i="39" s="1"/>
  <c r="AK51" i="39"/>
  <c r="AJ51" i="39"/>
  <c r="AI51" i="39"/>
  <c r="AH51" i="39"/>
  <c r="AG51" i="39"/>
  <c r="AF51" i="39"/>
  <c r="AE51" i="39"/>
  <c r="AD51" i="39"/>
  <c r="AC51" i="39"/>
  <c r="AB51" i="39"/>
  <c r="AA51" i="39"/>
  <c r="Z51" i="39"/>
  <c r="Y51" i="39"/>
  <c r="X51" i="39"/>
  <c r="W51" i="39"/>
  <c r="V51" i="39"/>
  <c r="AK50" i="39"/>
  <c r="AJ50" i="39"/>
  <c r="AI50" i="39"/>
  <c r="AH50" i="39"/>
  <c r="AG50" i="39"/>
  <c r="AF50" i="39"/>
  <c r="AE50" i="39"/>
  <c r="AD50" i="39"/>
  <c r="AC50" i="39"/>
  <c r="AB50" i="39"/>
  <c r="AA50" i="39"/>
  <c r="Z50" i="39"/>
  <c r="Y50" i="39"/>
  <c r="X50" i="39"/>
  <c r="W50" i="39"/>
  <c r="V50" i="39"/>
  <c r="AK49" i="39"/>
  <c r="AJ49" i="39"/>
  <c r="AI49" i="39"/>
  <c r="AH49" i="39"/>
  <c r="AG49" i="39"/>
  <c r="AF49" i="39"/>
  <c r="AE49" i="39"/>
  <c r="AD49" i="39"/>
  <c r="AC49" i="39"/>
  <c r="AB49" i="39"/>
  <c r="AA49" i="39"/>
  <c r="Z49" i="39"/>
  <c r="Y49" i="39"/>
  <c r="X49" i="39"/>
  <c r="W49" i="39"/>
  <c r="V49" i="39"/>
  <c r="AK48" i="39"/>
  <c r="AJ48" i="39"/>
  <c r="AI48" i="39"/>
  <c r="AH48" i="39"/>
  <c r="AG48" i="39"/>
  <c r="AF48" i="39"/>
  <c r="AE48" i="39"/>
  <c r="AD48" i="39"/>
  <c r="AC48" i="39"/>
  <c r="AB48" i="39"/>
  <c r="AA48" i="39"/>
  <c r="Z48" i="39"/>
  <c r="Y48" i="39"/>
  <c r="X48" i="39"/>
  <c r="W48" i="39"/>
  <c r="V48" i="39"/>
  <c r="AK47" i="39"/>
  <c r="AJ47" i="39"/>
  <c r="AI47" i="39"/>
  <c r="AH47" i="39"/>
  <c r="AG47" i="39"/>
  <c r="AF47" i="39"/>
  <c r="AE47" i="39"/>
  <c r="AD47" i="39"/>
  <c r="AC47" i="39"/>
  <c r="AB47" i="39"/>
  <c r="AA47" i="39"/>
  <c r="Z47" i="39"/>
  <c r="Y47" i="39"/>
  <c r="X47" i="39"/>
  <c r="W47" i="39"/>
  <c r="V47" i="39"/>
  <c r="AK46" i="39"/>
  <c r="AJ46" i="39"/>
  <c r="AI46" i="39"/>
  <c r="AH46" i="39"/>
  <c r="AG46" i="39"/>
  <c r="AF46" i="39"/>
  <c r="AE46" i="39"/>
  <c r="AD46" i="39"/>
  <c r="AC46" i="39"/>
  <c r="AB46" i="39"/>
  <c r="AA46" i="39"/>
  <c r="Z46" i="39"/>
  <c r="Y46" i="39"/>
  <c r="X46" i="39"/>
  <c r="W46" i="39"/>
  <c r="V46" i="39"/>
  <c r="AK45" i="39"/>
  <c r="AJ45" i="39"/>
  <c r="AI45" i="39"/>
  <c r="AH45" i="39"/>
  <c r="AG45" i="39"/>
  <c r="AF45" i="39"/>
  <c r="AE45" i="39"/>
  <c r="AD45" i="39"/>
  <c r="AC45" i="39"/>
  <c r="AB45" i="39"/>
  <c r="AA45" i="39"/>
  <c r="Z45" i="39"/>
  <c r="Y45" i="39"/>
  <c r="X45" i="39"/>
  <c r="W45" i="39"/>
  <c r="V45" i="39"/>
  <c r="AK44" i="39"/>
  <c r="AJ44" i="39"/>
  <c r="AI44" i="39"/>
  <c r="AH44" i="39"/>
  <c r="AG44" i="39"/>
  <c r="AF44" i="39"/>
  <c r="AE44" i="39"/>
  <c r="AD44" i="39"/>
  <c r="AC44" i="39"/>
  <c r="AB44" i="39"/>
  <c r="AA44" i="39"/>
  <c r="Z44" i="39"/>
  <c r="Y44" i="39"/>
  <c r="X44" i="39"/>
  <c r="W44" i="39"/>
  <c r="V44" i="39"/>
  <c r="AK43" i="39"/>
  <c r="AJ43" i="39"/>
  <c r="AI43" i="39"/>
  <c r="AH43" i="39"/>
  <c r="AG43" i="39"/>
  <c r="AF43" i="39"/>
  <c r="AE43" i="39"/>
  <c r="AD43" i="39"/>
  <c r="AC43" i="39"/>
  <c r="AB43" i="39"/>
  <c r="AA43" i="39"/>
  <c r="Z43" i="39"/>
  <c r="Y43" i="39"/>
  <c r="X43" i="39"/>
  <c r="W43" i="39"/>
  <c r="V43" i="39"/>
  <c r="AK42" i="39"/>
  <c r="AJ42" i="39"/>
  <c r="AI42" i="39"/>
  <c r="AH42" i="39"/>
  <c r="AG42" i="39"/>
  <c r="AF42" i="39"/>
  <c r="AE42" i="39"/>
  <c r="AD42" i="39"/>
  <c r="AC42" i="39"/>
  <c r="AB42" i="39"/>
  <c r="AA42" i="39"/>
  <c r="Z42" i="39"/>
  <c r="Y42" i="39"/>
  <c r="X42" i="39"/>
  <c r="W42" i="39"/>
  <c r="V42" i="39"/>
  <c r="AK41" i="39"/>
  <c r="AK91" i="39" s="1"/>
  <c r="AJ41" i="39"/>
  <c r="AJ91" i="39" s="1"/>
  <c r="AI41" i="39"/>
  <c r="AI91" i="39" s="1"/>
  <c r="AH41" i="39"/>
  <c r="AH91" i="39" s="1"/>
  <c r="AG41" i="39"/>
  <c r="AG91" i="39" s="1"/>
  <c r="AF41" i="39"/>
  <c r="AF91" i="39" s="1"/>
  <c r="AE41" i="39"/>
  <c r="AE91" i="39" s="1"/>
  <c r="AD41" i="39"/>
  <c r="AD91" i="39" s="1"/>
  <c r="AC41" i="39"/>
  <c r="AC91" i="39" s="1"/>
  <c r="AB41" i="39"/>
  <c r="AB91" i="39" s="1"/>
  <c r="AA41" i="39"/>
  <c r="AA91" i="39" s="1"/>
  <c r="Z41" i="39"/>
  <c r="Z91" i="39" s="1"/>
  <c r="Y41" i="39"/>
  <c r="Y91" i="39" s="1"/>
  <c r="X41" i="39"/>
  <c r="X91" i="39" s="1"/>
  <c r="W41" i="39"/>
  <c r="W91" i="39" s="1"/>
  <c r="V41" i="39"/>
  <c r="V91" i="39" s="1"/>
  <c r="AK40" i="39"/>
  <c r="AJ40" i="39"/>
  <c r="AI40" i="39"/>
  <c r="AH40" i="39"/>
  <c r="AG40" i="39"/>
  <c r="AF40" i="39"/>
  <c r="AE40" i="39"/>
  <c r="AD40" i="39"/>
  <c r="AC40" i="39"/>
  <c r="AB40" i="39"/>
  <c r="AA40" i="39"/>
  <c r="Z40" i="39"/>
  <c r="Y40" i="39"/>
  <c r="X40" i="39"/>
  <c r="W40" i="39"/>
  <c r="V40" i="39"/>
  <c r="AK39" i="39"/>
  <c r="AJ39" i="39"/>
  <c r="AI39" i="39"/>
  <c r="AH39" i="39"/>
  <c r="AG39" i="39"/>
  <c r="AF39" i="39"/>
  <c r="AE39" i="39"/>
  <c r="AD39" i="39"/>
  <c r="AC39" i="39"/>
  <c r="AB39" i="39"/>
  <c r="AA39" i="39"/>
  <c r="Z39" i="39"/>
  <c r="Y39" i="39"/>
  <c r="X39" i="39"/>
  <c r="W39" i="39"/>
  <c r="V39" i="39"/>
  <c r="AK38" i="39"/>
  <c r="AJ38" i="39"/>
  <c r="AI38" i="39"/>
  <c r="AH38" i="39"/>
  <c r="AG38" i="39"/>
  <c r="AF38" i="39"/>
  <c r="AE38" i="39"/>
  <c r="AD38" i="39"/>
  <c r="AC38" i="39"/>
  <c r="AB38" i="39"/>
  <c r="AA38" i="39"/>
  <c r="Z38" i="39"/>
  <c r="Y38" i="39"/>
  <c r="X38" i="39"/>
  <c r="W38" i="39"/>
  <c r="V38" i="39"/>
  <c r="AK37" i="39"/>
  <c r="AJ37" i="39"/>
  <c r="AI37" i="39"/>
  <c r="AH37" i="39"/>
  <c r="AG37" i="39"/>
  <c r="AF37" i="39"/>
  <c r="AE37" i="39"/>
  <c r="AD37" i="39"/>
  <c r="AC37" i="39"/>
  <c r="AB37" i="39"/>
  <c r="AA37" i="39"/>
  <c r="Z37" i="39"/>
  <c r="Y37" i="39"/>
  <c r="X37" i="39"/>
  <c r="W37" i="39"/>
  <c r="V37" i="39"/>
  <c r="AK36" i="39"/>
  <c r="AJ36" i="39"/>
  <c r="AI36" i="39"/>
  <c r="AH36" i="39"/>
  <c r="AG36" i="39"/>
  <c r="AF36" i="39"/>
  <c r="AE36" i="39"/>
  <c r="AD36" i="39"/>
  <c r="AC36" i="39"/>
  <c r="AB36" i="39"/>
  <c r="AA36" i="39"/>
  <c r="Z36" i="39"/>
  <c r="Y36" i="39"/>
  <c r="X36" i="39"/>
  <c r="W36" i="39"/>
  <c r="V36" i="39"/>
  <c r="AK35" i="39"/>
  <c r="AJ35" i="39"/>
  <c r="AI35" i="39"/>
  <c r="AH35" i="39"/>
  <c r="AG35" i="39"/>
  <c r="AF35" i="39"/>
  <c r="AE35" i="39"/>
  <c r="AD35" i="39"/>
  <c r="AC35" i="39"/>
  <c r="AB35" i="39"/>
  <c r="AA35" i="39"/>
  <c r="Z35" i="39"/>
  <c r="Y35" i="39"/>
  <c r="X35" i="39"/>
  <c r="W35" i="39"/>
  <c r="V35" i="39"/>
  <c r="AK34" i="39"/>
  <c r="AJ34" i="39"/>
  <c r="AI34" i="39"/>
  <c r="AH34" i="39"/>
  <c r="AG34" i="39"/>
  <c r="AF34" i="39"/>
  <c r="AE34" i="39"/>
  <c r="AD34" i="39"/>
  <c r="AC34" i="39"/>
  <c r="AB34" i="39"/>
  <c r="AA34" i="39"/>
  <c r="Z34" i="39"/>
  <c r="Y34" i="39"/>
  <c r="X34" i="39"/>
  <c r="W34" i="39"/>
  <c r="V34" i="39"/>
  <c r="AK33" i="39"/>
  <c r="AJ33" i="39"/>
  <c r="AI33" i="39"/>
  <c r="AH33" i="39"/>
  <c r="AG33" i="39"/>
  <c r="AF33" i="39"/>
  <c r="AE33" i="39"/>
  <c r="AD33" i="39"/>
  <c r="AC33" i="39"/>
  <c r="AB33" i="39"/>
  <c r="AA33" i="39"/>
  <c r="Z33" i="39"/>
  <c r="Y33" i="39"/>
  <c r="X33" i="39"/>
  <c r="W33" i="39"/>
  <c r="V33" i="39"/>
  <c r="AK32" i="39"/>
  <c r="AJ32" i="39"/>
  <c r="AI32" i="39"/>
  <c r="AH32" i="39"/>
  <c r="AG32" i="39"/>
  <c r="AF32" i="39"/>
  <c r="AE32" i="39"/>
  <c r="AD32" i="39"/>
  <c r="AC32" i="39"/>
  <c r="AB32" i="39"/>
  <c r="AA32" i="39"/>
  <c r="Z32" i="39"/>
  <c r="Y32" i="39"/>
  <c r="X32" i="39"/>
  <c r="W32" i="39"/>
  <c r="V32" i="39"/>
  <c r="AK31" i="39"/>
  <c r="AJ31" i="39"/>
  <c r="AI31" i="39"/>
  <c r="AH31" i="39"/>
  <c r="AG31" i="39"/>
  <c r="AF31" i="39"/>
  <c r="AE31" i="39"/>
  <c r="AD31" i="39"/>
  <c r="AC31" i="39"/>
  <c r="AB31" i="39"/>
  <c r="AA31" i="39"/>
  <c r="Z31" i="39"/>
  <c r="Y31" i="39"/>
  <c r="X31" i="39"/>
  <c r="W31" i="39"/>
  <c r="V31" i="39"/>
  <c r="AK30" i="39"/>
  <c r="AK90" i="39" s="1"/>
  <c r="AJ30" i="39"/>
  <c r="AJ90" i="39" s="1"/>
  <c r="AI30" i="39"/>
  <c r="AI90" i="39" s="1"/>
  <c r="AH30" i="39"/>
  <c r="AH90" i="39" s="1"/>
  <c r="AG30" i="39"/>
  <c r="AG90" i="39" s="1"/>
  <c r="AF30" i="39"/>
  <c r="AF90" i="39" s="1"/>
  <c r="AE30" i="39"/>
  <c r="AE90" i="39" s="1"/>
  <c r="AD30" i="39"/>
  <c r="AD90" i="39" s="1"/>
  <c r="AC30" i="39"/>
  <c r="AC90" i="39" s="1"/>
  <c r="AB30" i="39"/>
  <c r="AB90" i="39" s="1"/>
  <c r="AA30" i="39"/>
  <c r="AA90" i="39" s="1"/>
  <c r="Z30" i="39"/>
  <c r="Z90" i="39" s="1"/>
  <c r="Y30" i="39"/>
  <c r="Y90" i="39" s="1"/>
  <c r="X30" i="39"/>
  <c r="X90" i="39" s="1"/>
  <c r="W30" i="39"/>
  <c r="W90" i="39" s="1"/>
  <c r="V30" i="39"/>
  <c r="V90" i="39" s="1"/>
  <c r="AK29" i="39"/>
  <c r="AJ29" i="39"/>
  <c r="AI29" i="39"/>
  <c r="AH29" i="39"/>
  <c r="AG29" i="39"/>
  <c r="AF29" i="39"/>
  <c r="AE29" i="39"/>
  <c r="AD29" i="39"/>
  <c r="AC29" i="39"/>
  <c r="AB29" i="39"/>
  <c r="AA29" i="39"/>
  <c r="Z29" i="39"/>
  <c r="Y29" i="39"/>
  <c r="X29" i="39"/>
  <c r="W29" i="39"/>
  <c r="V29" i="39"/>
  <c r="AK28" i="39"/>
  <c r="AJ28" i="39"/>
  <c r="AI28" i="39"/>
  <c r="AH28" i="39"/>
  <c r="AG28" i="39"/>
  <c r="AF28" i="39"/>
  <c r="AE28" i="39"/>
  <c r="AD28" i="39"/>
  <c r="AC28" i="39"/>
  <c r="AB28" i="39"/>
  <c r="AA28" i="39"/>
  <c r="Z28" i="39"/>
  <c r="Y28" i="39"/>
  <c r="X28" i="39"/>
  <c r="W28" i="39"/>
  <c r="V28" i="39"/>
  <c r="AK27" i="39"/>
  <c r="AJ27" i="39"/>
  <c r="AI27" i="39"/>
  <c r="AH27" i="39"/>
  <c r="AG27" i="39"/>
  <c r="AF27" i="39"/>
  <c r="AE27" i="39"/>
  <c r="AD27" i="39"/>
  <c r="AC27" i="39"/>
  <c r="AB27" i="39"/>
  <c r="AA27" i="39"/>
  <c r="Z27" i="39"/>
  <c r="Y27" i="39"/>
  <c r="X27" i="39"/>
  <c r="W27" i="39"/>
  <c r="V27" i="39"/>
  <c r="AK26" i="39"/>
  <c r="AJ26" i="39"/>
  <c r="AI26" i="39"/>
  <c r="AH26" i="39"/>
  <c r="AG26" i="39"/>
  <c r="AF26" i="39"/>
  <c r="AE26" i="39"/>
  <c r="AD26" i="39"/>
  <c r="AC26" i="39"/>
  <c r="AB26" i="39"/>
  <c r="AA26" i="39"/>
  <c r="Z26" i="39"/>
  <c r="Y26" i="39"/>
  <c r="X26" i="39"/>
  <c r="W26" i="39"/>
  <c r="V26" i="39"/>
  <c r="AK25" i="39"/>
  <c r="AJ25" i="39"/>
  <c r="AI25" i="39"/>
  <c r="AH25" i="39"/>
  <c r="AG25" i="39"/>
  <c r="AF25" i="39"/>
  <c r="AE25" i="39"/>
  <c r="AD25" i="39"/>
  <c r="AC25" i="39"/>
  <c r="AB25" i="39"/>
  <c r="AA25" i="39"/>
  <c r="Z25" i="39"/>
  <c r="Y25" i="39"/>
  <c r="X25" i="39"/>
  <c r="W25" i="39"/>
  <c r="V25" i="39"/>
  <c r="AK24" i="39"/>
  <c r="AJ24" i="39"/>
  <c r="AI24" i="39"/>
  <c r="AH24" i="39"/>
  <c r="AG24" i="39"/>
  <c r="AF24" i="39"/>
  <c r="AE24" i="39"/>
  <c r="AD24" i="39"/>
  <c r="AC24" i="39"/>
  <c r="AB24" i="39"/>
  <c r="AA24" i="39"/>
  <c r="Z24" i="39"/>
  <c r="Y24" i="39"/>
  <c r="X24" i="39"/>
  <c r="W24" i="39"/>
  <c r="V24" i="39"/>
  <c r="AK23" i="39"/>
  <c r="AJ23" i="39"/>
  <c r="AI23" i="39"/>
  <c r="AH23" i="39"/>
  <c r="AG23" i="39"/>
  <c r="AF23" i="39"/>
  <c r="AE23" i="39"/>
  <c r="AD23" i="39"/>
  <c r="AC23" i="39"/>
  <c r="AB23" i="39"/>
  <c r="AA23" i="39"/>
  <c r="Z23" i="39"/>
  <c r="Y23" i="39"/>
  <c r="X23" i="39"/>
  <c r="W23" i="39"/>
  <c r="V23" i="39"/>
  <c r="AK22" i="39"/>
  <c r="AJ22" i="39"/>
  <c r="AI22" i="39"/>
  <c r="AH22" i="39"/>
  <c r="AG22" i="39"/>
  <c r="AF22" i="39"/>
  <c r="AE22" i="39"/>
  <c r="AD22" i="39"/>
  <c r="AC22" i="39"/>
  <c r="AB22" i="39"/>
  <c r="AA22" i="39"/>
  <c r="Z22" i="39"/>
  <c r="Y22" i="39"/>
  <c r="X22" i="39"/>
  <c r="W22" i="39"/>
  <c r="V22" i="39"/>
  <c r="AK21" i="39"/>
  <c r="AK89" i="39" s="1"/>
  <c r="AJ21" i="39"/>
  <c r="AJ89" i="39" s="1"/>
  <c r="AI21" i="39"/>
  <c r="AI89" i="39" s="1"/>
  <c r="AH21" i="39"/>
  <c r="AH89" i="39" s="1"/>
  <c r="AG21" i="39"/>
  <c r="AG89" i="39" s="1"/>
  <c r="AF21" i="39"/>
  <c r="AF89" i="39" s="1"/>
  <c r="AE21" i="39"/>
  <c r="AE89" i="39" s="1"/>
  <c r="AD21" i="39"/>
  <c r="AD89" i="39" s="1"/>
  <c r="AC21" i="39"/>
  <c r="AC89" i="39" s="1"/>
  <c r="AB21" i="39"/>
  <c r="AB89" i="39" s="1"/>
  <c r="AA21" i="39"/>
  <c r="AA89" i="39" s="1"/>
  <c r="Z21" i="39"/>
  <c r="Z89" i="39" s="1"/>
  <c r="Y21" i="39"/>
  <c r="Y89" i="39" s="1"/>
  <c r="X21" i="39"/>
  <c r="X89" i="39" s="1"/>
  <c r="W21" i="39"/>
  <c r="W89" i="39" s="1"/>
  <c r="V21" i="39"/>
  <c r="V89" i="39" s="1"/>
  <c r="AK20" i="39"/>
  <c r="AJ20" i="39"/>
  <c r="AI20" i="39"/>
  <c r="AH20" i="39"/>
  <c r="AG20" i="39"/>
  <c r="AF20" i="39"/>
  <c r="AE20" i="39"/>
  <c r="AD20" i="39"/>
  <c r="AC20" i="39"/>
  <c r="AB20" i="39"/>
  <c r="AA20" i="39"/>
  <c r="Z20" i="39"/>
  <c r="Y20" i="39"/>
  <c r="X20" i="39"/>
  <c r="W20" i="39"/>
  <c r="V20" i="39"/>
  <c r="AK19" i="39"/>
  <c r="AJ19" i="39"/>
  <c r="AI19" i="39"/>
  <c r="AH19" i="39"/>
  <c r="AG19" i="39"/>
  <c r="AF19" i="39"/>
  <c r="AE19" i="39"/>
  <c r="AD19" i="39"/>
  <c r="AC19" i="39"/>
  <c r="AB19" i="39"/>
  <c r="AA19" i="39"/>
  <c r="Z19" i="39"/>
  <c r="Y19" i="39"/>
  <c r="X19" i="39"/>
  <c r="W19" i="39"/>
  <c r="V19" i="39"/>
  <c r="AK18" i="39"/>
  <c r="AJ18" i="39"/>
  <c r="AI18" i="39"/>
  <c r="AH18" i="39"/>
  <c r="AG18" i="39"/>
  <c r="AF18" i="39"/>
  <c r="AE18" i="39"/>
  <c r="AD18" i="39"/>
  <c r="AC18" i="39"/>
  <c r="AB18" i="39"/>
  <c r="AA18" i="39"/>
  <c r="Z18" i="39"/>
  <c r="Y18" i="39"/>
  <c r="X18" i="39"/>
  <c r="W18" i="39"/>
  <c r="V18" i="39"/>
  <c r="AK17" i="39"/>
  <c r="AJ17" i="39"/>
  <c r="AI17" i="39"/>
  <c r="AH17" i="39"/>
  <c r="AG17" i="39"/>
  <c r="AF17" i="39"/>
  <c r="AE17" i="39"/>
  <c r="AD17" i="39"/>
  <c r="AC17" i="39"/>
  <c r="AB17" i="39"/>
  <c r="AA17" i="39"/>
  <c r="Z17" i="39"/>
  <c r="Y17" i="39"/>
  <c r="X17" i="39"/>
  <c r="W17" i="39"/>
  <c r="V17" i="39"/>
  <c r="AK16" i="39"/>
  <c r="AJ16" i="39"/>
  <c r="AI16" i="39"/>
  <c r="AH16" i="39"/>
  <c r="AG16" i="39"/>
  <c r="AF16" i="39"/>
  <c r="AE16" i="39"/>
  <c r="AD16" i="39"/>
  <c r="AC16" i="39"/>
  <c r="AB16" i="39"/>
  <c r="AA16" i="39"/>
  <c r="Z16" i="39"/>
  <c r="Y16" i="39"/>
  <c r="X16" i="39"/>
  <c r="W16" i="39"/>
  <c r="V16" i="39"/>
  <c r="AK15" i="39"/>
  <c r="AJ15" i="39"/>
  <c r="AI15" i="39"/>
  <c r="AH15" i="39"/>
  <c r="AG15" i="39"/>
  <c r="AF15" i="39"/>
  <c r="AE15" i="39"/>
  <c r="AD15" i="39"/>
  <c r="AC15" i="39"/>
  <c r="AB15" i="39"/>
  <c r="AA15" i="39"/>
  <c r="Z15" i="39"/>
  <c r="Y15" i="39"/>
  <c r="X15" i="39"/>
  <c r="W15" i="39"/>
  <c r="V15" i="39"/>
  <c r="AK14" i="39"/>
  <c r="AJ14" i="39"/>
  <c r="AI14" i="39"/>
  <c r="AH14" i="39"/>
  <c r="AG14" i="39"/>
  <c r="AF14" i="39"/>
  <c r="AE14" i="39"/>
  <c r="AD14" i="39"/>
  <c r="AC14" i="39"/>
  <c r="AB14" i="39"/>
  <c r="AA14" i="39"/>
  <c r="Z14" i="39"/>
  <c r="Y14" i="39"/>
  <c r="X14" i="39"/>
  <c r="W14" i="39"/>
  <c r="V14" i="39"/>
  <c r="AK13" i="39"/>
  <c r="AJ13" i="39"/>
  <c r="AI13" i="39"/>
  <c r="AH13" i="39"/>
  <c r="AG13" i="39"/>
  <c r="AF13" i="39"/>
  <c r="AE13" i="39"/>
  <c r="AD13" i="39"/>
  <c r="AC13" i="39"/>
  <c r="AB13" i="39"/>
  <c r="AA13" i="39"/>
  <c r="Z13" i="39"/>
  <c r="Y13" i="39"/>
  <c r="X13" i="39"/>
  <c r="W13" i="39"/>
  <c r="V13" i="39"/>
  <c r="AK12" i="39"/>
  <c r="AJ12" i="39"/>
  <c r="AJ101" i="39" s="1"/>
  <c r="AI12" i="39"/>
  <c r="AI101" i="39" s="1"/>
  <c r="AH12" i="39"/>
  <c r="AG12" i="39"/>
  <c r="AF12" i="39"/>
  <c r="AF88" i="39" s="1"/>
  <c r="AE12" i="39"/>
  <c r="AE88" i="39" s="1"/>
  <c r="AD12" i="39"/>
  <c r="AC12" i="39"/>
  <c r="AB12" i="39"/>
  <c r="AB101" i="39" s="1"/>
  <c r="AA12" i="39"/>
  <c r="AA101" i="39" s="1"/>
  <c r="Z12" i="39"/>
  <c r="Y12" i="39"/>
  <c r="X12" i="39"/>
  <c r="X88" i="39" s="1"/>
  <c r="W12" i="39"/>
  <c r="W88" i="39" s="1"/>
  <c r="V12" i="39"/>
  <c r="AK11" i="39"/>
  <c r="AJ11" i="39"/>
  <c r="AI11" i="39"/>
  <c r="AH11" i="39"/>
  <c r="AG11" i="39"/>
  <c r="AF11" i="39"/>
  <c r="AE11" i="39"/>
  <c r="AD11" i="39"/>
  <c r="AC11" i="39"/>
  <c r="AB11" i="39"/>
  <c r="AA11" i="39"/>
  <c r="Z11" i="39"/>
  <c r="Y11" i="39"/>
  <c r="X11" i="39"/>
  <c r="W11" i="39"/>
  <c r="V11" i="39"/>
  <c r="AK10" i="39"/>
  <c r="AJ10" i="39"/>
  <c r="AI10" i="39"/>
  <c r="AH10" i="39"/>
  <c r="AG10" i="39"/>
  <c r="AF10" i="39"/>
  <c r="AE10" i="39"/>
  <c r="AD10" i="39"/>
  <c r="AC10" i="39"/>
  <c r="AB10" i="39"/>
  <c r="AA10" i="39"/>
  <c r="Z10" i="39"/>
  <c r="Y10" i="39"/>
  <c r="X10" i="39"/>
  <c r="W10" i="39"/>
  <c r="V10" i="39"/>
  <c r="AK9" i="39"/>
  <c r="AJ9" i="39"/>
  <c r="AI9" i="39"/>
  <c r="AH9" i="39"/>
  <c r="AG9" i="39"/>
  <c r="AF9" i="39"/>
  <c r="AE9" i="39"/>
  <c r="AD9" i="39"/>
  <c r="AC9" i="39"/>
  <c r="AB9" i="39"/>
  <c r="AA9" i="39"/>
  <c r="Z9" i="39"/>
  <c r="Y9" i="39"/>
  <c r="X9" i="39"/>
  <c r="W9" i="39"/>
  <c r="V9" i="39"/>
  <c r="AK8" i="39"/>
  <c r="AJ8" i="39"/>
  <c r="AI8" i="39"/>
  <c r="AH8" i="39"/>
  <c r="AG8" i="39"/>
  <c r="AF8" i="39"/>
  <c r="AE8" i="39"/>
  <c r="AD8" i="39"/>
  <c r="AC8" i="39"/>
  <c r="AB8" i="39"/>
  <c r="AA8" i="39"/>
  <c r="Z8" i="39"/>
  <c r="Y8" i="39"/>
  <c r="X8" i="39"/>
  <c r="W8" i="39"/>
  <c r="V8" i="39"/>
  <c r="AK7" i="39"/>
  <c r="AJ7" i="39"/>
  <c r="AI7" i="39"/>
  <c r="AH7" i="39"/>
  <c r="AG7" i="39"/>
  <c r="AF7" i="39"/>
  <c r="AE7" i="39"/>
  <c r="AD7" i="39"/>
  <c r="AC7" i="39"/>
  <c r="AB7" i="39"/>
  <c r="AA7" i="39"/>
  <c r="Z7" i="39"/>
  <c r="Y7" i="39"/>
  <c r="X7" i="39"/>
  <c r="W7" i="39"/>
  <c r="V7" i="39"/>
  <c r="AK6" i="39"/>
  <c r="AJ6" i="39"/>
  <c r="AI6" i="39"/>
  <c r="AH6" i="39"/>
  <c r="AG6" i="39"/>
  <c r="AF6" i="39"/>
  <c r="AE6" i="39"/>
  <c r="AD6" i="39"/>
  <c r="AC6" i="39"/>
  <c r="AB6" i="39"/>
  <c r="AA6" i="39"/>
  <c r="Z6" i="39"/>
  <c r="Y6" i="39"/>
  <c r="X6" i="39"/>
  <c r="W6" i="39"/>
  <c r="V6" i="39"/>
  <c r="AK5" i="39"/>
  <c r="AJ5" i="39"/>
  <c r="AI5" i="39"/>
  <c r="AH5" i="39"/>
  <c r="AG5" i="39"/>
  <c r="AF5" i="39"/>
  <c r="AE5" i="39"/>
  <c r="AD5" i="39"/>
  <c r="AC5" i="39"/>
  <c r="AB5" i="39"/>
  <c r="AA5" i="39"/>
  <c r="Z5" i="39"/>
  <c r="Y5" i="39"/>
  <c r="X5" i="39"/>
  <c r="W5" i="39"/>
  <c r="V5" i="39"/>
  <c r="AK4" i="39"/>
  <c r="AJ4" i="39"/>
  <c r="AI4" i="39"/>
  <c r="AH4" i="39"/>
  <c r="AG4" i="39"/>
  <c r="AF4" i="39"/>
  <c r="AE4" i="39"/>
  <c r="AD4" i="39"/>
  <c r="AC4" i="39"/>
  <c r="AB4" i="39"/>
  <c r="AA4" i="39"/>
  <c r="Z4" i="39"/>
  <c r="Y4" i="39"/>
  <c r="X4" i="39"/>
  <c r="W4" i="39"/>
  <c r="V4" i="39"/>
  <c r="AK3" i="39"/>
  <c r="AK99" i="39" s="1"/>
  <c r="AJ3" i="39"/>
  <c r="AJ87" i="39" s="1"/>
  <c r="AI3" i="39"/>
  <c r="AI87" i="39" s="1"/>
  <c r="AH3" i="39"/>
  <c r="AG3" i="39"/>
  <c r="AG99" i="39" s="1"/>
  <c r="AF3" i="39"/>
  <c r="AF99" i="39" s="1"/>
  <c r="AE3" i="39"/>
  <c r="AE99" i="39" s="1"/>
  <c r="AD3" i="39"/>
  <c r="AC3" i="39"/>
  <c r="AC99" i="39" s="1"/>
  <c r="AB3" i="39"/>
  <c r="AB87" i="39" s="1"/>
  <c r="AA3" i="39"/>
  <c r="AA99" i="39" s="1"/>
  <c r="Z3" i="39"/>
  <c r="Y3" i="39"/>
  <c r="Y99" i="39" s="1"/>
  <c r="X3" i="39"/>
  <c r="X87" i="39" s="1"/>
  <c r="W3" i="39"/>
  <c r="W87" i="39" s="1"/>
  <c r="V3" i="39"/>
  <c r="G96" i="38"/>
  <c r="F96" i="38"/>
  <c r="D96" i="38"/>
  <c r="C96" i="38"/>
  <c r="G95" i="38"/>
  <c r="F95" i="38"/>
  <c r="D95" i="38"/>
  <c r="C95" i="38"/>
  <c r="G94" i="38"/>
  <c r="F94" i="38"/>
  <c r="D94" i="38"/>
  <c r="C94" i="38"/>
  <c r="G93" i="38"/>
  <c r="F93" i="38"/>
  <c r="D93" i="38"/>
  <c r="C93" i="38"/>
  <c r="G92" i="38"/>
  <c r="F92" i="38"/>
  <c r="D92" i="38"/>
  <c r="C92" i="38"/>
  <c r="G91" i="38"/>
  <c r="F91" i="38"/>
  <c r="D91" i="38"/>
  <c r="C91" i="38"/>
  <c r="G90" i="38"/>
  <c r="F90" i="38"/>
  <c r="D90" i="38"/>
  <c r="C90" i="38"/>
  <c r="G89" i="38"/>
  <c r="F89" i="38"/>
  <c r="D89" i="38"/>
  <c r="C89" i="38"/>
  <c r="G88" i="38"/>
  <c r="F88" i="38"/>
  <c r="D88" i="38"/>
  <c r="C88" i="38"/>
  <c r="G87" i="38"/>
  <c r="F87" i="38"/>
  <c r="D87" i="38"/>
  <c r="C87" i="38"/>
  <c r="AK85" i="38"/>
  <c r="AJ85" i="38"/>
  <c r="AI85" i="38"/>
  <c r="AH85" i="38"/>
  <c r="AG85" i="38"/>
  <c r="AF85" i="38"/>
  <c r="AE85" i="38"/>
  <c r="AD85" i="38"/>
  <c r="AC85" i="38"/>
  <c r="AB85" i="38"/>
  <c r="AA85" i="38"/>
  <c r="Z85" i="38"/>
  <c r="Y85" i="38"/>
  <c r="X85" i="38"/>
  <c r="W85" i="38"/>
  <c r="V85" i="38"/>
  <c r="AK84" i="38"/>
  <c r="AJ84" i="38"/>
  <c r="AI84" i="38"/>
  <c r="AH84" i="38"/>
  <c r="AG84" i="38"/>
  <c r="AF84" i="38"/>
  <c r="AE84" i="38"/>
  <c r="AD84" i="38"/>
  <c r="AC84" i="38"/>
  <c r="AB84" i="38"/>
  <c r="AA84" i="38"/>
  <c r="Z84" i="38"/>
  <c r="Y84" i="38"/>
  <c r="X84" i="38"/>
  <c r="W84" i="38"/>
  <c r="V84" i="38"/>
  <c r="AK83" i="38"/>
  <c r="AJ83" i="38"/>
  <c r="AI83" i="38"/>
  <c r="AH83" i="38"/>
  <c r="AG83" i="38"/>
  <c r="AF83" i="38"/>
  <c r="AE83" i="38"/>
  <c r="AD83" i="38"/>
  <c r="AC83" i="38"/>
  <c r="AB83" i="38"/>
  <c r="AA83" i="38"/>
  <c r="Z83" i="38"/>
  <c r="Y83" i="38"/>
  <c r="X83" i="38"/>
  <c r="W83" i="38"/>
  <c r="V83" i="38"/>
  <c r="AK82" i="38"/>
  <c r="AJ82" i="38"/>
  <c r="AI82" i="38"/>
  <c r="AH82" i="38"/>
  <c r="AG82" i="38"/>
  <c r="AF82" i="38"/>
  <c r="AE82" i="38"/>
  <c r="AD82" i="38"/>
  <c r="AC82" i="38"/>
  <c r="AB82" i="38"/>
  <c r="AA82" i="38"/>
  <c r="Z82" i="38"/>
  <c r="Y82" i="38"/>
  <c r="X82" i="38"/>
  <c r="W82" i="38"/>
  <c r="V82" i="38"/>
  <c r="AK81" i="38"/>
  <c r="AJ81" i="38"/>
  <c r="AI81" i="38"/>
  <c r="AH81" i="38"/>
  <c r="AG81" i="38"/>
  <c r="AF81" i="38"/>
  <c r="AE81" i="38"/>
  <c r="AD81" i="38"/>
  <c r="AC81" i="38"/>
  <c r="AB81" i="38"/>
  <c r="AA81" i="38"/>
  <c r="Z81" i="38"/>
  <c r="Y81" i="38"/>
  <c r="X81" i="38"/>
  <c r="W81" i="38"/>
  <c r="V81" i="38"/>
  <c r="AK80" i="38"/>
  <c r="AJ80" i="38"/>
  <c r="AI80" i="38"/>
  <c r="AH80" i="38"/>
  <c r="AG80" i="38"/>
  <c r="AF80" i="38"/>
  <c r="AE80" i="38"/>
  <c r="AD80" i="38"/>
  <c r="AC80" i="38"/>
  <c r="AB80" i="38"/>
  <c r="AA80" i="38"/>
  <c r="Z80" i="38"/>
  <c r="Y80" i="38"/>
  <c r="X80" i="38"/>
  <c r="W80" i="38"/>
  <c r="V80" i="38"/>
  <c r="AK79" i="38"/>
  <c r="AJ79" i="38"/>
  <c r="AI79" i="38"/>
  <c r="AH79" i="38"/>
  <c r="AG79" i="38"/>
  <c r="AF79" i="38"/>
  <c r="AE79" i="38"/>
  <c r="AD79" i="38"/>
  <c r="AC79" i="38"/>
  <c r="AB79" i="38"/>
  <c r="AA79" i="38"/>
  <c r="Z79" i="38"/>
  <c r="Y79" i="38"/>
  <c r="X79" i="38"/>
  <c r="W79" i="38"/>
  <c r="V79" i="38"/>
  <c r="AK78" i="38"/>
  <c r="AK96" i="38" s="1"/>
  <c r="AJ78" i="38"/>
  <c r="AI78" i="38"/>
  <c r="AI96" i="38" s="1"/>
  <c r="AH78" i="38"/>
  <c r="AH96" i="38" s="1"/>
  <c r="AG78" i="38"/>
  <c r="AG96" i="38" s="1"/>
  <c r="AF78" i="38"/>
  <c r="AF96" i="38" s="1"/>
  <c r="AE78" i="38"/>
  <c r="AE96" i="38" s="1"/>
  <c r="AD78" i="38"/>
  <c r="AD96" i="38" s="1"/>
  <c r="AC78" i="38"/>
  <c r="AC96" i="38" s="1"/>
  <c r="AB78" i="38"/>
  <c r="AB96" i="38" s="1"/>
  <c r="AA78" i="38"/>
  <c r="AA96" i="38" s="1"/>
  <c r="Z78" i="38"/>
  <c r="Z96" i="38" s="1"/>
  <c r="Y78" i="38"/>
  <c r="Y96" i="38" s="1"/>
  <c r="X78" i="38"/>
  <c r="X96" i="38" s="1"/>
  <c r="W78" i="38"/>
  <c r="W96" i="38" s="1"/>
  <c r="V78" i="38"/>
  <c r="V96" i="38" s="1"/>
  <c r="AK77" i="38"/>
  <c r="AJ77" i="38"/>
  <c r="AI77" i="38"/>
  <c r="AH77" i="38"/>
  <c r="AG77" i="38"/>
  <c r="AF77" i="38"/>
  <c r="AE77" i="38"/>
  <c r="AD77" i="38"/>
  <c r="AC77" i="38"/>
  <c r="AB77" i="38"/>
  <c r="AA77" i="38"/>
  <c r="Z77" i="38"/>
  <c r="Y77" i="38"/>
  <c r="X77" i="38"/>
  <c r="W77" i="38"/>
  <c r="V77" i="38"/>
  <c r="AK76" i="38"/>
  <c r="AJ76" i="38"/>
  <c r="AI76" i="38"/>
  <c r="AH76" i="38"/>
  <c r="AG76" i="38"/>
  <c r="AF76" i="38"/>
  <c r="AE76" i="38"/>
  <c r="AD76" i="38"/>
  <c r="AC76" i="38"/>
  <c r="AB76" i="38"/>
  <c r="AA76" i="38"/>
  <c r="Z76" i="38"/>
  <c r="Y76" i="38"/>
  <c r="X76" i="38"/>
  <c r="W76" i="38"/>
  <c r="V76" i="38"/>
  <c r="AK75" i="38"/>
  <c r="AJ75" i="38"/>
  <c r="AI75" i="38"/>
  <c r="AH75" i="38"/>
  <c r="AG75" i="38"/>
  <c r="AF75" i="38"/>
  <c r="AE75" i="38"/>
  <c r="AD75" i="38"/>
  <c r="AC75" i="38"/>
  <c r="AB75" i="38"/>
  <c r="AA75" i="38"/>
  <c r="Z75" i="38"/>
  <c r="Y75" i="38"/>
  <c r="X75" i="38"/>
  <c r="W75" i="38"/>
  <c r="V75" i="38"/>
  <c r="AK74" i="38"/>
  <c r="AJ74" i="38"/>
  <c r="AI74" i="38"/>
  <c r="AH74" i="38"/>
  <c r="AG74" i="38"/>
  <c r="AF74" i="38"/>
  <c r="AE74" i="38"/>
  <c r="AD74" i="38"/>
  <c r="AC74" i="38"/>
  <c r="AB74" i="38"/>
  <c r="AA74" i="38"/>
  <c r="Z74" i="38"/>
  <c r="Y74" i="38"/>
  <c r="X74" i="38"/>
  <c r="W74" i="38"/>
  <c r="V74" i="38"/>
  <c r="AK73" i="38"/>
  <c r="AJ73" i="38"/>
  <c r="AI73" i="38"/>
  <c r="AH73" i="38"/>
  <c r="AG73" i="38"/>
  <c r="AF73" i="38"/>
  <c r="AE73" i="38"/>
  <c r="AD73" i="38"/>
  <c r="AC73" i="38"/>
  <c r="AB73" i="38"/>
  <c r="AA73" i="38"/>
  <c r="Z73" i="38"/>
  <c r="Y73" i="38"/>
  <c r="X73" i="38"/>
  <c r="W73" i="38"/>
  <c r="V73" i="38"/>
  <c r="AK72" i="38"/>
  <c r="AJ72" i="38"/>
  <c r="AI72" i="38"/>
  <c r="AH72" i="38"/>
  <c r="AG72" i="38"/>
  <c r="AF72" i="38"/>
  <c r="AE72" i="38"/>
  <c r="AD72" i="38"/>
  <c r="AC72" i="38"/>
  <c r="AB72" i="38"/>
  <c r="AA72" i="38"/>
  <c r="Z72" i="38"/>
  <c r="Y72" i="38"/>
  <c r="X72" i="38"/>
  <c r="W72" i="38"/>
  <c r="V72" i="38"/>
  <c r="AK71" i="38"/>
  <c r="AJ71" i="38"/>
  <c r="AI71" i="38"/>
  <c r="AH71" i="38"/>
  <c r="AG71" i="38"/>
  <c r="AF71" i="38"/>
  <c r="AE71" i="38"/>
  <c r="AD71" i="38"/>
  <c r="AC71" i="38"/>
  <c r="AB71" i="38"/>
  <c r="AA71" i="38"/>
  <c r="Z71" i="38"/>
  <c r="Y71" i="38"/>
  <c r="X71" i="38"/>
  <c r="W71" i="38"/>
  <c r="V71" i="38"/>
  <c r="AK70" i="38"/>
  <c r="AK95" i="38" s="1"/>
  <c r="AJ70" i="38"/>
  <c r="AJ95" i="38" s="1"/>
  <c r="AI70" i="38"/>
  <c r="AI95" i="38" s="1"/>
  <c r="AH70" i="38"/>
  <c r="AH95" i="38" s="1"/>
  <c r="AG70" i="38"/>
  <c r="AG95" i="38" s="1"/>
  <c r="AF70" i="38"/>
  <c r="AF95" i="38" s="1"/>
  <c r="AE70" i="38"/>
  <c r="AE95" i="38" s="1"/>
  <c r="AD70" i="38"/>
  <c r="AD95" i="38" s="1"/>
  <c r="AC70" i="38"/>
  <c r="AC95" i="38" s="1"/>
  <c r="AB70" i="38"/>
  <c r="AB95" i="38" s="1"/>
  <c r="AA70" i="38"/>
  <c r="AA95" i="38" s="1"/>
  <c r="Z70" i="38"/>
  <c r="Z95" i="38" s="1"/>
  <c r="Y70" i="38"/>
  <c r="Y95" i="38" s="1"/>
  <c r="X70" i="38"/>
  <c r="X95" i="38" s="1"/>
  <c r="W70" i="38"/>
  <c r="W95" i="38" s="1"/>
  <c r="V70" i="38"/>
  <c r="V95" i="38" s="1"/>
  <c r="AK69" i="38"/>
  <c r="AJ69" i="38"/>
  <c r="AI69" i="38"/>
  <c r="AH69" i="38"/>
  <c r="AG69" i="38"/>
  <c r="AF69" i="38"/>
  <c r="AE69" i="38"/>
  <c r="AD69" i="38"/>
  <c r="AC69" i="38"/>
  <c r="AB69" i="38"/>
  <c r="AA69" i="38"/>
  <c r="Z69" i="38"/>
  <c r="Y69" i="38"/>
  <c r="X69" i="38"/>
  <c r="W69" i="38"/>
  <c r="V69" i="38"/>
  <c r="AK68" i="38"/>
  <c r="AJ68" i="38"/>
  <c r="AI68" i="38"/>
  <c r="AH68" i="38"/>
  <c r="AG68" i="38"/>
  <c r="AF68" i="38"/>
  <c r="AE68" i="38"/>
  <c r="AD68" i="38"/>
  <c r="AC68" i="38"/>
  <c r="AB68" i="38"/>
  <c r="AA68" i="38"/>
  <c r="Z68" i="38"/>
  <c r="Y68" i="38"/>
  <c r="X68" i="38"/>
  <c r="W68" i="38"/>
  <c r="V68" i="38"/>
  <c r="AK67" i="38"/>
  <c r="AJ67" i="38"/>
  <c r="AI67" i="38"/>
  <c r="AH67" i="38"/>
  <c r="AG67" i="38"/>
  <c r="AF67" i="38"/>
  <c r="AE67" i="38"/>
  <c r="AD67" i="38"/>
  <c r="AC67" i="38"/>
  <c r="AB67" i="38"/>
  <c r="AA67" i="38"/>
  <c r="Z67" i="38"/>
  <c r="Y67" i="38"/>
  <c r="X67" i="38"/>
  <c r="W67" i="38"/>
  <c r="V67" i="38"/>
  <c r="AK66" i="38"/>
  <c r="AJ66" i="38"/>
  <c r="AI66" i="38"/>
  <c r="AH66" i="38"/>
  <c r="AG66" i="38"/>
  <c r="AF66" i="38"/>
  <c r="AE66" i="38"/>
  <c r="AD66" i="38"/>
  <c r="AC66" i="38"/>
  <c r="AB66" i="38"/>
  <c r="AA66" i="38"/>
  <c r="Z66" i="38"/>
  <c r="Y66" i="38"/>
  <c r="X66" i="38"/>
  <c r="W66" i="38"/>
  <c r="V66" i="38"/>
  <c r="AK65" i="38"/>
  <c r="AK94" i="38" s="1"/>
  <c r="AJ65" i="38"/>
  <c r="AJ94" i="38" s="1"/>
  <c r="AI65" i="38"/>
  <c r="AI94" i="38" s="1"/>
  <c r="AH65" i="38"/>
  <c r="AH94" i="38" s="1"/>
  <c r="AG65" i="38"/>
  <c r="AG94" i="38" s="1"/>
  <c r="AF65" i="38"/>
  <c r="AF94" i="38" s="1"/>
  <c r="AE65" i="38"/>
  <c r="AE94" i="38" s="1"/>
  <c r="AD65" i="38"/>
  <c r="AD94" i="38" s="1"/>
  <c r="AC65" i="38"/>
  <c r="AC94" i="38" s="1"/>
  <c r="AB65" i="38"/>
  <c r="AB94" i="38" s="1"/>
  <c r="AA65" i="38"/>
  <c r="AA94" i="38" s="1"/>
  <c r="Z65" i="38"/>
  <c r="Z94" i="38" s="1"/>
  <c r="Y65" i="38"/>
  <c r="Y94" i="38" s="1"/>
  <c r="X65" i="38"/>
  <c r="X94" i="38" s="1"/>
  <c r="W65" i="38"/>
  <c r="W94" i="38" s="1"/>
  <c r="V65" i="38"/>
  <c r="V94" i="38" s="1"/>
  <c r="AK64" i="38"/>
  <c r="AJ64" i="38"/>
  <c r="AI64" i="38"/>
  <c r="AH64" i="38"/>
  <c r="AG64" i="38"/>
  <c r="AF64" i="38"/>
  <c r="AE64" i="38"/>
  <c r="AD64" i="38"/>
  <c r="AC64" i="38"/>
  <c r="AB64" i="38"/>
  <c r="AA64" i="38"/>
  <c r="Z64" i="38"/>
  <c r="Y64" i="38"/>
  <c r="X64" i="38"/>
  <c r="W64" i="38"/>
  <c r="V64" i="38"/>
  <c r="AK63" i="38"/>
  <c r="AJ63" i="38"/>
  <c r="AI63" i="38"/>
  <c r="AH63" i="38"/>
  <c r="AG63" i="38"/>
  <c r="AF63" i="38"/>
  <c r="AE63" i="38"/>
  <c r="AD63" i="38"/>
  <c r="AC63" i="38"/>
  <c r="AB63" i="38"/>
  <c r="AA63" i="38"/>
  <c r="Z63" i="38"/>
  <c r="Y63" i="38"/>
  <c r="X63" i="38"/>
  <c r="W63" i="38"/>
  <c r="V63" i="38"/>
  <c r="AK62" i="38"/>
  <c r="AJ62" i="38"/>
  <c r="AI62" i="38"/>
  <c r="AH62" i="38"/>
  <c r="AG62" i="38"/>
  <c r="AF62" i="38"/>
  <c r="AE62" i="38"/>
  <c r="AD62" i="38"/>
  <c r="AC62" i="38"/>
  <c r="AB62" i="38"/>
  <c r="AA62" i="38"/>
  <c r="Z62" i="38"/>
  <c r="Y62" i="38"/>
  <c r="X62" i="38"/>
  <c r="W62" i="38"/>
  <c r="V62" i="38"/>
  <c r="AK61" i="38"/>
  <c r="AJ61" i="38"/>
  <c r="AI61" i="38"/>
  <c r="AH61" i="38"/>
  <c r="AG61" i="38"/>
  <c r="AF61" i="38"/>
  <c r="AE61" i="38"/>
  <c r="AD61" i="38"/>
  <c r="AC61" i="38"/>
  <c r="AB61" i="38"/>
  <c r="AA61" i="38"/>
  <c r="Z61" i="38"/>
  <c r="Y61" i="38"/>
  <c r="X61" i="38"/>
  <c r="W61" i="38"/>
  <c r="V61" i="38"/>
  <c r="AK60" i="38"/>
  <c r="AK93" i="38" s="1"/>
  <c r="AJ60" i="38"/>
  <c r="AJ93" i="38" s="1"/>
  <c r="AI60" i="38"/>
  <c r="AI93" i="38" s="1"/>
  <c r="AH60" i="38"/>
  <c r="AH93" i="38" s="1"/>
  <c r="AG60" i="38"/>
  <c r="AG93" i="38" s="1"/>
  <c r="AF60" i="38"/>
  <c r="AF93" i="38" s="1"/>
  <c r="AE60" i="38"/>
  <c r="AE93" i="38" s="1"/>
  <c r="AD60" i="38"/>
  <c r="AD93" i="38" s="1"/>
  <c r="AC60" i="38"/>
  <c r="AC93" i="38" s="1"/>
  <c r="AB60" i="38"/>
  <c r="AB93" i="38" s="1"/>
  <c r="AA60" i="38"/>
  <c r="AA93" i="38" s="1"/>
  <c r="Z60" i="38"/>
  <c r="Z93" i="38" s="1"/>
  <c r="Y60" i="38"/>
  <c r="Y93" i="38" s="1"/>
  <c r="X60" i="38"/>
  <c r="X93" i="38" s="1"/>
  <c r="W60" i="38"/>
  <c r="W93" i="38" s="1"/>
  <c r="V60" i="38"/>
  <c r="V93" i="38" s="1"/>
  <c r="AK59" i="38"/>
  <c r="AJ59" i="38"/>
  <c r="AI59" i="38"/>
  <c r="AH59" i="38"/>
  <c r="AG59" i="38"/>
  <c r="AF59" i="38"/>
  <c r="AE59" i="38"/>
  <c r="AD59" i="38"/>
  <c r="AC59" i="38"/>
  <c r="AB59" i="38"/>
  <c r="AA59" i="38"/>
  <c r="Z59" i="38"/>
  <c r="Y59" i="38"/>
  <c r="X59" i="38"/>
  <c r="W59" i="38"/>
  <c r="V59" i="38"/>
  <c r="AK58" i="38"/>
  <c r="AJ58" i="38"/>
  <c r="AI58" i="38"/>
  <c r="AH58" i="38"/>
  <c r="AG58" i="38"/>
  <c r="AF58" i="38"/>
  <c r="AE58" i="38"/>
  <c r="AD58" i="38"/>
  <c r="AC58" i="38"/>
  <c r="AB58" i="38"/>
  <c r="AA58" i="38"/>
  <c r="Z58" i="38"/>
  <c r="Y58" i="38"/>
  <c r="X58" i="38"/>
  <c r="W58" i="38"/>
  <c r="V58" i="38"/>
  <c r="AK57" i="38"/>
  <c r="AJ57" i="38"/>
  <c r="AI57" i="38"/>
  <c r="AH57" i="38"/>
  <c r="AG57" i="38"/>
  <c r="AF57" i="38"/>
  <c r="AE57" i="38"/>
  <c r="AD57" i="38"/>
  <c r="AC57" i="38"/>
  <c r="AB57" i="38"/>
  <c r="AA57" i="38"/>
  <c r="Z57" i="38"/>
  <c r="Y57" i="38"/>
  <c r="X57" i="38"/>
  <c r="W57" i="38"/>
  <c r="V57" i="38"/>
  <c r="AK56" i="38"/>
  <c r="AJ56" i="38"/>
  <c r="AI56" i="38"/>
  <c r="AH56" i="38"/>
  <c r="AG56" i="38"/>
  <c r="AF56" i="38"/>
  <c r="AE56" i="38"/>
  <c r="AD56" i="38"/>
  <c r="AC56" i="38"/>
  <c r="AB56" i="38"/>
  <c r="AA56" i="38"/>
  <c r="Z56" i="38"/>
  <c r="Y56" i="38"/>
  <c r="X56" i="38"/>
  <c r="W56" i="38"/>
  <c r="V56" i="38"/>
  <c r="AK55" i="38"/>
  <c r="AJ55" i="38"/>
  <c r="AI55" i="38"/>
  <c r="AH55" i="38"/>
  <c r="AG55" i="38"/>
  <c r="AF55" i="38"/>
  <c r="AE55" i="38"/>
  <c r="AD55" i="38"/>
  <c r="AC55" i="38"/>
  <c r="AB55" i="38"/>
  <c r="AA55" i="38"/>
  <c r="Z55" i="38"/>
  <c r="Y55" i="38"/>
  <c r="X55" i="38"/>
  <c r="W55" i="38"/>
  <c r="V55" i="38"/>
  <c r="AK54" i="38"/>
  <c r="AJ54" i="38"/>
  <c r="AI54" i="38"/>
  <c r="AH54" i="38"/>
  <c r="AG54" i="38"/>
  <c r="AF54" i="38"/>
  <c r="AE54" i="38"/>
  <c r="AD54" i="38"/>
  <c r="AC54" i="38"/>
  <c r="AB54" i="38"/>
  <c r="AA54" i="38"/>
  <c r="Z54" i="38"/>
  <c r="Y54" i="38"/>
  <c r="X54" i="38"/>
  <c r="W54" i="38"/>
  <c r="V54" i="38"/>
  <c r="AK53" i="38"/>
  <c r="AJ53" i="38"/>
  <c r="AI53" i="38"/>
  <c r="AH53" i="38"/>
  <c r="AG53" i="38"/>
  <c r="AF53" i="38"/>
  <c r="AE53" i="38"/>
  <c r="AD53" i="38"/>
  <c r="AC53" i="38"/>
  <c r="AB53" i="38"/>
  <c r="AA53" i="38"/>
  <c r="Z53" i="38"/>
  <c r="Y53" i="38"/>
  <c r="X53" i="38"/>
  <c r="W53" i="38"/>
  <c r="V53" i="38"/>
  <c r="AK52" i="38"/>
  <c r="AK103" i="38" s="1"/>
  <c r="AJ52" i="38"/>
  <c r="AJ103" i="38" s="1"/>
  <c r="AI52" i="38"/>
  <c r="AI103" i="38" s="1"/>
  <c r="AH52" i="38"/>
  <c r="AG52" i="38"/>
  <c r="AG103" i="38" s="1"/>
  <c r="AF52" i="38"/>
  <c r="AF103" i="38" s="1"/>
  <c r="AE52" i="38"/>
  <c r="AE103" i="38" s="1"/>
  <c r="AD52" i="38"/>
  <c r="AC52" i="38"/>
  <c r="AC103" i="38" s="1"/>
  <c r="AB52" i="38"/>
  <c r="AB103" i="38" s="1"/>
  <c r="AA52" i="38"/>
  <c r="AA103" i="38" s="1"/>
  <c r="Z52" i="38"/>
  <c r="Y52" i="38"/>
  <c r="Y103" i="38" s="1"/>
  <c r="X52" i="38"/>
  <c r="X103" i="38" s="1"/>
  <c r="W52" i="38"/>
  <c r="W103" i="38" s="1"/>
  <c r="V52" i="38"/>
  <c r="AK51" i="38"/>
  <c r="AJ51" i="38"/>
  <c r="AI51" i="38"/>
  <c r="AH51" i="38"/>
  <c r="AG51" i="38"/>
  <c r="AF51" i="38"/>
  <c r="AE51" i="38"/>
  <c r="AD51" i="38"/>
  <c r="AC51" i="38"/>
  <c r="AB51" i="38"/>
  <c r="AA51" i="38"/>
  <c r="Z51" i="38"/>
  <c r="Y51" i="38"/>
  <c r="X51" i="38"/>
  <c r="W51" i="38"/>
  <c r="V51" i="38"/>
  <c r="AK50" i="38"/>
  <c r="AJ50" i="38"/>
  <c r="AI50" i="38"/>
  <c r="AH50" i="38"/>
  <c r="AG50" i="38"/>
  <c r="AF50" i="38"/>
  <c r="AE50" i="38"/>
  <c r="AD50" i="38"/>
  <c r="AC50" i="38"/>
  <c r="AB50" i="38"/>
  <c r="AA50" i="38"/>
  <c r="Z50" i="38"/>
  <c r="Y50" i="38"/>
  <c r="X50" i="38"/>
  <c r="W50" i="38"/>
  <c r="V50" i="38"/>
  <c r="AK49" i="38"/>
  <c r="AJ49" i="38"/>
  <c r="AI49" i="38"/>
  <c r="AH49" i="38"/>
  <c r="AG49" i="38"/>
  <c r="AF49" i="38"/>
  <c r="AE49" i="38"/>
  <c r="AD49" i="38"/>
  <c r="AC49" i="38"/>
  <c r="AB49" i="38"/>
  <c r="AA49" i="38"/>
  <c r="Z49" i="38"/>
  <c r="Y49" i="38"/>
  <c r="X49" i="38"/>
  <c r="W49" i="38"/>
  <c r="V49" i="38"/>
  <c r="AK48" i="38"/>
  <c r="AJ48" i="38"/>
  <c r="AI48" i="38"/>
  <c r="AH48" i="38"/>
  <c r="AG48" i="38"/>
  <c r="AF48" i="38"/>
  <c r="AE48" i="38"/>
  <c r="AD48" i="38"/>
  <c r="AC48" i="38"/>
  <c r="AB48" i="38"/>
  <c r="AA48" i="38"/>
  <c r="Z48" i="38"/>
  <c r="Y48" i="38"/>
  <c r="X48" i="38"/>
  <c r="W48" i="38"/>
  <c r="V48" i="38"/>
  <c r="AK47" i="38"/>
  <c r="AJ47" i="38"/>
  <c r="AI47" i="38"/>
  <c r="AH47" i="38"/>
  <c r="AG47" i="38"/>
  <c r="AF47" i="38"/>
  <c r="AE47" i="38"/>
  <c r="AD47" i="38"/>
  <c r="AC47" i="38"/>
  <c r="AB47" i="38"/>
  <c r="AA47" i="38"/>
  <c r="Z47" i="38"/>
  <c r="Y47" i="38"/>
  <c r="X47" i="38"/>
  <c r="W47" i="38"/>
  <c r="V47" i="38"/>
  <c r="AK46" i="38"/>
  <c r="AJ46" i="38"/>
  <c r="AI46" i="38"/>
  <c r="AH46" i="38"/>
  <c r="AG46" i="38"/>
  <c r="AF46" i="38"/>
  <c r="AE46" i="38"/>
  <c r="AD46" i="38"/>
  <c r="AC46" i="38"/>
  <c r="AB46" i="38"/>
  <c r="AA46" i="38"/>
  <c r="Z46" i="38"/>
  <c r="Y46" i="38"/>
  <c r="X46" i="38"/>
  <c r="W46" i="38"/>
  <c r="V46" i="38"/>
  <c r="AK45" i="38"/>
  <c r="AJ45" i="38"/>
  <c r="AI45" i="38"/>
  <c r="AH45" i="38"/>
  <c r="AG45" i="38"/>
  <c r="AF45" i="38"/>
  <c r="AE45" i="38"/>
  <c r="AD45" i="38"/>
  <c r="AC45" i="38"/>
  <c r="AB45" i="38"/>
  <c r="AA45" i="38"/>
  <c r="Z45" i="38"/>
  <c r="Y45" i="38"/>
  <c r="X45" i="38"/>
  <c r="W45" i="38"/>
  <c r="V45" i="38"/>
  <c r="AK44" i="38"/>
  <c r="AJ44" i="38"/>
  <c r="AI44" i="38"/>
  <c r="AH44" i="38"/>
  <c r="AG44" i="38"/>
  <c r="AF44" i="38"/>
  <c r="AE44" i="38"/>
  <c r="AD44" i="38"/>
  <c r="AC44" i="38"/>
  <c r="AB44" i="38"/>
  <c r="AA44" i="38"/>
  <c r="Z44" i="38"/>
  <c r="Y44" i="38"/>
  <c r="X44" i="38"/>
  <c r="W44" i="38"/>
  <c r="V44" i="38"/>
  <c r="AK43" i="38"/>
  <c r="AJ43" i="38"/>
  <c r="AI43" i="38"/>
  <c r="AH43" i="38"/>
  <c r="AG43" i="38"/>
  <c r="AF43" i="38"/>
  <c r="AE43" i="38"/>
  <c r="AD43" i="38"/>
  <c r="AC43" i="38"/>
  <c r="AB43" i="38"/>
  <c r="AA43" i="38"/>
  <c r="Z43" i="38"/>
  <c r="Y43" i="38"/>
  <c r="X43" i="38"/>
  <c r="W43" i="38"/>
  <c r="V43" i="38"/>
  <c r="AK42" i="38"/>
  <c r="AJ42" i="38"/>
  <c r="AI42" i="38"/>
  <c r="AH42" i="38"/>
  <c r="AG42" i="38"/>
  <c r="AF42" i="38"/>
  <c r="AE42" i="38"/>
  <c r="AD42" i="38"/>
  <c r="AC42" i="38"/>
  <c r="AB42" i="38"/>
  <c r="AA42" i="38"/>
  <c r="Z42" i="38"/>
  <c r="Y42" i="38"/>
  <c r="X42" i="38"/>
  <c r="W42" i="38"/>
  <c r="V42" i="38"/>
  <c r="AK41" i="38"/>
  <c r="AK91" i="38" s="1"/>
  <c r="AJ41" i="38"/>
  <c r="AJ91" i="38" s="1"/>
  <c r="AI41" i="38"/>
  <c r="AI91" i="38" s="1"/>
  <c r="AH41" i="38"/>
  <c r="AG41" i="38"/>
  <c r="AG91" i="38" s="1"/>
  <c r="AF41" i="38"/>
  <c r="AF91" i="38" s="1"/>
  <c r="AE41" i="38"/>
  <c r="AE91" i="38" s="1"/>
  <c r="AD41" i="38"/>
  <c r="AD91" i="38" s="1"/>
  <c r="AC41" i="38"/>
  <c r="AC91" i="38" s="1"/>
  <c r="AB41" i="38"/>
  <c r="AB91" i="38" s="1"/>
  <c r="AA41" i="38"/>
  <c r="AA91" i="38" s="1"/>
  <c r="Z41" i="38"/>
  <c r="Y41" i="38"/>
  <c r="Y91" i="38" s="1"/>
  <c r="X41" i="38"/>
  <c r="X91" i="38" s="1"/>
  <c r="W41" i="38"/>
  <c r="W91" i="38" s="1"/>
  <c r="V41" i="38"/>
  <c r="V91" i="38" s="1"/>
  <c r="AK40" i="38"/>
  <c r="AJ40" i="38"/>
  <c r="AI40" i="38"/>
  <c r="AH40" i="38"/>
  <c r="AG40" i="38"/>
  <c r="AF40" i="38"/>
  <c r="AE40" i="38"/>
  <c r="AD40" i="38"/>
  <c r="AC40" i="38"/>
  <c r="AB40" i="38"/>
  <c r="AA40" i="38"/>
  <c r="Z40" i="38"/>
  <c r="Y40" i="38"/>
  <c r="X40" i="38"/>
  <c r="W40" i="38"/>
  <c r="V40" i="38"/>
  <c r="AK39" i="38"/>
  <c r="AJ39" i="38"/>
  <c r="AI39" i="38"/>
  <c r="AH39" i="38"/>
  <c r="AG39" i="38"/>
  <c r="AF39" i="38"/>
  <c r="AE39" i="38"/>
  <c r="AD39" i="38"/>
  <c r="AC39" i="38"/>
  <c r="AB39" i="38"/>
  <c r="AA39" i="38"/>
  <c r="Z39" i="38"/>
  <c r="Y39" i="38"/>
  <c r="X39" i="38"/>
  <c r="W39" i="38"/>
  <c r="V39" i="38"/>
  <c r="AK38" i="38"/>
  <c r="AJ38" i="38"/>
  <c r="AI38" i="38"/>
  <c r="AH38" i="38"/>
  <c r="AG38" i="38"/>
  <c r="AF38" i="38"/>
  <c r="AE38" i="38"/>
  <c r="AD38" i="38"/>
  <c r="AC38" i="38"/>
  <c r="AB38" i="38"/>
  <c r="AA38" i="38"/>
  <c r="Z38" i="38"/>
  <c r="Y38" i="38"/>
  <c r="X38" i="38"/>
  <c r="W38" i="38"/>
  <c r="V38" i="38"/>
  <c r="AK37" i="38"/>
  <c r="AJ37" i="38"/>
  <c r="AI37" i="38"/>
  <c r="AH37" i="38"/>
  <c r="AG37" i="38"/>
  <c r="AF37" i="38"/>
  <c r="AE37" i="38"/>
  <c r="AD37" i="38"/>
  <c r="AC37" i="38"/>
  <c r="AB37" i="38"/>
  <c r="AA37" i="38"/>
  <c r="Z37" i="38"/>
  <c r="Y37" i="38"/>
  <c r="X37" i="38"/>
  <c r="W37" i="38"/>
  <c r="V37" i="38"/>
  <c r="AK36" i="38"/>
  <c r="AJ36" i="38"/>
  <c r="AI36" i="38"/>
  <c r="AH36" i="38"/>
  <c r="AG36" i="38"/>
  <c r="AF36" i="38"/>
  <c r="AE36" i="38"/>
  <c r="AD36" i="38"/>
  <c r="AC36" i="38"/>
  <c r="AB36" i="38"/>
  <c r="AA36" i="38"/>
  <c r="Z36" i="38"/>
  <c r="Y36" i="38"/>
  <c r="X36" i="38"/>
  <c r="W36" i="38"/>
  <c r="V36" i="38"/>
  <c r="AK35" i="38"/>
  <c r="AJ35" i="38"/>
  <c r="AI35" i="38"/>
  <c r="AH35" i="38"/>
  <c r="AG35" i="38"/>
  <c r="AF35" i="38"/>
  <c r="AE35" i="38"/>
  <c r="AD35" i="38"/>
  <c r="AC35" i="38"/>
  <c r="AB35" i="38"/>
  <c r="AA35" i="38"/>
  <c r="Z35" i="38"/>
  <c r="Y35" i="38"/>
  <c r="X35" i="38"/>
  <c r="W35" i="38"/>
  <c r="V35" i="38"/>
  <c r="AK34" i="38"/>
  <c r="AJ34" i="38"/>
  <c r="AI34" i="38"/>
  <c r="AH34" i="38"/>
  <c r="AG34" i="38"/>
  <c r="AF34" i="38"/>
  <c r="AE34" i="38"/>
  <c r="AD34" i="38"/>
  <c r="AC34" i="38"/>
  <c r="AB34" i="38"/>
  <c r="AA34" i="38"/>
  <c r="Z34" i="38"/>
  <c r="Y34" i="38"/>
  <c r="X34" i="38"/>
  <c r="W34" i="38"/>
  <c r="V34" i="38"/>
  <c r="AK33" i="38"/>
  <c r="AJ33" i="38"/>
  <c r="AI33" i="38"/>
  <c r="AH33" i="38"/>
  <c r="AG33" i="38"/>
  <c r="AF33" i="38"/>
  <c r="AE33" i="38"/>
  <c r="AD33" i="38"/>
  <c r="AC33" i="38"/>
  <c r="AB33" i="38"/>
  <c r="AA33" i="38"/>
  <c r="Z33" i="38"/>
  <c r="Y33" i="38"/>
  <c r="X33" i="38"/>
  <c r="W33" i="38"/>
  <c r="V33" i="38"/>
  <c r="AK32" i="38"/>
  <c r="AJ32" i="38"/>
  <c r="AI32" i="38"/>
  <c r="AH32" i="38"/>
  <c r="AG32" i="38"/>
  <c r="AF32" i="38"/>
  <c r="AE32" i="38"/>
  <c r="AD32" i="38"/>
  <c r="AC32" i="38"/>
  <c r="AB32" i="38"/>
  <c r="AA32" i="38"/>
  <c r="Z32" i="38"/>
  <c r="Y32" i="38"/>
  <c r="X32" i="38"/>
  <c r="W32" i="38"/>
  <c r="V32" i="38"/>
  <c r="AK31" i="38"/>
  <c r="AJ31" i="38"/>
  <c r="AI31" i="38"/>
  <c r="AH31" i="38"/>
  <c r="AG31" i="38"/>
  <c r="AF31" i="38"/>
  <c r="AE31" i="38"/>
  <c r="AD31" i="38"/>
  <c r="AC31" i="38"/>
  <c r="AB31" i="38"/>
  <c r="AA31" i="38"/>
  <c r="Z31" i="38"/>
  <c r="Y31" i="38"/>
  <c r="X31" i="38"/>
  <c r="W31" i="38"/>
  <c r="V31" i="38"/>
  <c r="AK30" i="38"/>
  <c r="AK90" i="38" s="1"/>
  <c r="AJ30" i="38"/>
  <c r="AJ90" i="38" s="1"/>
  <c r="AI30" i="38"/>
  <c r="AI90" i="38" s="1"/>
  <c r="AH30" i="38"/>
  <c r="AH90" i="38" s="1"/>
  <c r="AG30" i="38"/>
  <c r="AG90" i="38" s="1"/>
  <c r="AF30" i="38"/>
  <c r="AF90" i="38" s="1"/>
  <c r="AE30" i="38"/>
  <c r="AE90" i="38" s="1"/>
  <c r="AD30" i="38"/>
  <c r="AD90" i="38" s="1"/>
  <c r="AC30" i="38"/>
  <c r="AC90" i="38" s="1"/>
  <c r="AB30" i="38"/>
  <c r="AB90" i="38" s="1"/>
  <c r="AA30" i="38"/>
  <c r="AA90" i="38" s="1"/>
  <c r="Z30" i="38"/>
  <c r="Z90" i="38" s="1"/>
  <c r="Y30" i="38"/>
  <c r="Y90" i="38" s="1"/>
  <c r="X30" i="38"/>
  <c r="X90" i="38" s="1"/>
  <c r="W30" i="38"/>
  <c r="W90" i="38" s="1"/>
  <c r="V30" i="38"/>
  <c r="V90" i="38" s="1"/>
  <c r="AK29" i="38"/>
  <c r="AJ29" i="38"/>
  <c r="AI29" i="38"/>
  <c r="AH29" i="38"/>
  <c r="AG29" i="38"/>
  <c r="AF29" i="38"/>
  <c r="AE29" i="38"/>
  <c r="AD29" i="38"/>
  <c r="AC29" i="38"/>
  <c r="AB29" i="38"/>
  <c r="AA29" i="38"/>
  <c r="Z29" i="38"/>
  <c r="Y29" i="38"/>
  <c r="X29" i="38"/>
  <c r="W29" i="38"/>
  <c r="V29" i="38"/>
  <c r="AK28" i="38"/>
  <c r="AJ28" i="38"/>
  <c r="AI28" i="38"/>
  <c r="AH28" i="38"/>
  <c r="AG28" i="38"/>
  <c r="AF28" i="38"/>
  <c r="AE28" i="38"/>
  <c r="AD28" i="38"/>
  <c r="AC28" i="38"/>
  <c r="AB28" i="38"/>
  <c r="AA28" i="38"/>
  <c r="Z28" i="38"/>
  <c r="Y28" i="38"/>
  <c r="X28" i="38"/>
  <c r="W28" i="38"/>
  <c r="V28" i="38"/>
  <c r="AK27" i="38"/>
  <c r="AJ27" i="38"/>
  <c r="AI27" i="38"/>
  <c r="AH27" i="38"/>
  <c r="AG27" i="38"/>
  <c r="AF27" i="38"/>
  <c r="AE27" i="38"/>
  <c r="AD27" i="38"/>
  <c r="AC27" i="38"/>
  <c r="AB27" i="38"/>
  <c r="AA27" i="38"/>
  <c r="Z27" i="38"/>
  <c r="Y27" i="38"/>
  <c r="X27" i="38"/>
  <c r="W27" i="38"/>
  <c r="V27" i="38"/>
  <c r="AK26" i="38"/>
  <c r="AJ26" i="38"/>
  <c r="AI26" i="38"/>
  <c r="AH26" i="38"/>
  <c r="AG26" i="38"/>
  <c r="AF26" i="38"/>
  <c r="AE26" i="38"/>
  <c r="AD26" i="38"/>
  <c r="AC26" i="38"/>
  <c r="AB26" i="38"/>
  <c r="AA26" i="38"/>
  <c r="Z26" i="38"/>
  <c r="Y26" i="38"/>
  <c r="X26" i="38"/>
  <c r="W26" i="38"/>
  <c r="V26" i="38"/>
  <c r="AK25" i="38"/>
  <c r="AJ25" i="38"/>
  <c r="AI25" i="38"/>
  <c r="AH25" i="38"/>
  <c r="AG25" i="38"/>
  <c r="AF25" i="38"/>
  <c r="AE25" i="38"/>
  <c r="AD25" i="38"/>
  <c r="AC25" i="38"/>
  <c r="AB25" i="38"/>
  <c r="AA25" i="38"/>
  <c r="Z25" i="38"/>
  <c r="Y25" i="38"/>
  <c r="X25" i="38"/>
  <c r="W25" i="38"/>
  <c r="V25" i="38"/>
  <c r="AK24" i="38"/>
  <c r="AJ24" i="38"/>
  <c r="AI24" i="38"/>
  <c r="AH24" i="38"/>
  <c r="AG24" i="38"/>
  <c r="AF24" i="38"/>
  <c r="AE24" i="38"/>
  <c r="AD24" i="38"/>
  <c r="AC24" i="38"/>
  <c r="AB24" i="38"/>
  <c r="AA24" i="38"/>
  <c r="Z24" i="38"/>
  <c r="Y24" i="38"/>
  <c r="X24" i="38"/>
  <c r="W24" i="38"/>
  <c r="V24" i="38"/>
  <c r="AK23" i="38"/>
  <c r="AJ23" i="38"/>
  <c r="AI23" i="38"/>
  <c r="AH23" i="38"/>
  <c r="AG23" i="38"/>
  <c r="AF23" i="38"/>
  <c r="AE23" i="38"/>
  <c r="AD23" i="38"/>
  <c r="AC23" i="38"/>
  <c r="AB23" i="38"/>
  <c r="AA23" i="38"/>
  <c r="Z23" i="38"/>
  <c r="Y23" i="38"/>
  <c r="X23" i="38"/>
  <c r="W23" i="38"/>
  <c r="V23" i="38"/>
  <c r="AK22" i="38"/>
  <c r="AJ22" i="38"/>
  <c r="AI22" i="38"/>
  <c r="AH22" i="38"/>
  <c r="AG22" i="38"/>
  <c r="AF22" i="38"/>
  <c r="AE22" i="38"/>
  <c r="AD22" i="38"/>
  <c r="AC22" i="38"/>
  <c r="AB22" i="38"/>
  <c r="AA22" i="38"/>
  <c r="Z22" i="38"/>
  <c r="Y22" i="38"/>
  <c r="X22" i="38"/>
  <c r="W22" i="38"/>
  <c r="V22" i="38"/>
  <c r="AK21" i="38"/>
  <c r="AK89" i="38" s="1"/>
  <c r="AJ21" i="38"/>
  <c r="AJ89" i="38" s="1"/>
  <c r="AI21" i="38"/>
  <c r="AI89" i="38" s="1"/>
  <c r="AH21" i="38"/>
  <c r="AH89" i="38" s="1"/>
  <c r="AG21" i="38"/>
  <c r="AG89" i="38" s="1"/>
  <c r="AF21" i="38"/>
  <c r="AF89" i="38" s="1"/>
  <c r="AE21" i="38"/>
  <c r="AE89" i="38" s="1"/>
  <c r="AD21" i="38"/>
  <c r="AD89" i="38" s="1"/>
  <c r="AC21" i="38"/>
  <c r="AC89" i="38" s="1"/>
  <c r="AB21" i="38"/>
  <c r="AB89" i="38" s="1"/>
  <c r="AA21" i="38"/>
  <c r="AA89" i="38" s="1"/>
  <c r="Z21" i="38"/>
  <c r="Z89" i="38" s="1"/>
  <c r="Y21" i="38"/>
  <c r="Y89" i="38" s="1"/>
  <c r="X21" i="38"/>
  <c r="X89" i="38" s="1"/>
  <c r="W21" i="38"/>
  <c r="W89" i="38" s="1"/>
  <c r="V21" i="38"/>
  <c r="V89" i="38" s="1"/>
  <c r="AK20" i="38"/>
  <c r="AJ20" i="38"/>
  <c r="AI20" i="38"/>
  <c r="AH20" i="38"/>
  <c r="AG20" i="38"/>
  <c r="AF20" i="38"/>
  <c r="AE20" i="38"/>
  <c r="AD20" i="38"/>
  <c r="AC20" i="38"/>
  <c r="AB20" i="38"/>
  <c r="AA20" i="38"/>
  <c r="Z20" i="38"/>
  <c r="Y20" i="38"/>
  <c r="X20" i="38"/>
  <c r="W20" i="38"/>
  <c r="V20" i="38"/>
  <c r="AK19" i="38"/>
  <c r="AJ19" i="38"/>
  <c r="AI19" i="38"/>
  <c r="AH19" i="38"/>
  <c r="AG19" i="38"/>
  <c r="AF19" i="38"/>
  <c r="AE19" i="38"/>
  <c r="AD19" i="38"/>
  <c r="AC19" i="38"/>
  <c r="AB19" i="38"/>
  <c r="AA19" i="38"/>
  <c r="Z19" i="38"/>
  <c r="Y19" i="38"/>
  <c r="X19" i="38"/>
  <c r="W19" i="38"/>
  <c r="V19" i="38"/>
  <c r="AK18" i="38"/>
  <c r="AJ18" i="38"/>
  <c r="AI18" i="38"/>
  <c r="AH18" i="38"/>
  <c r="AG18" i="38"/>
  <c r="AF18" i="38"/>
  <c r="AE18" i="38"/>
  <c r="AD18" i="38"/>
  <c r="AC18" i="38"/>
  <c r="AB18" i="38"/>
  <c r="AA18" i="38"/>
  <c r="Z18" i="38"/>
  <c r="Y18" i="38"/>
  <c r="X18" i="38"/>
  <c r="W18" i="38"/>
  <c r="V18" i="38"/>
  <c r="AK17" i="38"/>
  <c r="AJ17" i="38"/>
  <c r="AI17" i="38"/>
  <c r="AH17" i="38"/>
  <c r="AG17" i="38"/>
  <c r="AF17" i="38"/>
  <c r="AE17" i="38"/>
  <c r="AD17" i="38"/>
  <c r="AC17" i="38"/>
  <c r="AB17" i="38"/>
  <c r="AA17" i="38"/>
  <c r="Z17" i="38"/>
  <c r="Y17" i="38"/>
  <c r="X17" i="38"/>
  <c r="W17" i="38"/>
  <c r="V17" i="38"/>
  <c r="AK16" i="38"/>
  <c r="AJ16" i="38"/>
  <c r="AI16" i="38"/>
  <c r="AH16" i="38"/>
  <c r="AG16" i="38"/>
  <c r="AF16" i="38"/>
  <c r="AE16" i="38"/>
  <c r="AD16" i="38"/>
  <c r="AC16" i="38"/>
  <c r="AB16" i="38"/>
  <c r="AA16" i="38"/>
  <c r="Z16" i="38"/>
  <c r="Y16" i="38"/>
  <c r="X16" i="38"/>
  <c r="W16" i="38"/>
  <c r="V16" i="38"/>
  <c r="AK15" i="38"/>
  <c r="AJ15" i="38"/>
  <c r="AI15" i="38"/>
  <c r="AH15" i="38"/>
  <c r="AG15" i="38"/>
  <c r="AF15" i="38"/>
  <c r="AE15" i="38"/>
  <c r="AD15" i="38"/>
  <c r="AC15" i="38"/>
  <c r="AB15" i="38"/>
  <c r="AA15" i="38"/>
  <c r="Z15" i="38"/>
  <c r="Y15" i="38"/>
  <c r="X15" i="38"/>
  <c r="W15" i="38"/>
  <c r="V15" i="38"/>
  <c r="AK14" i="38"/>
  <c r="AJ14" i="38"/>
  <c r="AI14" i="38"/>
  <c r="AH14" i="38"/>
  <c r="AG14" i="38"/>
  <c r="AF14" i="38"/>
  <c r="AE14" i="38"/>
  <c r="AD14" i="38"/>
  <c r="AC14" i="38"/>
  <c r="AB14" i="38"/>
  <c r="AA14" i="38"/>
  <c r="Z14" i="38"/>
  <c r="Y14" i="38"/>
  <c r="X14" i="38"/>
  <c r="W14" i="38"/>
  <c r="V14" i="38"/>
  <c r="AK13" i="38"/>
  <c r="AJ13" i="38"/>
  <c r="AI13" i="38"/>
  <c r="AH13" i="38"/>
  <c r="AG13" i="38"/>
  <c r="AF13" i="38"/>
  <c r="AE13" i="38"/>
  <c r="AD13" i="38"/>
  <c r="AC13" i="38"/>
  <c r="AB13" i="38"/>
  <c r="AA13" i="38"/>
  <c r="Z13" i="38"/>
  <c r="Y13" i="38"/>
  <c r="X13" i="38"/>
  <c r="W13" i="38"/>
  <c r="V13" i="38"/>
  <c r="AK12" i="38"/>
  <c r="AK101" i="38" s="1"/>
  <c r="AJ12" i="38"/>
  <c r="AJ88" i="38" s="1"/>
  <c r="AI12" i="38"/>
  <c r="AI101" i="38" s="1"/>
  <c r="AH12" i="38"/>
  <c r="AG12" i="38"/>
  <c r="AG101" i="38" s="1"/>
  <c r="AF12" i="38"/>
  <c r="AE12" i="38"/>
  <c r="AE101" i="38" s="1"/>
  <c r="AD12" i="38"/>
  <c r="AC12" i="38"/>
  <c r="AC101" i="38" s="1"/>
  <c r="AB12" i="38"/>
  <c r="AB88" i="38" s="1"/>
  <c r="AA12" i="38"/>
  <c r="AA101" i="38" s="1"/>
  <c r="Z12" i="38"/>
  <c r="Y12" i="38"/>
  <c r="Y101" i="38" s="1"/>
  <c r="X12" i="38"/>
  <c r="X88" i="38" s="1"/>
  <c r="W12" i="38"/>
  <c r="W101" i="38" s="1"/>
  <c r="V12" i="38"/>
  <c r="AK11" i="38"/>
  <c r="AJ11" i="38"/>
  <c r="AI11" i="38"/>
  <c r="AH11" i="38"/>
  <c r="AG11" i="38"/>
  <c r="AF11" i="38"/>
  <c r="AE11" i="38"/>
  <c r="AD11" i="38"/>
  <c r="AC11" i="38"/>
  <c r="AB11" i="38"/>
  <c r="AA11" i="38"/>
  <c r="Z11" i="38"/>
  <c r="Y11" i="38"/>
  <c r="X11" i="38"/>
  <c r="W11" i="38"/>
  <c r="V11" i="38"/>
  <c r="AK10" i="38"/>
  <c r="AJ10" i="38"/>
  <c r="AI10" i="38"/>
  <c r="AH10" i="38"/>
  <c r="AG10" i="38"/>
  <c r="AF10" i="38"/>
  <c r="AE10" i="38"/>
  <c r="AD10" i="38"/>
  <c r="AC10" i="38"/>
  <c r="AB10" i="38"/>
  <c r="AA10" i="38"/>
  <c r="Z10" i="38"/>
  <c r="Y10" i="38"/>
  <c r="X10" i="38"/>
  <c r="W10" i="38"/>
  <c r="V10" i="38"/>
  <c r="AK9" i="38"/>
  <c r="AJ9" i="38"/>
  <c r="AI9" i="38"/>
  <c r="AH9" i="38"/>
  <c r="AG9" i="38"/>
  <c r="AF9" i="38"/>
  <c r="AE9" i="38"/>
  <c r="AD9" i="38"/>
  <c r="AC9" i="38"/>
  <c r="AB9" i="38"/>
  <c r="AA9" i="38"/>
  <c r="Z9" i="38"/>
  <c r="Y9" i="38"/>
  <c r="X9" i="38"/>
  <c r="W9" i="38"/>
  <c r="V9" i="38"/>
  <c r="AK8" i="38"/>
  <c r="AJ8" i="38"/>
  <c r="AI8" i="38"/>
  <c r="AH8" i="38"/>
  <c r="AG8" i="38"/>
  <c r="AF8" i="38"/>
  <c r="AE8" i="38"/>
  <c r="AD8" i="38"/>
  <c r="AC8" i="38"/>
  <c r="AB8" i="38"/>
  <c r="AA8" i="38"/>
  <c r="Z8" i="38"/>
  <c r="Y8" i="38"/>
  <c r="X8" i="38"/>
  <c r="W8" i="38"/>
  <c r="V8" i="38"/>
  <c r="AK7" i="38"/>
  <c r="AJ7" i="38"/>
  <c r="AI7" i="38"/>
  <c r="AH7" i="38"/>
  <c r="AG7" i="38"/>
  <c r="AF7" i="38"/>
  <c r="AE7" i="38"/>
  <c r="AD7" i="38"/>
  <c r="AC7" i="38"/>
  <c r="AB7" i="38"/>
  <c r="AA7" i="38"/>
  <c r="Z7" i="38"/>
  <c r="Y7" i="38"/>
  <c r="X7" i="38"/>
  <c r="W7" i="38"/>
  <c r="V7" i="38"/>
  <c r="AK6" i="38"/>
  <c r="AJ6" i="38"/>
  <c r="AI6" i="38"/>
  <c r="AH6" i="38"/>
  <c r="AG6" i="38"/>
  <c r="AF6" i="38"/>
  <c r="AE6" i="38"/>
  <c r="AD6" i="38"/>
  <c r="AC6" i="38"/>
  <c r="AB6" i="38"/>
  <c r="AA6" i="38"/>
  <c r="Z6" i="38"/>
  <c r="Y6" i="38"/>
  <c r="X6" i="38"/>
  <c r="W6" i="38"/>
  <c r="V6" i="38"/>
  <c r="AK5" i="38"/>
  <c r="AJ5" i="38"/>
  <c r="AI5" i="38"/>
  <c r="AH5" i="38"/>
  <c r="AG5" i="38"/>
  <c r="AF5" i="38"/>
  <c r="AE5" i="38"/>
  <c r="AD5" i="38"/>
  <c r="AC5" i="38"/>
  <c r="AB5" i="38"/>
  <c r="AA5" i="38"/>
  <c r="Z5" i="38"/>
  <c r="Y5" i="38"/>
  <c r="X5" i="38"/>
  <c r="W5" i="38"/>
  <c r="V5" i="38"/>
  <c r="AK4" i="38"/>
  <c r="AJ4" i="38"/>
  <c r="AI4" i="38"/>
  <c r="AH4" i="38"/>
  <c r="AG4" i="38"/>
  <c r="AF4" i="38"/>
  <c r="AE4" i="38"/>
  <c r="AD4" i="38"/>
  <c r="AC4" i="38"/>
  <c r="AB4" i="38"/>
  <c r="AA4" i="38"/>
  <c r="Z4" i="38"/>
  <c r="Y4" i="38"/>
  <c r="X4" i="38"/>
  <c r="W4" i="38"/>
  <c r="V4" i="38"/>
  <c r="AK3" i="38"/>
  <c r="AK99" i="38" s="1"/>
  <c r="AJ3" i="38"/>
  <c r="AI3" i="38"/>
  <c r="AI99" i="38" s="1"/>
  <c r="AH3" i="38"/>
  <c r="AG3" i="38"/>
  <c r="AG99" i="38" s="1"/>
  <c r="AF3" i="38"/>
  <c r="AE3" i="38"/>
  <c r="AE99" i="38" s="1"/>
  <c r="AD3" i="38"/>
  <c r="AC3" i="38"/>
  <c r="AC99" i="38" s="1"/>
  <c r="AB3" i="38"/>
  <c r="AB87" i="38" s="1"/>
  <c r="AA3" i="38"/>
  <c r="AA99" i="38" s="1"/>
  <c r="Z3" i="38"/>
  <c r="Y3" i="38"/>
  <c r="Y99" i="38" s="1"/>
  <c r="X3" i="38"/>
  <c r="X87" i="38" s="1"/>
  <c r="W3" i="38"/>
  <c r="W99" i="38" s="1"/>
  <c r="V3" i="38"/>
  <c r="AD90" i="36"/>
  <c r="AH90" i="36"/>
  <c r="AD91" i="36"/>
  <c r="AH91" i="36"/>
  <c r="AD92" i="36"/>
  <c r="AH92" i="36"/>
  <c r="AD93" i="36"/>
  <c r="AH93" i="36"/>
  <c r="AD94" i="36"/>
  <c r="AF94" i="36"/>
  <c r="AH94" i="36"/>
  <c r="AJ94" i="36"/>
  <c r="AD95" i="36"/>
  <c r="AF95" i="36"/>
  <c r="AH95" i="36"/>
  <c r="AJ95" i="36"/>
  <c r="AD96" i="36"/>
  <c r="AF96" i="36"/>
  <c r="AH96" i="36"/>
  <c r="AJ96" i="36"/>
  <c r="AD101" i="36"/>
  <c r="AH101" i="36"/>
  <c r="AD103" i="36"/>
  <c r="AH103" i="36"/>
  <c r="AJ103" i="36"/>
  <c r="AK85" i="36"/>
  <c r="AJ85" i="36"/>
  <c r="AI85" i="36"/>
  <c r="AH85" i="36"/>
  <c r="AG85" i="36"/>
  <c r="AF85" i="36"/>
  <c r="AE85" i="36"/>
  <c r="AD85" i="36"/>
  <c r="AC85" i="36"/>
  <c r="AB85" i="36"/>
  <c r="AA85" i="36"/>
  <c r="Z85" i="36"/>
  <c r="Y85" i="36"/>
  <c r="X85" i="36"/>
  <c r="W85" i="36"/>
  <c r="V85" i="36"/>
  <c r="AK84" i="36"/>
  <c r="AJ84" i="36"/>
  <c r="AI84" i="36"/>
  <c r="AH84" i="36"/>
  <c r="AG84" i="36"/>
  <c r="AF84" i="36"/>
  <c r="AE84" i="36"/>
  <c r="AD84" i="36"/>
  <c r="AC84" i="36"/>
  <c r="AB84" i="36"/>
  <c r="AA84" i="36"/>
  <c r="Z84" i="36"/>
  <c r="Y84" i="36"/>
  <c r="X84" i="36"/>
  <c r="W84" i="36"/>
  <c r="V84" i="36"/>
  <c r="AK83" i="36"/>
  <c r="AJ83" i="36"/>
  <c r="AI83" i="36"/>
  <c r="AH83" i="36"/>
  <c r="AG83" i="36"/>
  <c r="AF83" i="36"/>
  <c r="AE83" i="36"/>
  <c r="AD83" i="36"/>
  <c r="AC83" i="36"/>
  <c r="AB83" i="36"/>
  <c r="AA83" i="36"/>
  <c r="Z83" i="36"/>
  <c r="Y83" i="36"/>
  <c r="X83" i="36"/>
  <c r="W83" i="36"/>
  <c r="V83" i="36"/>
  <c r="AK82" i="36"/>
  <c r="AJ82" i="36"/>
  <c r="AI82" i="36"/>
  <c r="AH82" i="36"/>
  <c r="AG82" i="36"/>
  <c r="AF82" i="36"/>
  <c r="AE82" i="36"/>
  <c r="AD82" i="36"/>
  <c r="AC82" i="36"/>
  <c r="AB82" i="36"/>
  <c r="AA82" i="36"/>
  <c r="Z82" i="36"/>
  <c r="Y82" i="36"/>
  <c r="X82" i="36"/>
  <c r="W82" i="36"/>
  <c r="V82" i="36"/>
  <c r="AK81" i="36"/>
  <c r="AJ81" i="36"/>
  <c r="AI81" i="36"/>
  <c r="AH81" i="36"/>
  <c r="AG81" i="36"/>
  <c r="AF81" i="36"/>
  <c r="AE81" i="36"/>
  <c r="AD81" i="36"/>
  <c r="AC81" i="36"/>
  <c r="AB81" i="36"/>
  <c r="AA81" i="36"/>
  <c r="Z81" i="36"/>
  <c r="Y81" i="36"/>
  <c r="X81" i="36"/>
  <c r="W81" i="36"/>
  <c r="V81" i="36"/>
  <c r="AK80" i="36"/>
  <c r="AJ80" i="36"/>
  <c r="AI80" i="36"/>
  <c r="AH80" i="36"/>
  <c r="AG80" i="36"/>
  <c r="AF80" i="36"/>
  <c r="AE80" i="36"/>
  <c r="AD80" i="36"/>
  <c r="AC80" i="36"/>
  <c r="AB80" i="36"/>
  <c r="AA80" i="36"/>
  <c r="Z80" i="36"/>
  <c r="Y80" i="36"/>
  <c r="X80" i="36"/>
  <c r="W80" i="36"/>
  <c r="V80" i="36"/>
  <c r="AK79" i="36"/>
  <c r="AJ79" i="36"/>
  <c r="AI79" i="36"/>
  <c r="AH79" i="36"/>
  <c r="AG79" i="36"/>
  <c r="AF79" i="36"/>
  <c r="AE79" i="36"/>
  <c r="AD79" i="36"/>
  <c r="AC79" i="36"/>
  <c r="AB79" i="36"/>
  <c r="AA79" i="36"/>
  <c r="Z79" i="36"/>
  <c r="Y79" i="36"/>
  <c r="X79" i="36"/>
  <c r="W79" i="36"/>
  <c r="V79" i="36"/>
  <c r="AK78" i="36"/>
  <c r="AK96" i="36" s="1"/>
  <c r="AJ78" i="36"/>
  <c r="AI78" i="36"/>
  <c r="AI96" i="36" s="1"/>
  <c r="AH78" i="36"/>
  <c r="AG78" i="36"/>
  <c r="AG96" i="36" s="1"/>
  <c r="AF78" i="36"/>
  <c r="AE78" i="36"/>
  <c r="AE96" i="36" s="1"/>
  <c r="AD78" i="36"/>
  <c r="AC78" i="36"/>
  <c r="AC96" i="36" s="1"/>
  <c r="AB78" i="36"/>
  <c r="AA78" i="36"/>
  <c r="Z78" i="36"/>
  <c r="Z96" i="36" s="1"/>
  <c r="Y78" i="36"/>
  <c r="X78" i="36"/>
  <c r="W78" i="36"/>
  <c r="V78" i="36"/>
  <c r="V96" i="36" s="1"/>
  <c r="AK77" i="36"/>
  <c r="AJ77" i="36"/>
  <c r="AI77" i="36"/>
  <c r="AH77" i="36"/>
  <c r="AG77" i="36"/>
  <c r="AF77" i="36"/>
  <c r="AE77" i="36"/>
  <c r="AD77" i="36"/>
  <c r="AC77" i="36"/>
  <c r="AB77" i="36"/>
  <c r="AA77" i="36"/>
  <c r="Z77" i="36"/>
  <c r="Y77" i="36"/>
  <c r="X77" i="36"/>
  <c r="W77" i="36"/>
  <c r="V77" i="36"/>
  <c r="AK76" i="36"/>
  <c r="AJ76" i="36"/>
  <c r="AI76" i="36"/>
  <c r="AH76" i="36"/>
  <c r="AG76" i="36"/>
  <c r="AF76" i="36"/>
  <c r="AE76" i="36"/>
  <c r="AD76" i="36"/>
  <c r="AC76" i="36"/>
  <c r="AB76" i="36"/>
  <c r="AA76" i="36"/>
  <c r="Z76" i="36"/>
  <c r="Y76" i="36"/>
  <c r="X76" i="36"/>
  <c r="W76" i="36"/>
  <c r="V76" i="36"/>
  <c r="AK75" i="36"/>
  <c r="AJ75" i="36"/>
  <c r="AI75" i="36"/>
  <c r="AH75" i="36"/>
  <c r="AG75" i="36"/>
  <c r="AF75" i="36"/>
  <c r="AE75" i="36"/>
  <c r="AD75" i="36"/>
  <c r="AC75" i="36"/>
  <c r="AB75" i="36"/>
  <c r="AA75" i="36"/>
  <c r="Z75" i="36"/>
  <c r="Y75" i="36"/>
  <c r="X75" i="36"/>
  <c r="W75" i="36"/>
  <c r="V75" i="36"/>
  <c r="AK74" i="36"/>
  <c r="AJ74" i="36"/>
  <c r="AI74" i="36"/>
  <c r="AH74" i="36"/>
  <c r="AG74" i="36"/>
  <c r="AF74" i="36"/>
  <c r="AE74" i="36"/>
  <c r="AD74" i="36"/>
  <c r="AC74" i="36"/>
  <c r="AB74" i="36"/>
  <c r="AA74" i="36"/>
  <c r="Z74" i="36"/>
  <c r="Y74" i="36"/>
  <c r="X74" i="36"/>
  <c r="W74" i="36"/>
  <c r="V74" i="36"/>
  <c r="AK73" i="36"/>
  <c r="AJ73" i="36"/>
  <c r="AI73" i="36"/>
  <c r="AH73" i="36"/>
  <c r="AG73" i="36"/>
  <c r="AF73" i="36"/>
  <c r="AE73" i="36"/>
  <c r="AD73" i="36"/>
  <c r="AC73" i="36"/>
  <c r="AB73" i="36"/>
  <c r="AA73" i="36"/>
  <c r="Z73" i="36"/>
  <c r="Y73" i="36"/>
  <c r="X73" i="36"/>
  <c r="W73" i="36"/>
  <c r="V73" i="36"/>
  <c r="AK72" i="36"/>
  <c r="AJ72" i="36"/>
  <c r="AI72" i="36"/>
  <c r="AH72" i="36"/>
  <c r="AG72" i="36"/>
  <c r="AF72" i="36"/>
  <c r="AE72" i="36"/>
  <c r="AD72" i="36"/>
  <c r="AC72" i="36"/>
  <c r="AB72" i="36"/>
  <c r="AA72" i="36"/>
  <c r="Z72" i="36"/>
  <c r="Y72" i="36"/>
  <c r="X72" i="36"/>
  <c r="W72" i="36"/>
  <c r="V72" i="36"/>
  <c r="AK71" i="36"/>
  <c r="AJ71" i="36"/>
  <c r="AI71" i="36"/>
  <c r="AH71" i="36"/>
  <c r="AG71" i="36"/>
  <c r="AF71" i="36"/>
  <c r="AE71" i="36"/>
  <c r="AD71" i="36"/>
  <c r="AC71" i="36"/>
  <c r="AB71" i="36"/>
  <c r="AA71" i="36"/>
  <c r="Z71" i="36"/>
  <c r="Y71" i="36"/>
  <c r="X71" i="36"/>
  <c r="W71" i="36"/>
  <c r="V71" i="36"/>
  <c r="AK70" i="36"/>
  <c r="AK95" i="36" s="1"/>
  <c r="AJ70" i="36"/>
  <c r="AI70" i="36"/>
  <c r="AI95" i="36" s="1"/>
  <c r="AH70" i="36"/>
  <c r="AG70" i="36"/>
  <c r="AG95" i="36" s="1"/>
  <c r="AF70" i="36"/>
  <c r="AE70" i="36"/>
  <c r="AE95" i="36" s="1"/>
  <c r="AD70" i="36"/>
  <c r="AC70" i="36"/>
  <c r="AC95" i="36" s="1"/>
  <c r="AB70" i="36"/>
  <c r="AA70" i="36"/>
  <c r="Z70" i="36"/>
  <c r="Z95" i="36" s="1"/>
  <c r="Y70" i="36"/>
  <c r="X70" i="36"/>
  <c r="W70" i="36"/>
  <c r="V70" i="36"/>
  <c r="V95" i="36" s="1"/>
  <c r="AK69" i="36"/>
  <c r="AJ69" i="36"/>
  <c r="AI69" i="36"/>
  <c r="AH69" i="36"/>
  <c r="AG69" i="36"/>
  <c r="AF69" i="36"/>
  <c r="AE69" i="36"/>
  <c r="AD69" i="36"/>
  <c r="AC69" i="36"/>
  <c r="AB69" i="36"/>
  <c r="AA69" i="36"/>
  <c r="Z69" i="36"/>
  <c r="Y69" i="36"/>
  <c r="X69" i="36"/>
  <c r="W69" i="36"/>
  <c r="V69" i="36"/>
  <c r="AK68" i="36"/>
  <c r="AJ68" i="36"/>
  <c r="AI68" i="36"/>
  <c r="AH68" i="36"/>
  <c r="AG68" i="36"/>
  <c r="AF68" i="36"/>
  <c r="AE68" i="36"/>
  <c r="AD68" i="36"/>
  <c r="AC68" i="36"/>
  <c r="AB68" i="36"/>
  <c r="AA68" i="36"/>
  <c r="Z68" i="36"/>
  <c r="Y68" i="36"/>
  <c r="X68" i="36"/>
  <c r="W68" i="36"/>
  <c r="V68" i="36"/>
  <c r="AK67" i="36"/>
  <c r="AJ67" i="36"/>
  <c r="AI67" i="36"/>
  <c r="AH67" i="36"/>
  <c r="AG67" i="36"/>
  <c r="AF67" i="36"/>
  <c r="AE67" i="36"/>
  <c r="AD67" i="36"/>
  <c r="AC67" i="36"/>
  <c r="AB67" i="36"/>
  <c r="AA67" i="36"/>
  <c r="Z67" i="36"/>
  <c r="Y67" i="36"/>
  <c r="X67" i="36"/>
  <c r="W67" i="36"/>
  <c r="V67" i="36"/>
  <c r="AK66" i="36"/>
  <c r="AJ66" i="36"/>
  <c r="AI66" i="36"/>
  <c r="AH66" i="36"/>
  <c r="AG66" i="36"/>
  <c r="AF66" i="36"/>
  <c r="AE66" i="36"/>
  <c r="AD66" i="36"/>
  <c r="AC66" i="36"/>
  <c r="AB66" i="36"/>
  <c r="AA66" i="36"/>
  <c r="Z66" i="36"/>
  <c r="Y66" i="36"/>
  <c r="X66" i="36"/>
  <c r="W66" i="36"/>
  <c r="V66" i="36"/>
  <c r="AK65" i="36"/>
  <c r="AK94" i="36" s="1"/>
  <c r="AJ65" i="36"/>
  <c r="AI65" i="36"/>
  <c r="AI94" i="36" s="1"/>
  <c r="AH65" i="36"/>
  <c r="AG65" i="36"/>
  <c r="AG94" i="36" s="1"/>
  <c r="AF65" i="36"/>
  <c r="AE65" i="36"/>
  <c r="AE94" i="36" s="1"/>
  <c r="AD65" i="36"/>
  <c r="AC65" i="36"/>
  <c r="AC94" i="36" s="1"/>
  <c r="AB65" i="36"/>
  <c r="AA65" i="36"/>
  <c r="Z65" i="36"/>
  <c r="Z94" i="36" s="1"/>
  <c r="Y65" i="36"/>
  <c r="Y94" i="36" s="1"/>
  <c r="X65" i="36"/>
  <c r="W65" i="36"/>
  <c r="V65" i="36"/>
  <c r="V94" i="36" s="1"/>
  <c r="AK64" i="36"/>
  <c r="AJ64" i="36"/>
  <c r="AI64" i="36"/>
  <c r="AH64" i="36"/>
  <c r="AG64" i="36"/>
  <c r="AF64" i="36"/>
  <c r="AE64" i="36"/>
  <c r="AD64" i="36"/>
  <c r="AC64" i="36"/>
  <c r="AB64" i="36"/>
  <c r="AA64" i="36"/>
  <c r="Z64" i="36"/>
  <c r="Y64" i="36"/>
  <c r="X64" i="36"/>
  <c r="W64" i="36"/>
  <c r="V64" i="36"/>
  <c r="AK63" i="36"/>
  <c r="AJ63" i="36"/>
  <c r="AI63" i="36"/>
  <c r="AH63" i="36"/>
  <c r="AG63" i="36"/>
  <c r="AF63" i="36"/>
  <c r="AE63" i="36"/>
  <c r="AD63" i="36"/>
  <c r="AC63" i="36"/>
  <c r="AB63" i="36"/>
  <c r="AA63" i="36"/>
  <c r="Z63" i="36"/>
  <c r="Y63" i="36"/>
  <c r="X63" i="36"/>
  <c r="W63" i="36"/>
  <c r="V63" i="36"/>
  <c r="AK62" i="36"/>
  <c r="AJ62" i="36"/>
  <c r="AI62" i="36"/>
  <c r="AH62" i="36"/>
  <c r="AG62" i="36"/>
  <c r="AF62" i="36"/>
  <c r="AE62" i="36"/>
  <c r="AD62" i="36"/>
  <c r="AC62" i="36"/>
  <c r="AB62" i="36"/>
  <c r="AA62" i="36"/>
  <c r="Z62" i="36"/>
  <c r="Y62" i="36"/>
  <c r="X62" i="36"/>
  <c r="W62" i="36"/>
  <c r="V62" i="36"/>
  <c r="AK61" i="36"/>
  <c r="AJ61" i="36"/>
  <c r="AI61" i="36"/>
  <c r="AH61" i="36"/>
  <c r="AG61" i="36"/>
  <c r="AF61" i="36"/>
  <c r="AE61" i="36"/>
  <c r="AD61" i="36"/>
  <c r="AC61" i="36"/>
  <c r="AB61" i="36"/>
  <c r="AA61" i="36"/>
  <c r="Z61" i="36"/>
  <c r="Y61" i="36"/>
  <c r="X61" i="36"/>
  <c r="W61" i="36"/>
  <c r="V61" i="36"/>
  <c r="AK60" i="36"/>
  <c r="AK93" i="36" s="1"/>
  <c r="AJ60" i="36"/>
  <c r="AJ93" i="36" s="1"/>
  <c r="AI60" i="36"/>
  <c r="AI93" i="36" s="1"/>
  <c r="AH60" i="36"/>
  <c r="AG60" i="36"/>
  <c r="AG93" i="36" s="1"/>
  <c r="AF60" i="36"/>
  <c r="AF93" i="36" s="1"/>
  <c r="AE60" i="36"/>
  <c r="AE93" i="36" s="1"/>
  <c r="AD60" i="36"/>
  <c r="AC60" i="36"/>
  <c r="AC93" i="36" s="1"/>
  <c r="AB60" i="36"/>
  <c r="AA60" i="36"/>
  <c r="Z60" i="36"/>
  <c r="Z93" i="36" s="1"/>
  <c r="Y60" i="36"/>
  <c r="X60" i="36"/>
  <c r="W60" i="36"/>
  <c r="V60" i="36"/>
  <c r="V93" i="36" s="1"/>
  <c r="AK59" i="36"/>
  <c r="AJ59" i="36"/>
  <c r="AI59" i="36"/>
  <c r="AH59" i="36"/>
  <c r="AG59" i="36"/>
  <c r="AF59" i="36"/>
  <c r="AE59" i="36"/>
  <c r="AD59" i="36"/>
  <c r="AC59" i="36"/>
  <c r="AB59" i="36"/>
  <c r="AA59" i="36"/>
  <c r="Z59" i="36"/>
  <c r="Y59" i="36"/>
  <c r="X59" i="36"/>
  <c r="W59" i="36"/>
  <c r="V59" i="36"/>
  <c r="AK58" i="36"/>
  <c r="AJ58" i="36"/>
  <c r="AI58" i="36"/>
  <c r="AH58" i="36"/>
  <c r="AG58" i="36"/>
  <c r="AF58" i="36"/>
  <c r="AE58" i="36"/>
  <c r="AD58" i="36"/>
  <c r="AC58" i="36"/>
  <c r="AB58" i="36"/>
  <c r="AA58" i="36"/>
  <c r="Z58" i="36"/>
  <c r="Y58" i="36"/>
  <c r="X58" i="36"/>
  <c r="W58" i="36"/>
  <c r="V58" i="36"/>
  <c r="AK57" i="36"/>
  <c r="AJ57" i="36"/>
  <c r="AI57" i="36"/>
  <c r="AH57" i="36"/>
  <c r="AG57" i="36"/>
  <c r="AF57" i="36"/>
  <c r="AE57" i="36"/>
  <c r="AD57" i="36"/>
  <c r="AC57" i="36"/>
  <c r="AB57" i="36"/>
  <c r="AA57" i="36"/>
  <c r="Z57" i="36"/>
  <c r="Y57" i="36"/>
  <c r="X57" i="36"/>
  <c r="W57" i="36"/>
  <c r="V57" i="36"/>
  <c r="AK56" i="36"/>
  <c r="AJ56" i="36"/>
  <c r="AI56" i="36"/>
  <c r="AH56" i="36"/>
  <c r="AG56" i="36"/>
  <c r="AF56" i="36"/>
  <c r="AE56" i="36"/>
  <c r="AD56" i="36"/>
  <c r="AC56" i="36"/>
  <c r="AB56" i="36"/>
  <c r="AA56" i="36"/>
  <c r="Z56" i="36"/>
  <c r="Y56" i="36"/>
  <c r="X56" i="36"/>
  <c r="W56" i="36"/>
  <c r="V56" i="36"/>
  <c r="AK55" i="36"/>
  <c r="AJ55" i="36"/>
  <c r="AI55" i="36"/>
  <c r="AH55" i="36"/>
  <c r="AG55" i="36"/>
  <c r="AF55" i="36"/>
  <c r="AE55" i="36"/>
  <c r="AD55" i="36"/>
  <c r="AC55" i="36"/>
  <c r="AB55" i="36"/>
  <c r="AA55" i="36"/>
  <c r="Z55" i="36"/>
  <c r="Y55" i="36"/>
  <c r="X55" i="36"/>
  <c r="W55" i="36"/>
  <c r="V55" i="36"/>
  <c r="AK54" i="36"/>
  <c r="AJ54" i="36"/>
  <c r="AI54" i="36"/>
  <c r="AH54" i="36"/>
  <c r="AG54" i="36"/>
  <c r="AF54" i="36"/>
  <c r="AE54" i="36"/>
  <c r="AD54" i="36"/>
  <c r="AC54" i="36"/>
  <c r="AB54" i="36"/>
  <c r="AA54" i="36"/>
  <c r="Z54" i="36"/>
  <c r="Y54" i="36"/>
  <c r="X54" i="36"/>
  <c r="W54" i="36"/>
  <c r="V54" i="36"/>
  <c r="AK53" i="36"/>
  <c r="AJ53" i="36"/>
  <c r="AI53" i="36"/>
  <c r="AH53" i="36"/>
  <c r="AG53" i="36"/>
  <c r="AF53" i="36"/>
  <c r="AE53" i="36"/>
  <c r="AD53" i="36"/>
  <c r="AC53" i="36"/>
  <c r="AB53" i="36"/>
  <c r="AA53" i="36"/>
  <c r="Z53" i="36"/>
  <c r="Y53" i="36"/>
  <c r="X53" i="36"/>
  <c r="W53" i="36"/>
  <c r="V53" i="36"/>
  <c r="AK52" i="36"/>
  <c r="AK92" i="36" s="1"/>
  <c r="AJ52" i="36"/>
  <c r="AJ92" i="36" s="1"/>
  <c r="AI52" i="36"/>
  <c r="AI92" i="36" s="1"/>
  <c r="AH52" i="36"/>
  <c r="AG52" i="36"/>
  <c r="AG92" i="36" s="1"/>
  <c r="AF52" i="36"/>
  <c r="AF92" i="36" s="1"/>
  <c r="AE52" i="36"/>
  <c r="AE92" i="36" s="1"/>
  <c r="AD52" i="36"/>
  <c r="AC52" i="36"/>
  <c r="AC103" i="36" s="1"/>
  <c r="AB52" i="36"/>
  <c r="AA52" i="36"/>
  <c r="Z52" i="36"/>
  <c r="Z103" i="36" s="1"/>
  <c r="Y52" i="36"/>
  <c r="Y103" i="36" s="1"/>
  <c r="X52" i="36"/>
  <c r="W52" i="36"/>
  <c r="V52" i="36"/>
  <c r="V103" i="36" s="1"/>
  <c r="AK51" i="36"/>
  <c r="AJ51" i="36"/>
  <c r="AI51" i="36"/>
  <c r="AH51" i="36"/>
  <c r="AG51" i="36"/>
  <c r="AF51" i="36"/>
  <c r="AE51" i="36"/>
  <c r="AD51" i="36"/>
  <c r="AC51" i="36"/>
  <c r="AB51" i="36"/>
  <c r="AA51" i="36"/>
  <c r="Z51" i="36"/>
  <c r="Y51" i="36"/>
  <c r="X51" i="36"/>
  <c r="W51" i="36"/>
  <c r="V51" i="36"/>
  <c r="AK50" i="36"/>
  <c r="AJ50" i="36"/>
  <c r="AI50" i="36"/>
  <c r="AH50" i="36"/>
  <c r="AG50" i="36"/>
  <c r="AF50" i="36"/>
  <c r="AE50" i="36"/>
  <c r="AD50" i="36"/>
  <c r="AC50" i="36"/>
  <c r="AB50" i="36"/>
  <c r="AA50" i="36"/>
  <c r="Z50" i="36"/>
  <c r="Y50" i="36"/>
  <c r="X50" i="36"/>
  <c r="W50" i="36"/>
  <c r="V50" i="36"/>
  <c r="AK49" i="36"/>
  <c r="AJ49" i="36"/>
  <c r="AI49" i="36"/>
  <c r="AH49" i="36"/>
  <c r="AG49" i="36"/>
  <c r="AF49" i="36"/>
  <c r="AE49" i="36"/>
  <c r="AD49" i="36"/>
  <c r="AC49" i="36"/>
  <c r="AB49" i="36"/>
  <c r="AA49" i="36"/>
  <c r="Z49" i="36"/>
  <c r="Y49" i="36"/>
  <c r="X49" i="36"/>
  <c r="W49" i="36"/>
  <c r="V49" i="36"/>
  <c r="AK48" i="36"/>
  <c r="AJ48" i="36"/>
  <c r="AI48" i="36"/>
  <c r="AH48" i="36"/>
  <c r="AG48" i="36"/>
  <c r="AF48" i="36"/>
  <c r="AE48" i="36"/>
  <c r="AD48" i="36"/>
  <c r="AC48" i="36"/>
  <c r="AB48" i="36"/>
  <c r="AA48" i="36"/>
  <c r="Z48" i="36"/>
  <c r="Y48" i="36"/>
  <c r="X48" i="36"/>
  <c r="W48" i="36"/>
  <c r="V48" i="36"/>
  <c r="AK47" i="36"/>
  <c r="AJ47" i="36"/>
  <c r="AI47" i="36"/>
  <c r="AH47" i="36"/>
  <c r="AG47" i="36"/>
  <c r="AF47" i="36"/>
  <c r="AE47" i="36"/>
  <c r="AD47" i="36"/>
  <c r="AC47" i="36"/>
  <c r="AB47" i="36"/>
  <c r="AA47" i="36"/>
  <c r="Z47" i="36"/>
  <c r="Y47" i="36"/>
  <c r="X47" i="36"/>
  <c r="W47" i="36"/>
  <c r="V47" i="36"/>
  <c r="AK46" i="36"/>
  <c r="AJ46" i="36"/>
  <c r="AI46" i="36"/>
  <c r="AH46" i="36"/>
  <c r="AG46" i="36"/>
  <c r="AF46" i="36"/>
  <c r="AE46" i="36"/>
  <c r="AD46" i="36"/>
  <c r="AC46" i="36"/>
  <c r="AB46" i="36"/>
  <c r="AA46" i="36"/>
  <c r="Z46" i="36"/>
  <c r="Y46" i="36"/>
  <c r="X46" i="36"/>
  <c r="W46" i="36"/>
  <c r="V46" i="36"/>
  <c r="AK45" i="36"/>
  <c r="AJ45" i="36"/>
  <c r="AI45" i="36"/>
  <c r="AH45" i="36"/>
  <c r="AG45" i="36"/>
  <c r="AF45" i="36"/>
  <c r="AE45" i="36"/>
  <c r="AD45" i="36"/>
  <c r="AC45" i="36"/>
  <c r="AB45" i="36"/>
  <c r="AA45" i="36"/>
  <c r="Z45" i="36"/>
  <c r="Y45" i="36"/>
  <c r="X45" i="36"/>
  <c r="W45" i="36"/>
  <c r="V45" i="36"/>
  <c r="AK44" i="36"/>
  <c r="AJ44" i="36"/>
  <c r="AI44" i="36"/>
  <c r="AH44" i="36"/>
  <c r="AG44" i="36"/>
  <c r="AF44" i="36"/>
  <c r="AE44" i="36"/>
  <c r="AD44" i="36"/>
  <c r="AC44" i="36"/>
  <c r="AB44" i="36"/>
  <c r="AA44" i="36"/>
  <c r="Z44" i="36"/>
  <c r="Y44" i="36"/>
  <c r="X44" i="36"/>
  <c r="W44" i="36"/>
  <c r="V44" i="36"/>
  <c r="AK43" i="36"/>
  <c r="AJ43" i="36"/>
  <c r="AI43" i="36"/>
  <c r="AH43" i="36"/>
  <c r="AG43" i="36"/>
  <c r="AF43" i="36"/>
  <c r="AE43" i="36"/>
  <c r="AD43" i="36"/>
  <c r="AC43" i="36"/>
  <c r="AB43" i="36"/>
  <c r="AA43" i="36"/>
  <c r="Z43" i="36"/>
  <c r="Y43" i="36"/>
  <c r="X43" i="36"/>
  <c r="W43" i="36"/>
  <c r="V43" i="36"/>
  <c r="AK42" i="36"/>
  <c r="AJ42" i="36"/>
  <c r="AI42" i="36"/>
  <c r="AH42" i="36"/>
  <c r="AG42" i="36"/>
  <c r="AF42" i="36"/>
  <c r="AE42" i="36"/>
  <c r="AD42" i="36"/>
  <c r="AC42" i="36"/>
  <c r="AB42" i="36"/>
  <c r="AA42" i="36"/>
  <c r="Z42" i="36"/>
  <c r="Y42" i="36"/>
  <c r="X42" i="36"/>
  <c r="W42" i="36"/>
  <c r="V42" i="36"/>
  <c r="AK41" i="36"/>
  <c r="AK91" i="36" s="1"/>
  <c r="AJ41" i="36"/>
  <c r="AJ91" i="36" s="1"/>
  <c r="AI41" i="36"/>
  <c r="AI91" i="36" s="1"/>
  <c r="AH41" i="36"/>
  <c r="AG41" i="36"/>
  <c r="AG91" i="36" s="1"/>
  <c r="AF41" i="36"/>
  <c r="AF91" i="36" s="1"/>
  <c r="AE41" i="36"/>
  <c r="AE91" i="36" s="1"/>
  <c r="AD41" i="36"/>
  <c r="AC41" i="36"/>
  <c r="AC91" i="36" s="1"/>
  <c r="AB41" i="36"/>
  <c r="AA41" i="36"/>
  <c r="Z41" i="36"/>
  <c r="Z91" i="36" s="1"/>
  <c r="Y41" i="36"/>
  <c r="X41" i="36"/>
  <c r="W41" i="36"/>
  <c r="V41" i="36"/>
  <c r="V91" i="36" s="1"/>
  <c r="AK40" i="36"/>
  <c r="AJ40" i="36"/>
  <c r="AI40" i="36"/>
  <c r="AH40" i="36"/>
  <c r="AG40" i="36"/>
  <c r="AF40" i="36"/>
  <c r="AE40" i="36"/>
  <c r="AD40" i="36"/>
  <c r="AC40" i="36"/>
  <c r="AB40" i="36"/>
  <c r="AA40" i="36"/>
  <c r="Z40" i="36"/>
  <c r="Y40" i="36"/>
  <c r="X40" i="36"/>
  <c r="W40" i="36"/>
  <c r="V40" i="36"/>
  <c r="AK39" i="36"/>
  <c r="AJ39" i="36"/>
  <c r="AI39" i="36"/>
  <c r="AH39" i="36"/>
  <c r="AG39" i="36"/>
  <c r="AF39" i="36"/>
  <c r="AE39" i="36"/>
  <c r="AD39" i="36"/>
  <c r="AC39" i="36"/>
  <c r="AB39" i="36"/>
  <c r="AA39" i="36"/>
  <c r="Z39" i="36"/>
  <c r="Y39" i="36"/>
  <c r="X39" i="36"/>
  <c r="W39" i="36"/>
  <c r="V39" i="36"/>
  <c r="AK38" i="36"/>
  <c r="AJ38" i="36"/>
  <c r="AI38" i="36"/>
  <c r="AH38" i="36"/>
  <c r="AG38" i="36"/>
  <c r="AF38" i="36"/>
  <c r="AE38" i="36"/>
  <c r="AD38" i="36"/>
  <c r="AC38" i="36"/>
  <c r="AB38" i="36"/>
  <c r="AA38" i="36"/>
  <c r="Z38" i="36"/>
  <c r="Y38" i="36"/>
  <c r="X38" i="36"/>
  <c r="W38" i="36"/>
  <c r="V38" i="36"/>
  <c r="AK37" i="36"/>
  <c r="AJ37" i="36"/>
  <c r="AI37" i="36"/>
  <c r="AH37" i="36"/>
  <c r="AG37" i="36"/>
  <c r="AF37" i="36"/>
  <c r="AE37" i="36"/>
  <c r="AD37" i="36"/>
  <c r="AC37" i="36"/>
  <c r="AB37" i="36"/>
  <c r="AA37" i="36"/>
  <c r="Z37" i="36"/>
  <c r="Y37" i="36"/>
  <c r="X37" i="36"/>
  <c r="W37" i="36"/>
  <c r="V37" i="36"/>
  <c r="AK36" i="36"/>
  <c r="AJ36" i="36"/>
  <c r="AI36" i="36"/>
  <c r="AH36" i="36"/>
  <c r="AG36" i="36"/>
  <c r="AF36" i="36"/>
  <c r="AE36" i="36"/>
  <c r="AD36" i="36"/>
  <c r="AC36" i="36"/>
  <c r="AB36" i="36"/>
  <c r="AA36" i="36"/>
  <c r="Z36" i="36"/>
  <c r="Y36" i="36"/>
  <c r="X36" i="36"/>
  <c r="W36" i="36"/>
  <c r="V36" i="36"/>
  <c r="AK35" i="36"/>
  <c r="AJ35" i="36"/>
  <c r="AI35" i="36"/>
  <c r="AH35" i="36"/>
  <c r="AG35" i="36"/>
  <c r="AF35" i="36"/>
  <c r="AE35" i="36"/>
  <c r="AD35" i="36"/>
  <c r="AC35" i="36"/>
  <c r="AB35" i="36"/>
  <c r="AA35" i="36"/>
  <c r="Z35" i="36"/>
  <c r="Y35" i="36"/>
  <c r="X35" i="36"/>
  <c r="W35" i="36"/>
  <c r="V35" i="36"/>
  <c r="AK34" i="36"/>
  <c r="AJ34" i="36"/>
  <c r="AI34" i="36"/>
  <c r="AH34" i="36"/>
  <c r="AG34" i="36"/>
  <c r="AF34" i="36"/>
  <c r="AE34" i="36"/>
  <c r="AD34" i="36"/>
  <c r="AC34" i="36"/>
  <c r="AB34" i="36"/>
  <c r="AA34" i="36"/>
  <c r="Z34" i="36"/>
  <c r="Y34" i="36"/>
  <c r="X34" i="36"/>
  <c r="W34" i="36"/>
  <c r="V34" i="36"/>
  <c r="AK33" i="36"/>
  <c r="AJ33" i="36"/>
  <c r="AI33" i="36"/>
  <c r="AH33" i="36"/>
  <c r="AG33" i="36"/>
  <c r="AF33" i="36"/>
  <c r="AE33" i="36"/>
  <c r="AD33" i="36"/>
  <c r="AC33" i="36"/>
  <c r="AB33" i="36"/>
  <c r="AA33" i="36"/>
  <c r="Z33" i="36"/>
  <c r="Y33" i="36"/>
  <c r="X33" i="36"/>
  <c r="W33" i="36"/>
  <c r="V33" i="36"/>
  <c r="AK32" i="36"/>
  <c r="AJ32" i="36"/>
  <c r="AI32" i="36"/>
  <c r="AH32" i="36"/>
  <c r="AG32" i="36"/>
  <c r="AF32" i="36"/>
  <c r="AE32" i="36"/>
  <c r="AD32" i="36"/>
  <c r="AC32" i="36"/>
  <c r="AB32" i="36"/>
  <c r="AA32" i="36"/>
  <c r="Z32" i="36"/>
  <c r="Y32" i="36"/>
  <c r="X32" i="36"/>
  <c r="W32" i="36"/>
  <c r="V32" i="36"/>
  <c r="AK31" i="36"/>
  <c r="AJ31" i="36"/>
  <c r="AI31" i="36"/>
  <c r="AH31" i="36"/>
  <c r="AG31" i="36"/>
  <c r="AF31" i="36"/>
  <c r="AE31" i="36"/>
  <c r="AD31" i="36"/>
  <c r="AC31" i="36"/>
  <c r="AB31" i="36"/>
  <c r="AA31" i="36"/>
  <c r="Z31" i="36"/>
  <c r="Y31" i="36"/>
  <c r="X31" i="36"/>
  <c r="W31" i="36"/>
  <c r="V31" i="36"/>
  <c r="AK30" i="36"/>
  <c r="AK90" i="36" s="1"/>
  <c r="AJ30" i="36"/>
  <c r="AJ90" i="36" s="1"/>
  <c r="AI30" i="36"/>
  <c r="AI90" i="36" s="1"/>
  <c r="AH30" i="36"/>
  <c r="AG30" i="36"/>
  <c r="AG90" i="36" s="1"/>
  <c r="AF30" i="36"/>
  <c r="AF90" i="36" s="1"/>
  <c r="AE30" i="36"/>
  <c r="AE90" i="36" s="1"/>
  <c r="AD30" i="36"/>
  <c r="AC30" i="36"/>
  <c r="AC90" i="36" s="1"/>
  <c r="AB30" i="36"/>
  <c r="AA30" i="36"/>
  <c r="AA90" i="36" s="1"/>
  <c r="Z30" i="36"/>
  <c r="Z90" i="36" s="1"/>
  <c r="Y30" i="36"/>
  <c r="Y90" i="36" s="1"/>
  <c r="X30" i="36"/>
  <c r="W30" i="36"/>
  <c r="V30" i="36"/>
  <c r="V90" i="36" s="1"/>
  <c r="AK29" i="36"/>
  <c r="AJ29" i="36"/>
  <c r="AI29" i="36"/>
  <c r="AH29" i="36"/>
  <c r="AG29" i="36"/>
  <c r="AF29" i="36"/>
  <c r="AE29" i="36"/>
  <c r="AD29" i="36"/>
  <c r="AC29" i="36"/>
  <c r="AB29" i="36"/>
  <c r="AA29" i="36"/>
  <c r="Z29" i="36"/>
  <c r="Y29" i="36"/>
  <c r="X29" i="36"/>
  <c r="W29" i="36"/>
  <c r="V29" i="36"/>
  <c r="AK28" i="36"/>
  <c r="AJ28" i="36"/>
  <c r="AI28" i="36"/>
  <c r="AH28" i="36"/>
  <c r="AG28" i="36"/>
  <c r="AF28" i="36"/>
  <c r="AE28" i="36"/>
  <c r="AD28" i="36"/>
  <c r="AC28" i="36"/>
  <c r="AB28" i="36"/>
  <c r="AA28" i="36"/>
  <c r="Z28" i="36"/>
  <c r="Y28" i="36"/>
  <c r="X28" i="36"/>
  <c r="W28" i="36"/>
  <c r="V28" i="36"/>
  <c r="AK27" i="36"/>
  <c r="AJ27" i="36"/>
  <c r="AI27" i="36"/>
  <c r="AH27" i="36"/>
  <c r="AG27" i="36"/>
  <c r="AF27" i="36"/>
  <c r="AE27" i="36"/>
  <c r="AD27" i="36"/>
  <c r="AC27" i="36"/>
  <c r="AB27" i="36"/>
  <c r="AA27" i="36"/>
  <c r="Z27" i="36"/>
  <c r="Y27" i="36"/>
  <c r="X27" i="36"/>
  <c r="W27" i="36"/>
  <c r="V27" i="36"/>
  <c r="AK26" i="36"/>
  <c r="AJ26" i="36"/>
  <c r="AI26" i="36"/>
  <c r="AH26" i="36"/>
  <c r="AG26" i="36"/>
  <c r="AF26" i="36"/>
  <c r="AE26" i="36"/>
  <c r="AD26" i="36"/>
  <c r="AC26" i="36"/>
  <c r="AB26" i="36"/>
  <c r="AA26" i="36"/>
  <c r="Z26" i="36"/>
  <c r="Y26" i="36"/>
  <c r="X26" i="36"/>
  <c r="W26" i="36"/>
  <c r="V26" i="36"/>
  <c r="AK25" i="36"/>
  <c r="AJ25" i="36"/>
  <c r="AI25" i="36"/>
  <c r="AH25" i="36"/>
  <c r="AG25" i="36"/>
  <c r="AF25" i="36"/>
  <c r="AE25" i="36"/>
  <c r="AD25" i="36"/>
  <c r="AC25" i="36"/>
  <c r="AB25" i="36"/>
  <c r="AA25" i="36"/>
  <c r="Z25" i="36"/>
  <c r="Y25" i="36"/>
  <c r="X25" i="36"/>
  <c r="W25" i="36"/>
  <c r="V25" i="36"/>
  <c r="AK24" i="36"/>
  <c r="AJ24" i="36"/>
  <c r="AI24" i="36"/>
  <c r="AH24" i="36"/>
  <c r="AG24" i="36"/>
  <c r="AF24" i="36"/>
  <c r="AE24" i="36"/>
  <c r="AD24" i="36"/>
  <c r="AC24" i="36"/>
  <c r="AB24" i="36"/>
  <c r="AA24" i="36"/>
  <c r="Z24" i="36"/>
  <c r="Y24" i="36"/>
  <c r="X24" i="36"/>
  <c r="W24" i="36"/>
  <c r="V24" i="36"/>
  <c r="AK23" i="36"/>
  <c r="AJ23" i="36"/>
  <c r="AI23" i="36"/>
  <c r="AH23" i="36"/>
  <c r="AG23" i="36"/>
  <c r="AF23" i="36"/>
  <c r="AE23" i="36"/>
  <c r="AD23" i="36"/>
  <c r="AC23" i="36"/>
  <c r="AB23" i="36"/>
  <c r="AA23" i="36"/>
  <c r="Z23" i="36"/>
  <c r="Y23" i="36"/>
  <c r="X23" i="36"/>
  <c r="W23" i="36"/>
  <c r="V23" i="36"/>
  <c r="AK22" i="36"/>
  <c r="AJ22" i="36"/>
  <c r="AI22" i="36"/>
  <c r="AH22" i="36"/>
  <c r="AG22" i="36"/>
  <c r="AF22" i="36"/>
  <c r="AE22" i="36"/>
  <c r="AD22" i="36"/>
  <c r="AC22" i="36"/>
  <c r="AB22" i="36"/>
  <c r="AA22" i="36"/>
  <c r="Z22" i="36"/>
  <c r="Y22" i="36"/>
  <c r="X22" i="36"/>
  <c r="W22" i="36"/>
  <c r="V22" i="36"/>
  <c r="AK21" i="36"/>
  <c r="AK89" i="36" s="1"/>
  <c r="AJ21" i="36"/>
  <c r="AJ89" i="36" s="1"/>
  <c r="AI21" i="36"/>
  <c r="AI89" i="36" s="1"/>
  <c r="AH21" i="36"/>
  <c r="AH89" i="36" s="1"/>
  <c r="AG21" i="36"/>
  <c r="AG89" i="36" s="1"/>
  <c r="AF21" i="36"/>
  <c r="AF89" i="36" s="1"/>
  <c r="AE21" i="36"/>
  <c r="AE89" i="36" s="1"/>
  <c r="AD21" i="36"/>
  <c r="AD89" i="36" s="1"/>
  <c r="AC21" i="36"/>
  <c r="AC89" i="36" s="1"/>
  <c r="AB21" i="36"/>
  <c r="AA21" i="36"/>
  <c r="Z21" i="36"/>
  <c r="Z89" i="36" s="1"/>
  <c r="Y21" i="36"/>
  <c r="X21" i="36"/>
  <c r="W21" i="36"/>
  <c r="V21" i="36"/>
  <c r="V89" i="36" s="1"/>
  <c r="AK20" i="36"/>
  <c r="AJ20" i="36"/>
  <c r="AI20" i="36"/>
  <c r="AH20" i="36"/>
  <c r="AG20" i="36"/>
  <c r="AF20" i="36"/>
  <c r="AE20" i="36"/>
  <c r="AD20" i="36"/>
  <c r="AC20" i="36"/>
  <c r="AB20" i="36"/>
  <c r="AA20" i="36"/>
  <c r="Z20" i="36"/>
  <c r="Y20" i="36"/>
  <c r="X20" i="36"/>
  <c r="W20" i="36"/>
  <c r="V20" i="36"/>
  <c r="AK19" i="36"/>
  <c r="AJ19" i="36"/>
  <c r="AI19" i="36"/>
  <c r="AH19" i="36"/>
  <c r="AG19" i="36"/>
  <c r="AF19" i="36"/>
  <c r="AE19" i="36"/>
  <c r="AD19" i="36"/>
  <c r="AC19" i="36"/>
  <c r="AB19" i="36"/>
  <c r="AA19" i="36"/>
  <c r="Z19" i="36"/>
  <c r="Y19" i="36"/>
  <c r="X19" i="36"/>
  <c r="W19" i="36"/>
  <c r="V19" i="36"/>
  <c r="AK18" i="36"/>
  <c r="AJ18" i="36"/>
  <c r="AI18" i="36"/>
  <c r="AH18" i="36"/>
  <c r="AG18" i="36"/>
  <c r="AF18" i="36"/>
  <c r="AE18" i="36"/>
  <c r="AD18" i="36"/>
  <c r="AC18" i="36"/>
  <c r="AB18" i="36"/>
  <c r="AA18" i="36"/>
  <c r="Z18" i="36"/>
  <c r="Y18" i="36"/>
  <c r="X18" i="36"/>
  <c r="W18" i="36"/>
  <c r="V18" i="36"/>
  <c r="AK17" i="36"/>
  <c r="AJ17" i="36"/>
  <c r="AI17" i="36"/>
  <c r="AH17" i="36"/>
  <c r="AG17" i="36"/>
  <c r="AF17" i="36"/>
  <c r="AE17" i="36"/>
  <c r="AD17" i="36"/>
  <c r="AC17" i="36"/>
  <c r="AB17" i="36"/>
  <c r="AA17" i="36"/>
  <c r="Z17" i="36"/>
  <c r="Y17" i="36"/>
  <c r="X17" i="36"/>
  <c r="W17" i="36"/>
  <c r="V17" i="36"/>
  <c r="AK16" i="36"/>
  <c r="AJ16" i="36"/>
  <c r="AI16" i="36"/>
  <c r="AH16" i="36"/>
  <c r="AG16" i="36"/>
  <c r="AF16" i="36"/>
  <c r="AE16" i="36"/>
  <c r="AD16" i="36"/>
  <c r="AC16" i="36"/>
  <c r="AB16" i="36"/>
  <c r="AA16" i="36"/>
  <c r="Z16" i="36"/>
  <c r="Y16" i="36"/>
  <c r="X16" i="36"/>
  <c r="W16" i="36"/>
  <c r="V16" i="36"/>
  <c r="AK15" i="36"/>
  <c r="AJ15" i="36"/>
  <c r="AI15" i="36"/>
  <c r="AH15" i="36"/>
  <c r="AG15" i="36"/>
  <c r="AF15" i="36"/>
  <c r="AE15" i="36"/>
  <c r="AD15" i="36"/>
  <c r="AC15" i="36"/>
  <c r="AB15" i="36"/>
  <c r="AA15" i="36"/>
  <c r="Z15" i="36"/>
  <c r="Y15" i="36"/>
  <c r="X15" i="36"/>
  <c r="W15" i="36"/>
  <c r="V15" i="36"/>
  <c r="AK14" i="36"/>
  <c r="AJ14" i="36"/>
  <c r="AI14" i="36"/>
  <c r="AH14" i="36"/>
  <c r="AG14" i="36"/>
  <c r="AF14" i="36"/>
  <c r="AE14" i="36"/>
  <c r="AD14" i="36"/>
  <c r="AC14" i="36"/>
  <c r="AB14" i="36"/>
  <c r="AA14" i="36"/>
  <c r="Z14" i="36"/>
  <c r="Y14" i="36"/>
  <c r="X14" i="36"/>
  <c r="W14" i="36"/>
  <c r="V14" i="36"/>
  <c r="AK13" i="36"/>
  <c r="AJ13" i="36"/>
  <c r="AI13" i="36"/>
  <c r="AH13" i="36"/>
  <c r="AG13" i="36"/>
  <c r="AF13" i="36"/>
  <c r="AE13" i="36"/>
  <c r="AD13" i="36"/>
  <c r="AC13" i="36"/>
  <c r="AB13" i="36"/>
  <c r="AA13" i="36"/>
  <c r="Z13" i="36"/>
  <c r="Y13" i="36"/>
  <c r="X13" i="36"/>
  <c r="W13" i="36"/>
  <c r="V13" i="36"/>
  <c r="AK12" i="36"/>
  <c r="AK88" i="36" s="1"/>
  <c r="AJ12" i="36"/>
  <c r="AJ88" i="36" s="1"/>
  <c r="AI12" i="36"/>
  <c r="AI88" i="36" s="1"/>
  <c r="AH12" i="36"/>
  <c r="AH88" i="36" s="1"/>
  <c r="AG12" i="36"/>
  <c r="AG88" i="36" s="1"/>
  <c r="AF12" i="36"/>
  <c r="AF88" i="36" s="1"/>
  <c r="AE12" i="36"/>
  <c r="AE88" i="36" s="1"/>
  <c r="AD12" i="36"/>
  <c r="AD88" i="36" s="1"/>
  <c r="AC12" i="36"/>
  <c r="AC101" i="36" s="1"/>
  <c r="AB12" i="36"/>
  <c r="AA12" i="36"/>
  <c r="AA101" i="36" s="1"/>
  <c r="Z12" i="36"/>
  <c r="Z101" i="36" s="1"/>
  <c r="Y12" i="36"/>
  <c r="Y101" i="36" s="1"/>
  <c r="X12" i="36"/>
  <c r="W12" i="36"/>
  <c r="V12" i="36"/>
  <c r="V101" i="36" s="1"/>
  <c r="AK11" i="36"/>
  <c r="AJ11" i="36"/>
  <c r="AI11" i="36"/>
  <c r="AH11" i="36"/>
  <c r="AG11" i="36"/>
  <c r="AF11" i="36"/>
  <c r="AE11" i="36"/>
  <c r="AD11" i="36"/>
  <c r="AC11" i="36"/>
  <c r="AB11" i="36"/>
  <c r="AA11" i="36"/>
  <c r="Z11" i="36"/>
  <c r="Y11" i="36"/>
  <c r="X11" i="36"/>
  <c r="W11" i="36"/>
  <c r="V11" i="36"/>
  <c r="AK10" i="36"/>
  <c r="AJ10" i="36"/>
  <c r="AI10" i="36"/>
  <c r="AH10" i="36"/>
  <c r="AG10" i="36"/>
  <c r="AF10" i="36"/>
  <c r="AE10" i="36"/>
  <c r="AD10" i="36"/>
  <c r="AC10" i="36"/>
  <c r="AB10" i="36"/>
  <c r="AA10" i="36"/>
  <c r="Z10" i="36"/>
  <c r="Y10" i="36"/>
  <c r="X10" i="36"/>
  <c r="W10" i="36"/>
  <c r="V10" i="36"/>
  <c r="AK9" i="36"/>
  <c r="AJ9" i="36"/>
  <c r="AI9" i="36"/>
  <c r="AH9" i="36"/>
  <c r="AG9" i="36"/>
  <c r="AF9" i="36"/>
  <c r="AE9" i="36"/>
  <c r="AD9" i="36"/>
  <c r="AC9" i="36"/>
  <c r="AB9" i="36"/>
  <c r="AA9" i="36"/>
  <c r="Z9" i="36"/>
  <c r="Y9" i="36"/>
  <c r="X9" i="36"/>
  <c r="W9" i="36"/>
  <c r="V9" i="36"/>
  <c r="AK8" i="36"/>
  <c r="AJ8" i="36"/>
  <c r="AI8" i="36"/>
  <c r="AH8" i="36"/>
  <c r="AG8" i="36"/>
  <c r="AF8" i="36"/>
  <c r="AE8" i="36"/>
  <c r="AD8" i="36"/>
  <c r="AC8" i="36"/>
  <c r="AB8" i="36"/>
  <c r="AA8" i="36"/>
  <c r="Z8" i="36"/>
  <c r="Y8" i="36"/>
  <c r="X8" i="36"/>
  <c r="W8" i="36"/>
  <c r="V8" i="36"/>
  <c r="AK7" i="36"/>
  <c r="AJ7" i="36"/>
  <c r="AI7" i="36"/>
  <c r="AH7" i="36"/>
  <c r="AG7" i="36"/>
  <c r="AF7" i="36"/>
  <c r="AE7" i="36"/>
  <c r="AD7" i="36"/>
  <c r="AC7" i="36"/>
  <c r="AB7" i="36"/>
  <c r="AA7" i="36"/>
  <c r="Z7" i="36"/>
  <c r="Y7" i="36"/>
  <c r="X7" i="36"/>
  <c r="W7" i="36"/>
  <c r="V7" i="36"/>
  <c r="AK6" i="36"/>
  <c r="AJ6" i="36"/>
  <c r="AI6" i="36"/>
  <c r="AH6" i="36"/>
  <c r="AG6" i="36"/>
  <c r="AF6" i="36"/>
  <c r="AE6" i="36"/>
  <c r="AD6" i="36"/>
  <c r="AC6" i="36"/>
  <c r="AB6" i="36"/>
  <c r="AA6" i="36"/>
  <c r="Z6" i="36"/>
  <c r="Y6" i="36"/>
  <c r="X6" i="36"/>
  <c r="W6" i="36"/>
  <c r="V6" i="36"/>
  <c r="AK5" i="36"/>
  <c r="AJ5" i="36"/>
  <c r="AI5" i="36"/>
  <c r="AH5" i="36"/>
  <c r="AG5" i="36"/>
  <c r="AF5" i="36"/>
  <c r="AE5" i="36"/>
  <c r="AD5" i="36"/>
  <c r="AC5" i="36"/>
  <c r="AB5" i="36"/>
  <c r="AA5" i="36"/>
  <c r="Z5" i="36"/>
  <c r="Y5" i="36"/>
  <c r="X5" i="36"/>
  <c r="W5" i="36"/>
  <c r="V5" i="36"/>
  <c r="AK4" i="36"/>
  <c r="AJ4" i="36"/>
  <c r="AI4" i="36"/>
  <c r="AH4" i="36"/>
  <c r="AG4" i="36"/>
  <c r="AF4" i="36"/>
  <c r="AE4" i="36"/>
  <c r="AD4" i="36"/>
  <c r="AC4" i="36"/>
  <c r="AB4" i="36"/>
  <c r="AA4" i="36"/>
  <c r="Z4" i="36"/>
  <c r="Y4" i="36"/>
  <c r="X4" i="36"/>
  <c r="W4" i="36"/>
  <c r="V4" i="36"/>
  <c r="W3" i="36"/>
  <c r="W99" i="36" s="1"/>
  <c r="X3" i="36"/>
  <c r="Y3" i="36"/>
  <c r="Z3" i="36"/>
  <c r="AA3" i="36"/>
  <c r="AA99" i="36" s="1"/>
  <c r="AB3" i="36"/>
  <c r="AC3" i="36"/>
  <c r="AC99" i="36" s="1"/>
  <c r="AD3" i="36"/>
  <c r="AD87" i="36" s="1"/>
  <c r="AE3" i="36"/>
  <c r="AE87" i="36" s="1"/>
  <c r="AF3" i="36"/>
  <c r="AF87" i="36" s="1"/>
  <c r="AG3" i="36"/>
  <c r="AG87" i="36" s="1"/>
  <c r="AH3" i="36"/>
  <c r="AH87" i="36" s="1"/>
  <c r="AI3" i="36"/>
  <c r="AI87" i="36" s="1"/>
  <c r="AJ3" i="36"/>
  <c r="AJ87" i="36" s="1"/>
  <c r="AK3" i="36"/>
  <c r="AK87" i="36" s="1"/>
  <c r="AB96" i="36"/>
  <c r="AA96" i="36"/>
  <c r="Y96" i="36"/>
  <c r="X96" i="36"/>
  <c r="W96" i="36"/>
  <c r="AB95" i="36"/>
  <c r="AA95" i="36"/>
  <c r="Y95" i="36"/>
  <c r="X95" i="36"/>
  <c r="W95" i="36"/>
  <c r="AB94" i="36"/>
  <c r="AA94" i="36"/>
  <c r="X94" i="36"/>
  <c r="W94" i="36"/>
  <c r="AB93" i="36"/>
  <c r="AA93" i="36"/>
  <c r="Y93" i="36"/>
  <c r="X93" i="36"/>
  <c r="W93" i="36"/>
  <c r="AB103" i="36"/>
  <c r="AA103" i="36"/>
  <c r="X103" i="36"/>
  <c r="W103" i="36"/>
  <c r="AB91" i="36"/>
  <c r="AA91" i="36"/>
  <c r="Y91" i="36"/>
  <c r="X91" i="36"/>
  <c r="W91" i="36"/>
  <c r="AB90" i="36"/>
  <c r="X90" i="36"/>
  <c r="W90" i="36"/>
  <c r="AB89" i="36"/>
  <c r="AA89" i="36"/>
  <c r="Y89" i="36"/>
  <c r="X89" i="36"/>
  <c r="W89" i="36"/>
  <c r="AB101" i="36"/>
  <c r="X101" i="36"/>
  <c r="W101" i="36"/>
  <c r="AB99" i="36"/>
  <c r="Y99" i="36"/>
  <c r="X99" i="36"/>
  <c r="V3" i="36"/>
  <c r="AH100" i="36" l="1"/>
  <c r="AD100" i="36"/>
  <c r="AH99" i="36"/>
  <c r="AD99" i="36"/>
  <c r="AH98" i="36"/>
  <c r="AD98" i="36"/>
  <c r="AK103" i="36"/>
  <c r="AG103" i="36"/>
  <c r="AK101" i="36"/>
  <c r="AG101" i="36"/>
  <c r="AK100" i="36"/>
  <c r="AG100" i="36"/>
  <c r="AK99" i="36"/>
  <c r="AG99" i="36"/>
  <c r="AK98" i="36"/>
  <c r="AG98" i="36"/>
  <c r="AF103" i="36"/>
  <c r="AJ101" i="36"/>
  <c r="AF101" i="36"/>
  <c r="AJ100" i="36"/>
  <c r="AF100" i="36"/>
  <c r="AJ99" i="36"/>
  <c r="AF99" i="36"/>
  <c r="AJ98" i="36"/>
  <c r="AF98" i="36"/>
  <c r="AI103" i="36"/>
  <c r="AE103" i="36"/>
  <c r="AI101" i="36"/>
  <c r="AE101" i="36"/>
  <c r="AI100" i="36"/>
  <c r="AE100" i="36"/>
  <c r="AI99" i="36"/>
  <c r="AE99" i="36"/>
  <c r="AI98" i="36"/>
  <c r="AE98" i="36"/>
  <c r="V95" i="40"/>
  <c r="AD95" i="40"/>
  <c r="AD103" i="40"/>
  <c r="AC94" i="39"/>
  <c r="AG94" i="39"/>
  <c r="Y101" i="39"/>
  <c r="Y100" i="39"/>
  <c r="AC101" i="39"/>
  <c r="AC100" i="39"/>
  <c r="AG101" i="39"/>
  <c r="AG100" i="39"/>
  <c r="AK101" i="39"/>
  <c r="AK100" i="39"/>
  <c r="Y87" i="39"/>
  <c r="AC87" i="39"/>
  <c r="AG87" i="39"/>
  <c r="AK87" i="39"/>
  <c r="Y88" i="39"/>
  <c r="AC88" i="39"/>
  <c r="AG88" i="39"/>
  <c r="AK88" i="39"/>
  <c r="Y92" i="39"/>
  <c r="AC92" i="39"/>
  <c r="AG92" i="39"/>
  <c r="AK92" i="39"/>
  <c r="W98" i="39"/>
  <c r="AB98" i="39"/>
  <c r="AG98" i="39"/>
  <c r="W99" i="39"/>
  <c r="AB99" i="39"/>
  <c r="W100" i="39"/>
  <c r="AE100" i="39"/>
  <c r="W101" i="39"/>
  <c r="AE101" i="39"/>
  <c r="W103" i="39"/>
  <c r="AE103" i="39"/>
  <c r="V99" i="39"/>
  <c r="V98" i="39"/>
  <c r="Z99" i="39"/>
  <c r="Z98" i="39"/>
  <c r="AD99" i="39"/>
  <c r="AD98" i="39"/>
  <c r="AH99" i="39"/>
  <c r="AH98" i="39"/>
  <c r="V101" i="39"/>
  <c r="V100" i="39"/>
  <c r="Z101" i="39"/>
  <c r="Z100" i="39"/>
  <c r="AD101" i="39"/>
  <c r="AD100" i="39"/>
  <c r="AH101" i="39"/>
  <c r="AH100" i="39"/>
  <c r="V87" i="39"/>
  <c r="Z87" i="39"/>
  <c r="AD87" i="39"/>
  <c r="AH87" i="39"/>
  <c r="V88" i="39"/>
  <c r="Z88" i="39"/>
  <c r="AD88" i="39"/>
  <c r="AH88" i="39"/>
  <c r="V92" i="39"/>
  <c r="Z92" i="39"/>
  <c r="AD92" i="39"/>
  <c r="AH92" i="39"/>
  <c r="X98" i="39"/>
  <c r="AC98" i="39"/>
  <c r="AI98" i="39"/>
  <c r="X99" i="39"/>
  <c r="AI99" i="39"/>
  <c r="X100" i="39"/>
  <c r="AF100" i="39"/>
  <c r="X101" i="39"/>
  <c r="AF101" i="39"/>
  <c r="X103" i="39"/>
  <c r="AF103" i="39"/>
  <c r="W99" i="40"/>
  <c r="W98" i="40"/>
  <c r="W87" i="40"/>
  <c r="AA99" i="40"/>
  <c r="AA98" i="40"/>
  <c r="AA87" i="40"/>
  <c r="AE99" i="40"/>
  <c r="AE98" i="40"/>
  <c r="AE87" i="40"/>
  <c r="AI99" i="40"/>
  <c r="AI98" i="40"/>
  <c r="AI87" i="40"/>
  <c r="W101" i="40"/>
  <c r="W100" i="40"/>
  <c r="W88" i="40"/>
  <c r="AA101" i="40"/>
  <c r="AA100" i="40"/>
  <c r="AA88" i="40"/>
  <c r="AE101" i="40"/>
  <c r="AE100" i="40"/>
  <c r="AE88" i="40"/>
  <c r="AI101" i="40"/>
  <c r="AI100" i="40"/>
  <c r="AI88" i="40"/>
  <c r="AA87" i="39"/>
  <c r="AE87" i="39"/>
  <c r="AA88" i="39"/>
  <c r="AI88" i="39"/>
  <c r="AA92" i="39"/>
  <c r="AI92" i="39"/>
  <c r="Y98" i="39"/>
  <c r="AE98" i="39"/>
  <c r="AJ98" i="39"/>
  <c r="AJ99" i="39"/>
  <c r="AA100" i="39"/>
  <c r="AI100" i="39"/>
  <c r="X99" i="40"/>
  <c r="X98" i="40"/>
  <c r="X87" i="40"/>
  <c r="AB99" i="40"/>
  <c r="AB98" i="40"/>
  <c r="AB87" i="40"/>
  <c r="AF99" i="40"/>
  <c r="AF98" i="40"/>
  <c r="AF87" i="40"/>
  <c r="AJ99" i="40"/>
  <c r="AJ98" i="40"/>
  <c r="AJ87" i="40"/>
  <c r="X101" i="40"/>
  <c r="X100" i="40"/>
  <c r="X88" i="40"/>
  <c r="AB101" i="40"/>
  <c r="AB100" i="40"/>
  <c r="AB88" i="40"/>
  <c r="AF101" i="40"/>
  <c r="AF100" i="40"/>
  <c r="AF88" i="40"/>
  <c r="AJ101" i="40"/>
  <c r="AJ100" i="40"/>
  <c r="AJ88" i="40"/>
  <c r="AF87" i="39"/>
  <c r="AB88" i="39"/>
  <c r="AJ88" i="39"/>
  <c r="AB92" i="39"/>
  <c r="AJ92" i="39"/>
  <c r="AA98" i="39"/>
  <c r="AF98" i="39"/>
  <c r="AK98" i="39"/>
  <c r="AB100" i="39"/>
  <c r="AJ100" i="39"/>
  <c r="V87" i="40"/>
  <c r="Z87" i="40"/>
  <c r="AD87" i="40"/>
  <c r="AH87" i="40"/>
  <c r="V88" i="40"/>
  <c r="Z88" i="40"/>
  <c r="AD88" i="40"/>
  <c r="AH88" i="40"/>
  <c r="V92" i="40"/>
  <c r="Z92" i="40"/>
  <c r="AD92" i="40"/>
  <c r="AH92" i="40"/>
  <c r="V98" i="40"/>
  <c r="Z98" i="40"/>
  <c r="AD98" i="40"/>
  <c r="AH98" i="40"/>
  <c r="V100" i="40"/>
  <c r="Z100" i="40"/>
  <c r="AD100" i="40"/>
  <c r="AH100" i="40"/>
  <c r="W92" i="40"/>
  <c r="AA92" i="40"/>
  <c r="AE92" i="40"/>
  <c r="AI92" i="40"/>
  <c r="X92" i="40"/>
  <c r="AB92" i="40"/>
  <c r="AF92" i="40"/>
  <c r="AJ92" i="40"/>
  <c r="Y87" i="40"/>
  <c r="AC87" i="40"/>
  <c r="AG87" i="40"/>
  <c r="AK87" i="40"/>
  <c r="Y88" i="40"/>
  <c r="AC88" i="40"/>
  <c r="AG88" i="40"/>
  <c r="AK88" i="40"/>
  <c r="Y92" i="40"/>
  <c r="AC92" i="40"/>
  <c r="AG92" i="40"/>
  <c r="AK92" i="40"/>
  <c r="Y98" i="40"/>
  <c r="AC98" i="40"/>
  <c r="AG98" i="40"/>
  <c r="AK98" i="40"/>
  <c r="Y100" i="40"/>
  <c r="AC100" i="40"/>
  <c r="AG100" i="40"/>
  <c r="AK100" i="40"/>
  <c r="AJ96" i="38"/>
  <c r="X92" i="38"/>
  <c r="Z99" i="38"/>
  <c r="Z98" i="38"/>
  <c r="Z87" i="38"/>
  <c r="AD101" i="38"/>
  <c r="AD100" i="38"/>
  <c r="AD88" i="38"/>
  <c r="X99" i="38"/>
  <c r="X98" i="38"/>
  <c r="AJ99" i="38"/>
  <c r="AJ98" i="38"/>
  <c r="AF101" i="38"/>
  <c r="AF100" i="38"/>
  <c r="AJ87" i="38"/>
  <c r="AJ92" i="38"/>
  <c r="V99" i="38"/>
  <c r="V98" i="38"/>
  <c r="V87" i="38"/>
  <c r="AH99" i="38"/>
  <c r="AH98" i="38"/>
  <c r="AH87" i="38"/>
  <c r="V101" i="38"/>
  <c r="V100" i="38"/>
  <c r="V88" i="38"/>
  <c r="AH101" i="38"/>
  <c r="AH100" i="38"/>
  <c r="AH88" i="38"/>
  <c r="Z91" i="38"/>
  <c r="AH91" i="38"/>
  <c r="V103" i="38"/>
  <c r="V92" i="38"/>
  <c r="Z103" i="38"/>
  <c r="Z92" i="38"/>
  <c r="AD103" i="38"/>
  <c r="AD92" i="38"/>
  <c r="AH103" i="38"/>
  <c r="AH92" i="38"/>
  <c r="AB92" i="38"/>
  <c r="AD99" i="38"/>
  <c r="AD98" i="38"/>
  <c r="AD87" i="38"/>
  <c r="Z101" i="38"/>
  <c r="Z100" i="38"/>
  <c r="Z88" i="38"/>
  <c r="AB99" i="38"/>
  <c r="AB98" i="38"/>
  <c r="AF99" i="38"/>
  <c r="AF98" i="38"/>
  <c r="X101" i="38"/>
  <c r="X100" i="38"/>
  <c r="AB101" i="38"/>
  <c r="AB100" i="38"/>
  <c r="AJ101" i="38"/>
  <c r="AJ100" i="38"/>
  <c r="AF87" i="38"/>
  <c r="AF88" i="38"/>
  <c r="AF92" i="38"/>
  <c r="W87" i="38"/>
  <c r="AA87" i="38"/>
  <c r="AE87" i="38"/>
  <c r="AI87" i="38"/>
  <c r="W88" i="38"/>
  <c r="AA88" i="38"/>
  <c r="AE88" i="38"/>
  <c r="AI88" i="38"/>
  <c r="W92" i="38"/>
  <c r="AA92" i="38"/>
  <c r="AE92" i="38"/>
  <c r="AI92" i="38"/>
  <c r="W98" i="38"/>
  <c r="AA98" i="38"/>
  <c r="AE98" i="38"/>
  <c r="AI98" i="38"/>
  <c r="W100" i="38"/>
  <c r="AA100" i="38"/>
  <c r="AE100" i="38"/>
  <c r="AI100" i="38"/>
  <c r="Y87" i="38"/>
  <c r="AC87" i="38"/>
  <c r="AG87" i="38"/>
  <c r="AK87" i="38"/>
  <c r="Y88" i="38"/>
  <c r="AC88" i="38"/>
  <c r="AG88" i="38"/>
  <c r="AK88" i="38"/>
  <c r="Y92" i="38"/>
  <c r="AC92" i="38"/>
  <c r="AG92" i="38"/>
  <c r="AK92" i="38"/>
  <c r="Y98" i="38"/>
  <c r="AC98" i="38"/>
  <c r="AG98" i="38"/>
  <c r="AK98" i="38"/>
  <c r="Y100" i="38"/>
  <c r="AC100" i="38"/>
  <c r="AG100" i="38"/>
  <c r="AK100" i="38"/>
  <c r="V99" i="36"/>
  <c r="Z99" i="36"/>
  <c r="V87" i="36"/>
  <c r="V100" i="36"/>
  <c r="V98" i="36"/>
  <c r="Z87" i="36"/>
  <c r="V88" i="36"/>
  <c r="Z88" i="36"/>
  <c r="V92" i="36"/>
  <c r="Z92" i="36"/>
  <c r="Z98" i="36"/>
  <c r="Z100" i="36"/>
  <c r="W87" i="36"/>
  <c r="AA87" i="36"/>
  <c r="W88" i="36"/>
  <c r="AA88" i="36"/>
  <c r="W92" i="36"/>
  <c r="AA92" i="36"/>
  <c r="W98" i="36"/>
  <c r="AA98" i="36"/>
  <c r="W100" i="36"/>
  <c r="AA100" i="36"/>
  <c r="X87" i="36"/>
  <c r="AB87" i="36"/>
  <c r="X88" i="36"/>
  <c r="AB88" i="36"/>
  <c r="X92" i="36"/>
  <c r="AB92" i="36"/>
  <c r="X98" i="36"/>
  <c r="AB98" i="36"/>
  <c r="X100" i="36"/>
  <c r="AB100" i="36"/>
  <c r="Y87" i="36"/>
  <c r="AC87" i="36"/>
  <c r="Y88" i="36"/>
  <c r="AC88" i="36"/>
  <c r="Y92" i="36"/>
  <c r="AC92" i="36"/>
  <c r="Y98" i="36"/>
  <c r="AC98" i="36"/>
  <c r="Y100" i="36"/>
  <c r="AC100" i="36"/>
  <c r="C96" i="36" l="1"/>
  <c r="C89" i="36" l="1"/>
  <c r="G96" i="36" l="1"/>
  <c r="F96" i="36"/>
  <c r="G95" i="36"/>
  <c r="F95" i="36"/>
  <c r="G94" i="36"/>
  <c r="F94" i="36"/>
  <c r="G93" i="36"/>
  <c r="F93" i="36"/>
  <c r="G92" i="36"/>
  <c r="F92" i="36"/>
  <c r="G91" i="36"/>
  <c r="F91" i="36"/>
  <c r="G90" i="36"/>
  <c r="F90" i="36"/>
  <c r="G89" i="36"/>
  <c r="F89" i="36"/>
  <c r="G88" i="36"/>
  <c r="F88" i="36"/>
  <c r="G87" i="36"/>
  <c r="F87" i="36"/>
  <c r="D87" i="36"/>
  <c r="D88" i="36"/>
  <c r="D89" i="36"/>
  <c r="D90" i="36"/>
  <c r="D91" i="36"/>
  <c r="D92" i="36"/>
  <c r="D93" i="36"/>
  <c r="D94" i="36"/>
  <c r="D95" i="36"/>
  <c r="D96" i="36"/>
  <c r="C95" i="36"/>
  <c r="C94" i="36"/>
  <c r="C93" i="36"/>
  <c r="C92" i="36"/>
  <c r="C91" i="36"/>
  <c r="C90" i="36"/>
  <c r="C88" i="36"/>
  <c r="C87" i="36"/>
</calcChain>
</file>

<file path=xl/sharedStrings.xml><?xml version="1.0" encoding="utf-8"?>
<sst xmlns="http://schemas.openxmlformats.org/spreadsheetml/2006/main" count="560" uniqueCount="79">
  <si>
    <t>NoStim-IN</t>
  </si>
  <si>
    <t>NoStim-OUT</t>
  </si>
  <si>
    <t>IN-FC</t>
  </si>
  <si>
    <t>OUT-FC</t>
  </si>
  <si>
    <t>IN-creARC</t>
  </si>
  <si>
    <t>OUT-creARC</t>
  </si>
  <si>
    <t>NoSTIM-creARC-IN</t>
  </si>
  <si>
    <t>NoStim-creARC-OUT</t>
  </si>
  <si>
    <t>OUT-FC-Detect</t>
  </si>
  <si>
    <t>OUT-creARC-Detect</t>
  </si>
  <si>
    <t>'IN-FC-OS46'</t>
  </si>
  <si>
    <t>'IN-FC-OS47'</t>
  </si>
  <si>
    <t>'IN-FC-OS49'</t>
  </si>
  <si>
    <t>'IN-FC-OS59'</t>
  </si>
  <si>
    <t>'IN-FC-OS62'</t>
  </si>
  <si>
    <t>'IN-FC-OS65'</t>
  </si>
  <si>
    <t>'IN-FC-OS83'</t>
  </si>
  <si>
    <t>'IN-FC-OS86'</t>
  </si>
  <si>
    <t>'IN-FC-OS88'</t>
  </si>
  <si>
    <t>'OUT-FC-OS45'</t>
  </si>
  <si>
    <t>'OUT-FC-OS50'</t>
  </si>
  <si>
    <t>'OUT-FC-OS54'</t>
  </si>
  <si>
    <t>'OUT-FC-OS57'</t>
  </si>
  <si>
    <t>'OUT-FC-OS58'</t>
  </si>
  <si>
    <t>'OUT-FC-OS61'</t>
  </si>
  <si>
    <t>'OUT-FC-OS64'</t>
  </si>
  <si>
    <t>'OUT-FC-OS84'</t>
  </si>
  <si>
    <t>'OUT-FC-OS89'</t>
  </si>
  <si>
    <t>'NOSTIM-FC-OS41'</t>
  </si>
  <si>
    <t>'NOSTIM-FC-OS44'</t>
  </si>
  <si>
    <t>'NOSTIM-FC-OS51'</t>
  </si>
  <si>
    <t>'NOSTIM-FC-OS52'</t>
  </si>
  <si>
    <t>'NOSTIM-FC-OS56'</t>
  </si>
  <si>
    <t>'NOSTIM-FC-OS60'</t>
  </si>
  <si>
    <t>'NOSTIM-FC-OS63'</t>
  </si>
  <si>
    <t>'NOSTIM-FC-OS66'</t>
  </si>
  <si>
    <t>'NOSTIM-FC-OS81'</t>
  </si>
  <si>
    <t>'NOSTIM-FC-OS85'</t>
  </si>
  <si>
    <t>'NOSTIM-FC-OS87'</t>
  </si>
  <si>
    <t>'IN-OIcreARC1'</t>
  </si>
  <si>
    <t>'IN-OIcreARC2'</t>
  </si>
  <si>
    <t>'IN-OIcreARC3'</t>
  </si>
  <si>
    <t>'IN-OIcreARC4'</t>
  </si>
  <si>
    <t>'IN-OIcreARC5'</t>
  </si>
  <si>
    <t>'IN-OIcreARC6'</t>
  </si>
  <si>
    <t>'IN-OIcreARC7'</t>
  </si>
  <si>
    <t>'IN-OIcreARC16'</t>
  </si>
  <si>
    <t>'OUT-OIcreARC15'</t>
  </si>
  <si>
    <t>'OUT-OIcreARC16'</t>
  </si>
  <si>
    <t>'OUT-OIcreARC17'</t>
  </si>
  <si>
    <t>'OUT-OIcreARC18'</t>
  </si>
  <si>
    <t>'OUT-OIcreARC19'</t>
  </si>
  <si>
    <t>'NOSTIM-OIcreNO1'</t>
  </si>
  <si>
    <t>'NOSTIM-OIcreNO2'</t>
  </si>
  <si>
    <t>'NOSTIM-OIcreNO4'</t>
  </si>
  <si>
    <t>'NOSTIM-OIcreNO5'</t>
  </si>
  <si>
    <t>'NOSTIM-OIcreNO6'</t>
  </si>
  <si>
    <t>'NOSTIM-OIcreNO7ARC11'</t>
  </si>
  <si>
    <t>'NOSTIM-OIcreNO8ARC12'</t>
  </si>
  <si>
    <t>'NOSTIM-OIcreNOARC4'</t>
  </si>
  <si>
    <t>IN-Stim-FC</t>
  </si>
  <si>
    <t>OUT-Stim-FC</t>
  </si>
  <si>
    <t>OUT-Detect-FC</t>
  </si>
  <si>
    <t>IN-Stim-ARC</t>
  </si>
  <si>
    <t>OUT-Stim-ARC</t>
  </si>
  <si>
    <t>OUT-Detect-ARC</t>
  </si>
  <si>
    <t>NoStim-IN-ARC</t>
  </si>
  <si>
    <t>NoStim-OUT-ARC</t>
  </si>
  <si>
    <t>Any</t>
  </si>
  <si>
    <t>Sum</t>
  </si>
  <si>
    <t>Stim#</t>
  </si>
  <si>
    <t>FOR &amp; PAR</t>
  </si>
  <si>
    <t>FOR &amp; CA1</t>
  </si>
  <si>
    <t>PAR &amp; CA1</t>
  </si>
  <si>
    <t>Triple</t>
  </si>
  <si>
    <t>FOR &amp; PAR + Ripple</t>
  </si>
  <si>
    <t>FOR &amp; CA1 + Ripple</t>
  </si>
  <si>
    <t>PAR &amp; CA1 + Ripple</t>
  </si>
  <si>
    <t>Triple + Ripple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</si>
</sst>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2" fontId="0" fillId="0" borderId="0" xfId="0" applyNumberFormat="1"/>
    <xf numFmtId="0" fontId="0" fillId="0" borderId="0" xfId="0" applyFill="1" applyAlignment="1">
      <alignment horizontal="right"/>
    </xf>
    <xf numFmtId="2" fontId="0" fillId="0" borderId="0" xfId="0" applyNumberFormat="1" applyFill="1"/>
    <xf numFmtId="0" fontId="0" fillId="0" borderId="0" xfId="0" applyFill="1"/>
    <xf numFmtId="1" fontId="0" fillId="0" borderId="0" xfId="0" applyNumberFormat="1"/>
    <xf numFmtId="0" fontId="0" fillId="0" borderId="0" xfId="0" applyAlignment="1">
      <alignment wrapText="1"/>
    </xf>
    <xf numFmtId="164" fontId="0" fillId="2" borderId="0" xfId="0" applyNumberFormat="1" applyFill="1"/>
    <xf numFmtId="164" fontId="0" fillId="3" borderId="0" xfId="0" applyNumberFormat="1" applyFill="1"/>
    <xf numFmtId="164" fontId="0" fillId="4" borderId="0" xfId="0" applyNumberFormat="1" applyFill="1"/>
    <xf numFmtId="164" fontId="0" fillId="5" borderId="0" xfId="0" applyNumberFormat="1" applyFill="1"/>
    <xf numFmtId="164" fontId="0" fillId="6" borderId="0" xfId="0" applyNumberFormat="1" applyFill="1"/>
    <xf numFmtId="165" fontId="0" fillId="0" borderId="0" xfId="0" applyNumberFormat="1"/>
    <xf numFmtId="165" fontId="0" fillId="0" borderId="1" xfId="0" applyNumberFormat="1" applyBorder="1"/>
    <xf numFmtId="165" fontId="0" fillId="0" borderId="2" xfId="0" applyNumberFormat="1" applyBorder="1"/>
    <xf numFmtId="165" fontId="0" fillId="0" borderId="3" xfId="0" applyNumberFormat="1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 textRotation="90"/>
    </xf>
  </cellXfs>
  <cellStyles count="1">
    <cellStyle name="Standard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3"/>
  <sheetViews>
    <sheetView tabSelected="1" topLeftCell="R78" workbookViewId="0">
      <selection activeCell="B78" sqref="B78:S85"/>
    </sheetView>
  </sheetViews>
  <sheetFormatPr baseColWidth="10" defaultColWidth="9.140625" defaultRowHeight="15" x14ac:dyDescent="0.25"/>
  <cols>
    <col min="2" max="2" width="24.140625" bestFit="1" customWidth="1"/>
    <col min="10" max="10" width="14.42578125" bestFit="1" customWidth="1"/>
    <col min="22" max="22" width="10.42578125" bestFit="1" customWidth="1"/>
    <col min="23" max="24" width="10.28515625" bestFit="1" customWidth="1"/>
    <col min="25" max="25" width="6.140625" bestFit="1" customWidth="1"/>
    <col min="26" max="27" width="10.140625" customWidth="1"/>
    <col min="28" max="28" width="10" customWidth="1"/>
    <col min="29" max="29" width="7.5703125" customWidth="1"/>
  </cols>
  <sheetData>
    <row r="1" spans="1:37" x14ac:dyDescent="0.25">
      <c r="D1" s="16" t="s">
        <v>68</v>
      </c>
      <c r="E1" s="16"/>
      <c r="F1" s="16"/>
      <c r="G1" s="16"/>
      <c r="H1" s="16"/>
      <c r="I1" s="16"/>
      <c r="J1" s="16"/>
      <c r="K1" s="16"/>
      <c r="L1" s="16" t="s">
        <v>69</v>
      </c>
      <c r="M1" s="16"/>
      <c r="N1" s="16"/>
      <c r="O1" s="16"/>
      <c r="P1" s="16"/>
      <c r="Q1" s="16"/>
      <c r="R1" s="16"/>
      <c r="S1" s="16"/>
      <c r="V1" s="16" t="s">
        <v>68</v>
      </c>
      <c r="W1" s="16"/>
      <c r="X1" s="16"/>
      <c r="Y1" s="16"/>
      <c r="Z1" s="16"/>
      <c r="AA1" s="16"/>
      <c r="AB1" s="16"/>
      <c r="AC1" s="16"/>
      <c r="AD1" s="16" t="s">
        <v>69</v>
      </c>
      <c r="AE1" s="16"/>
      <c r="AF1" s="16"/>
      <c r="AG1" s="16"/>
      <c r="AH1" s="16"/>
      <c r="AI1" s="16"/>
      <c r="AJ1" s="16"/>
      <c r="AK1" s="16"/>
    </row>
    <row r="2" spans="1:37" ht="45" x14ac:dyDescent="0.25">
      <c r="C2" s="6" t="s">
        <v>70</v>
      </c>
      <c r="D2" s="6" t="s">
        <v>71</v>
      </c>
      <c r="E2" s="6" t="s">
        <v>72</v>
      </c>
      <c r="F2" s="6" t="s">
        <v>73</v>
      </c>
      <c r="G2" s="6" t="s">
        <v>74</v>
      </c>
      <c r="H2" s="6" t="s">
        <v>75</v>
      </c>
      <c r="I2" s="6" t="s">
        <v>76</v>
      </c>
      <c r="J2" s="6" t="s">
        <v>77</v>
      </c>
      <c r="K2" s="6" t="s">
        <v>78</v>
      </c>
      <c r="L2" s="6" t="s">
        <v>71</v>
      </c>
      <c r="M2" s="6" t="s">
        <v>72</v>
      </c>
      <c r="N2" s="6" t="s">
        <v>73</v>
      </c>
      <c r="O2" s="6" t="s">
        <v>74</v>
      </c>
      <c r="P2" s="6" t="s">
        <v>75</v>
      </c>
      <c r="Q2" s="6" t="s">
        <v>76</v>
      </c>
      <c r="R2" s="6" t="s">
        <v>77</v>
      </c>
      <c r="S2" s="6" t="s">
        <v>78</v>
      </c>
      <c r="V2" s="6" t="s">
        <v>71</v>
      </c>
      <c r="W2" s="6" t="s">
        <v>72</v>
      </c>
      <c r="X2" s="6" t="s">
        <v>73</v>
      </c>
      <c r="Y2" s="6" t="s">
        <v>74</v>
      </c>
      <c r="Z2" s="6" t="s">
        <v>75</v>
      </c>
      <c r="AA2" s="6" t="s">
        <v>76</v>
      </c>
      <c r="AB2" s="6" t="s">
        <v>77</v>
      </c>
      <c r="AC2" s="6" t="s">
        <v>78</v>
      </c>
      <c r="AD2" s="6" t="s">
        <v>71</v>
      </c>
      <c r="AE2" s="6" t="s">
        <v>72</v>
      </c>
      <c r="AF2" s="6" t="s">
        <v>73</v>
      </c>
      <c r="AG2" s="6" t="s">
        <v>74</v>
      </c>
      <c r="AH2" s="6" t="s">
        <v>75</v>
      </c>
      <c r="AI2" s="6" t="s">
        <v>76</v>
      </c>
      <c r="AJ2" s="6" t="s">
        <v>77</v>
      </c>
      <c r="AK2" s="6" t="s">
        <v>78</v>
      </c>
    </row>
    <row r="3" spans="1:37" x14ac:dyDescent="0.25">
      <c r="A3" s="17" t="s">
        <v>60</v>
      </c>
      <c r="B3" t="s">
        <v>10</v>
      </c>
      <c r="C3" s="1">
        <v>1369</v>
      </c>
      <c r="D3" s="1">
        <v>68</v>
      </c>
      <c r="E3">
        <v>60</v>
      </c>
      <c r="F3" s="1">
        <v>79</v>
      </c>
      <c r="G3" s="1">
        <v>25</v>
      </c>
      <c r="H3" s="5">
        <v>12</v>
      </c>
      <c r="I3">
        <v>6</v>
      </c>
      <c r="J3">
        <v>9</v>
      </c>
      <c r="K3">
        <v>3</v>
      </c>
      <c r="L3">
        <v>72</v>
      </c>
      <c r="M3">
        <v>62</v>
      </c>
      <c r="N3">
        <v>81</v>
      </c>
      <c r="O3">
        <v>86</v>
      </c>
      <c r="P3">
        <v>13</v>
      </c>
      <c r="Q3">
        <v>7</v>
      </c>
      <c r="R3">
        <v>11</v>
      </c>
      <c r="S3">
        <v>4</v>
      </c>
      <c r="V3" s="7">
        <f t="shared" ref="V3" si="0">(D3/$C3)*100</f>
        <v>4.9671292914536158</v>
      </c>
      <c r="W3" s="7">
        <f t="shared" ref="W3" si="1">(E3/$C3)*100</f>
        <v>4.3827611395178963</v>
      </c>
      <c r="X3" s="7">
        <f t="shared" ref="X3" si="2">(F3/$C3)*100</f>
        <v>5.7706355003652305</v>
      </c>
      <c r="Y3" s="7">
        <f t="shared" ref="Y3" si="3">(G3/$C3)*100</f>
        <v>1.8261504747991233</v>
      </c>
      <c r="Z3" s="7">
        <f t="shared" ref="Z3" si="4">(H3/$C3)*100</f>
        <v>0.87655222790357923</v>
      </c>
      <c r="AA3" s="7">
        <f t="shared" ref="AA3" si="5">(I3/$C3)*100</f>
        <v>0.43827611395178961</v>
      </c>
      <c r="AB3" s="7">
        <f t="shared" ref="AB3" si="6">(J3/$C3)*100</f>
        <v>0.65741417092768439</v>
      </c>
      <c r="AC3" s="7">
        <f t="shared" ref="AC3" si="7">(K3/$C3)*100</f>
        <v>0.21913805697589481</v>
      </c>
      <c r="AD3" s="7">
        <f t="shared" ref="AD3" si="8">(L3/$C3)*100</f>
        <v>5.2593133674214751</v>
      </c>
      <c r="AE3" s="7">
        <f t="shared" ref="AE3" si="9">(M3/$C3)*100</f>
        <v>4.5288531775018264</v>
      </c>
      <c r="AF3" s="7">
        <f t="shared" ref="AF3" si="10">(N3/$C3)*100</f>
        <v>5.9167275383491598</v>
      </c>
      <c r="AG3" s="7">
        <f t="shared" ref="AG3" si="11">(O3/$C3)*100</f>
        <v>6.281957633308985</v>
      </c>
      <c r="AH3" s="7">
        <f t="shared" ref="AH3" si="12">(P3/$C3)*100</f>
        <v>0.94959824689554417</v>
      </c>
      <c r="AI3" s="7">
        <f t="shared" ref="AI3" si="13">(Q3/$C3)*100</f>
        <v>0.51132213294375461</v>
      </c>
      <c r="AJ3" s="7">
        <f t="shared" ref="AJ3" si="14">(R3/$C3)*100</f>
        <v>0.80350620891161428</v>
      </c>
      <c r="AK3" s="7">
        <f t="shared" ref="AK3" si="15">(S3/$C3)*100</f>
        <v>0.29218407596785978</v>
      </c>
    </row>
    <row r="4" spans="1:37" x14ac:dyDescent="0.25">
      <c r="A4" s="17"/>
      <c r="B4" t="s">
        <v>11</v>
      </c>
      <c r="C4" s="1">
        <v>2495</v>
      </c>
      <c r="D4" s="1">
        <v>124</v>
      </c>
      <c r="E4">
        <v>73</v>
      </c>
      <c r="F4" s="1">
        <v>161</v>
      </c>
      <c r="G4" s="1">
        <v>45</v>
      </c>
      <c r="H4" s="5">
        <v>9</v>
      </c>
      <c r="I4">
        <v>6</v>
      </c>
      <c r="J4">
        <v>22</v>
      </c>
      <c r="K4">
        <v>3</v>
      </c>
      <c r="L4">
        <v>129</v>
      </c>
      <c r="M4">
        <v>77</v>
      </c>
      <c r="N4">
        <v>164</v>
      </c>
      <c r="O4">
        <v>151</v>
      </c>
      <c r="P4">
        <v>9</v>
      </c>
      <c r="Q4">
        <v>7</v>
      </c>
      <c r="R4">
        <v>22</v>
      </c>
      <c r="S4">
        <v>3</v>
      </c>
      <c r="V4" s="7">
        <f t="shared" ref="V4:V67" si="16">(D4/$C4)*100</f>
        <v>4.9699398797595187</v>
      </c>
      <c r="W4" s="7">
        <f t="shared" ref="W4:W67" si="17">(E4/$C4)*100</f>
        <v>2.9258517034068134</v>
      </c>
      <c r="X4" s="7">
        <f t="shared" ref="X4:X67" si="18">(F4/$C4)*100</f>
        <v>6.4529058116232472</v>
      </c>
      <c r="Y4" s="7">
        <f t="shared" ref="Y4:Y67" si="19">(G4/$C4)*100</f>
        <v>1.8036072144288577</v>
      </c>
      <c r="Z4" s="7">
        <f t="shared" ref="Z4:Z67" si="20">(H4/$C4)*100</f>
        <v>0.36072144288577157</v>
      </c>
      <c r="AA4" s="7">
        <f t="shared" ref="AA4:AA67" si="21">(I4/$C4)*100</f>
        <v>0.24048096192384769</v>
      </c>
      <c r="AB4" s="7">
        <f t="shared" ref="AB4:AB67" si="22">(J4/$C4)*100</f>
        <v>0.88176352705410821</v>
      </c>
      <c r="AC4" s="7">
        <f t="shared" ref="AC4:AC67" si="23">(K4/$C4)*100</f>
        <v>0.12024048096192384</v>
      </c>
      <c r="AD4" s="7">
        <f t="shared" ref="AD4:AD67" si="24">(L4/$C4)*100</f>
        <v>5.1703406813627257</v>
      </c>
      <c r="AE4" s="7">
        <f t="shared" ref="AE4:AE67" si="25">(M4/$C4)*100</f>
        <v>3.0861723446893787</v>
      </c>
      <c r="AF4" s="7">
        <f t="shared" ref="AF4:AF67" si="26">(N4/$C4)*100</f>
        <v>6.5731462925851707</v>
      </c>
      <c r="AG4" s="7">
        <f t="shared" ref="AG4:AG67" si="27">(O4/$C4)*100</f>
        <v>6.0521042084168339</v>
      </c>
      <c r="AH4" s="7">
        <f t="shared" ref="AH4:AH67" si="28">(P4/$C4)*100</f>
        <v>0.36072144288577157</v>
      </c>
      <c r="AI4" s="7">
        <f t="shared" ref="AI4:AI67" si="29">(Q4/$C4)*100</f>
        <v>0.28056112224448898</v>
      </c>
      <c r="AJ4" s="7">
        <f t="shared" ref="AJ4:AJ67" si="30">(R4/$C4)*100</f>
        <v>0.88176352705410821</v>
      </c>
      <c r="AK4" s="7">
        <f t="shared" ref="AK4:AK67" si="31">(S4/$C4)*100</f>
        <v>0.12024048096192384</v>
      </c>
    </row>
    <row r="5" spans="1:37" x14ac:dyDescent="0.25">
      <c r="A5" s="17"/>
      <c r="B5" t="s">
        <v>12</v>
      </c>
      <c r="C5" s="1">
        <v>5212</v>
      </c>
      <c r="D5" s="1">
        <v>286</v>
      </c>
      <c r="E5">
        <v>183</v>
      </c>
      <c r="F5" s="1">
        <v>262</v>
      </c>
      <c r="G5" s="1">
        <v>87</v>
      </c>
      <c r="H5" s="5">
        <v>46</v>
      </c>
      <c r="I5">
        <v>35</v>
      </c>
      <c r="J5">
        <v>61</v>
      </c>
      <c r="K5">
        <v>18</v>
      </c>
      <c r="L5">
        <v>292</v>
      </c>
      <c r="M5">
        <v>191</v>
      </c>
      <c r="N5">
        <v>265</v>
      </c>
      <c r="O5">
        <v>327</v>
      </c>
      <c r="P5">
        <v>51</v>
      </c>
      <c r="Q5">
        <v>39</v>
      </c>
      <c r="R5">
        <v>71</v>
      </c>
      <c r="S5">
        <v>20</v>
      </c>
      <c r="V5" s="7">
        <f t="shared" si="16"/>
        <v>5.4873369148119719</v>
      </c>
      <c r="W5" s="7">
        <f t="shared" si="17"/>
        <v>3.5111281657712969</v>
      </c>
      <c r="X5" s="7">
        <f t="shared" si="18"/>
        <v>5.0268610897927859</v>
      </c>
      <c r="Y5" s="7">
        <f t="shared" si="19"/>
        <v>1.6692248656945512</v>
      </c>
      <c r="Z5" s="7">
        <f t="shared" si="20"/>
        <v>0.88257866462010737</v>
      </c>
      <c r="AA5" s="7">
        <f t="shared" si="21"/>
        <v>0.67152724481964698</v>
      </c>
      <c r="AB5" s="7">
        <f t="shared" si="22"/>
        <v>1.170376055257099</v>
      </c>
      <c r="AC5" s="7">
        <f t="shared" si="23"/>
        <v>0.34535686876438987</v>
      </c>
      <c r="AD5" s="7">
        <f t="shared" si="24"/>
        <v>5.6024558710667689</v>
      </c>
      <c r="AE5" s="7">
        <f t="shared" si="25"/>
        <v>3.6646201074443594</v>
      </c>
      <c r="AF5" s="7">
        <f t="shared" si="26"/>
        <v>5.0844205679201844</v>
      </c>
      <c r="AG5" s="7">
        <f t="shared" si="27"/>
        <v>6.2739831158864154</v>
      </c>
      <c r="AH5" s="7">
        <f t="shared" si="28"/>
        <v>0.97851112816577135</v>
      </c>
      <c r="AI5" s="7">
        <f t="shared" si="29"/>
        <v>0.7482732156561781</v>
      </c>
      <c r="AJ5" s="7">
        <f t="shared" si="30"/>
        <v>1.3622409823484267</v>
      </c>
      <c r="AK5" s="7">
        <f t="shared" si="31"/>
        <v>0.38372985418265537</v>
      </c>
    </row>
    <row r="6" spans="1:37" x14ac:dyDescent="0.25">
      <c r="A6" s="17"/>
      <c r="B6" t="s">
        <v>13</v>
      </c>
      <c r="C6" s="1">
        <v>5644</v>
      </c>
      <c r="D6" s="1">
        <v>334</v>
      </c>
      <c r="E6">
        <v>237</v>
      </c>
      <c r="F6" s="1">
        <v>541</v>
      </c>
      <c r="G6" s="1">
        <v>165</v>
      </c>
      <c r="H6" s="5">
        <v>50</v>
      </c>
      <c r="I6">
        <v>40</v>
      </c>
      <c r="J6">
        <v>99</v>
      </c>
      <c r="K6">
        <v>29</v>
      </c>
      <c r="L6">
        <v>342</v>
      </c>
      <c r="M6">
        <v>243</v>
      </c>
      <c r="N6">
        <v>551</v>
      </c>
      <c r="O6">
        <v>408</v>
      </c>
      <c r="P6">
        <v>54</v>
      </c>
      <c r="Q6">
        <v>42</v>
      </c>
      <c r="R6">
        <v>108</v>
      </c>
      <c r="S6">
        <v>31</v>
      </c>
      <c r="V6" s="7">
        <f t="shared" si="16"/>
        <v>5.9177888022678955</v>
      </c>
      <c r="W6" s="7">
        <f t="shared" si="17"/>
        <v>4.1991495393338063</v>
      </c>
      <c r="X6" s="7">
        <f t="shared" si="18"/>
        <v>9.5854004252303344</v>
      </c>
      <c r="Y6" s="7">
        <f t="shared" si="19"/>
        <v>2.9234585400425233</v>
      </c>
      <c r="Z6" s="7">
        <f t="shared" si="20"/>
        <v>0.88589652728561297</v>
      </c>
      <c r="AA6" s="7">
        <f t="shared" si="21"/>
        <v>0.7087172218284904</v>
      </c>
      <c r="AB6" s="7">
        <f t="shared" si="22"/>
        <v>1.7540751240255139</v>
      </c>
      <c r="AC6" s="7">
        <f t="shared" si="23"/>
        <v>0.51381998582565558</v>
      </c>
      <c r="AD6" s="7">
        <f t="shared" si="24"/>
        <v>6.0595322466335935</v>
      </c>
      <c r="AE6" s="7">
        <f t="shared" si="25"/>
        <v>4.3054571226080789</v>
      </c>
      <c r="AF6" s="7">
        <f t="shared" si="26"/>
        <v>9.762579730687456</v>
      </c>
      <c r="AG6" s="7">
        <f t="shared" si="27"/>
        <v>7.2289156626506017</v>
      </c>
      <c r="AH6" s="7">
        <f t="shared" si="28"/>
        <v>0.95676824946846206</v>
      </c>
      <c r="AI6" s="7">
        <f t="shared" si="29"/>
        <v>0.744153082919915</v>
      </c>
      <c r="AJ6" s="7">
        <f t="shared" si="30"/>
        <v>1.9135364989369241</v>
      </c>
      <c r="AK6" s="7">
        <f t="shared" si="31"/>
        <v>0.54925584691708007</v>
      </c>
    </row>
    <row r="7" spans="1:37" x14ac:dyDescent="0.25">
      <c r="A7" s="17"/>
      <c r="B7" t="s">
        <v>14</v>
      </c>
      <c r="C7" s="1">
        <v>5315</v>
      </c>
      <c r="D7" s="1">
        <v>303</v>
      </c>
      <c r="E7">
        <v>229</v>
      </c>
      <c r="F7" s="1">
        <v>264</v>
      </c>
      <c r="G7" s="1">
        <v>97</v>
      </c>
      <c r="H7" s="5">
        <v>33</v>
      </c>
      <c r="I7">
        <v>26</v>
      </c>
      <c r="J7">
        <v>23</v>
      </c>
      <c r="K7">
        <v>10</v>
      </c>
      <c r="L7">
        <v>311</v>
      </c>
      <c r="M7">
        <v>234</v>
      </c>
      <c r="N7">
        <v>268</v>
      </c>
      <c r="O7">
        <v>358</v>
      </c>
      <c r="P7">
        <v>36</v>
      </c>
      <c r="Q7">
        <v>28</v>
      </c>
      <c r="R7">
        <v>23</v>
      </c>
      <c r="S7">
        <v>10</v>
      </c>
      <c r="V7" s="7">
        <f t="shared" si="16"/>
        <v>5.7008466603951087</v>
      </c>
      <c r="W7" s="7">
        <f t="shared" si="17"/>
        <v>4.308560677328316</v>
      </c>
      <c r="X7" s="7">
        <f t="shared" si="18"/>
        <v>4.9670743179680148</v>
      </c>
      <c r="Y7" s="7">
        <f t="shared" si="19"/>
        <v>1.8250235183443086</v>
      </c>
      <c r="Z7" s="7">
        <f t="shared" si="20"/>
        <v>0.62088428974600185</v>
      </c>
      <c r="AA7" s="7">
        <f t="shared" si="21"/>
        <v>0.48918156161806214</v>
      </c>
      <c r="AB7" s="7">
        <f t="shared" si="22"/>
        <v>0.43273753527751646</v>
      </c>
      <c r="AC7" s="7">
        <f t="shared" si="23"/>
        <v>0.18814675446848542</v>
      </c>
      <c r="AD7" s="7">
        <f t="shared" si="24"/>
        <v>5.8513640639698963</v>
      </c>
      <c r="AE7" s="7">
        <f t="shared" si="25"/>
        <v>4.4026340545625589</v>
      </c>
      <c r="AF7" s="7">
        <f t="shared" si="26"/>
        <v>5.042333019755409</v>
      </c>
      <c r="AG7" s="7">
        <f t="shared" si="27"/>
        <v>6.7356538099717786</v>
      </c>
      <c r="AH7" s="7">
        <f t="shared" si="28"/>
        <v>0.67732831608654753</v>
      </c>
      <c r="AI7" s="7">
        <f t="shared" si="29"/>
        <v>0.52681091251175916</v>
      </c>
      <c r="AJ7" s="7">
        <f t="shared" si="30"/>
        <v>0.43273753527751646</v>
      </c>
      <c r="AK7" s="7">
        <f t="shared" si="31"/>
        <v>0.18814675446848542</v>
      </c>
    </row>
    <row r="8" spans="1:37" x14ac:dyDescent="0.25">
      <c r="A8" s="17"/>
      <c r="B8" t="s">
        <v>15</v>
      </c>
      <c r="C8" s="1">
        <v>5118</v>
      </c>
      <c r="D8" s="1">
        <v>227</v>
      </c>
      <c r="E8">
        <v>170</v>
      </c>
      <c r="F8" s="1">
        <v>551</v>
      </c>
      <c r="G8" s="1">
        <v>99</v>
      </c>
      <c r="H8" s="5">
        <v>24</v>
      </c>
      <c r="I8">
        <v>13</v>
      </c>
      <c r="J8">
        <v>70</v>
      </c>
      <c r="K8">
        <v>10</v>
      </c>
      <c r="L8">
        <v>229</v>
      </c>
      <c r="M8">
        <v>173</v>
      </c>
      <c r="N8">
        <v>558</v>
      </c>
      <c r="O8">
        <v>272</v>
      </c>
      <c r="P8">
        <v>29</v>
      </c>
      <c r="Q8">
        <v>15</v>
      </c>
      <c r="R8">
        <v>76</v>
      </c>
      <c r="S8">
        <v>12</v>
      </c>
      <c r="V8" s="7">
        <f t="shared" si="16"/>
        <v>4.4353262993356779</v>
      </c>
      <c r="W8" s="7">
        <f t="shared" si="17"/>
        <v>3.3216100039077769</v>
      </c>
      <c r="X8" s="7">
        <f t="shared" si="18"/>
        <v>10.765924189136381</v>
      </c>
      <c r="Y8" s="7">
        <f t="shared" si="19"/>
        <v>1.9343493552168818</v>
      </c>
      <c r="Z8" s="7">
        <f t="shared" si="20"/>
        <v>0.46893317702227427</v>
      </c>
      <c r="AA8" s="7">
        <f t="shared" si="21"/>
        <v>0.25400547088706527</v>
      </c>
      <c r="AB8" s="7">
        <f t="shared" si="22"/>
        <v>1.3677217663149668</v>
      </c>
      <c r="AC8" s="7">
        <f t="shared" si="23"/>
        <v>0.19538882375928096</v>
      </c>
      <c r="AD8" s="7">
        <f t="shared" si="24"/>
        <v>4.4744040640875342</v>
      </c>
      <c r="AE8" s="7">
        <f t="shared" si="25"/>
        <v>3.380226651035561</v>
      </c>
      <c r="AF8" s="7">
        <f t="shared" si="26"/>
        <v>10.902696365767877</v>
      </c>
      <c r="AG8" s="7">
        <f t="shared" si="27"/>
        <v>5.3145760062524428</v>
      </c>
      <c r="AH8" s="7">
        <f t="shared" si="28"/>
        <v>0.56662758890191478</v>
      </c>
      <c r="AI8" s="7">
        <f t="shared" si="29"/>
        <v>0.29308323563892147</v>
      </c>
      <c r="AJ8" s="7">
        <f t="shared" si="30"/>
        <v>1.4849550605705353</v>
      </c>
      <c r="AK8" s="7">
        <f t="shared" si="31"/>
        <v>0.23446658851113714</v>
      </c>
    </row>
    <row r="9" spans="1:37" x14ac:dyDescent="0.25">
      <c r="A9" s="17"/>
      <c r="B9" t="s">
        <v>16</v>
      </c>
      <c r="C9" s="1">
        <v>4746</v>
      </c>
      <c r="D9" s="1">
        <v>195</v>
      </c>
      <c r="E9">
        <v>134</v>
      </c>
      <c r="F9" s="1">
        <v>379</v>
      </c>
      <c r="G9" s="1">
        <v>72</v>
      </c>
      <c r="H9" s="5">
        <v>21</v>
      </c>
      <c r="I9">
        <v>18</v>
      </c>
      <c r="J9">
        <v>58</v>
      </c>
      <c r="K9">
        <v>12</v>
      </c>
      <c r="L9">
        <v>199</v>
      </c>
      <c r="M9">
        <v>138</v>
      </c>
      <c r="N9">
        <v>385</v>
      </c>
      <c r="O9">
        <v>231</v>
      </c>
      <c r="P9">
        <v>28</v>
      </c>
      <c r="Q9">
        <v>21</v>
      </c>
      <c r="R9">
        <v>68</v>
      </c>
      <c r="S9">
        <v>15</v>
      </c>
      <c r="V9" s="7">
        <f t="shared" si="16"/>
        <v>4.1087231352718074</v>
      </c>
      <c r="W9" s="7">
        <f t="shared" si="17"/>
        <v>2.8234302570585754</v>
      </c>
      <c r="X9" s="7">
        <f t="shared" si="18"/>
        <v>7.9856721449641803</v>
      </c>
      <c r="Y9" s="7">
        <f t="shared" si="19"/>
        <v>1.5170670037926675</v>
      </c>
      <c r="Z9" s="7">
        <f t="shared" si="20"/>
        <v>0.44247787610619471</v>
      </c>
      <c r="AA9" s="7">
        <f t="shared" si="21"/>
        <v>0.37926675094816686</v>
      </c>
      <c r="AB9" s="7">
        <f t="shared" si="22"/>
        <v>1.2220817530552044</v>
      </c>
      <c r="AC9" s="7">
        <f t="shared" si="23"/>
        <v>0.25284450063211128</v>
      </c>
      <c r="AD9" s="7">
        <f t="shared" si="24"/>
        <v>4.1930046354825121</v>
      </c>
      <c r="AE9" s="7">
        <f t="shared" si="25"/>
        <v>2.9077117572692797</v>
      </c>
      <c r="AF9" s="7">
        <f t="shared" si="26"/>
        <v>8.112094395280236</v>
      </c>
      <c r="AG9" s="7">
        <f t="shared" si="27"/>
        <v>4.8672566371681416</v>
      </c>
      <c r="AH9" s="7">
        <f t="shared" si="28"/>
        <v>0.58997050147492625</v>
      </c>
      <c r="AI9" s="7">
        <f t="shared" si="29"/>
        <v>0.44247787610619471</v>
      </c>
      <c r="AJ9" s="7">
        <f t="shared" si="30"/>
        <v>1.4327855035819637</v>
      </c>
      <c r="AK9" s="7">
        <f t="shared" si="31"/>
        <v>0.31605562579013907</v>
      </c>
    </row>
    <row r="10" spans="1:37" x14ac:dyDescent="0.25">
      <c r="A10" s="17"/>
      <c r="B10" t="s">
        <v>17</v>
      </c>
      <c r="C10" s="1">
        <v>5799</v>
      </c>
      <c r="D10" s="1">
        <v>206</v>
      </c>
      <c r="E10">
        <v>218</v>
      </c>
      <c r="F10" s="1">
        <v>350</v>
      </c>
      <c r="G10" s="1">
        <v>88</v>
      </c>
      <c r="H10" s="5">
        <v>31</v>
      </c>
      <c r="I10">
        <v>35</v>
      </c>
      <c r="J10">
        <v>77</v>
      </c>
      <c r="K10">
        <v>12</v>
      </c>
      <c r="L10">
        <v>211</v>
      </c>
      <c r="M10">
        <v>224</v>
      </c>
      <c r="N10">
        <v>361</v>
      </c>
      <c r="O10">
        <v>246</v>
      </c>
      <c r="P10">
        <v>35</v>
      </c>
      <c r="Q10">
        <v>38</v>
      </c>
      <c r="R10">
        <v>86</v>
      </c>
      <c r="S10">
        <v>13</v>
      </c>
      <c r="V10" s="7">
        <f t="shared" si="16"/>
        <v>3.552336609760304</v>
      </c>
      <c r="W10" s="7">
        <f t="shared" si="17"/>
        <v>3.7592688394550788</v>
      </c>
      <c r="X10" s="7">
        <f t="shared" si="18"/>
        <v>6.0355233660976033</v>
      </c>
      <c r="Y10" s="7">
        <f t="shared" si="19"/>
        <v>1.5175030177616831</v>
      </c>
      <c r="Z10" s="7">
        <f t="shared" si="20"/>
        <v>0.53457492671150197</v>
      </c>
      <c r="AA10" s="7">
        <f t="shared" si="21"/>
        <v>0.60355233660976026</v>
      </c>
      <c r="AB10" s="7">
        <f t="shared" si="22"/>
        <v>1.3278151405414726</v>
      </c>
      <c r="AC10" s="7">
        <f t="shared" si="23"/>
        <v>0.20693222969477496</v>
      </c>
      <c r="AD10" s="7">
        <f t="shared" si="24"/>
        <v>3.6385583721331263</v>
      </c>
      <c r="AE10" s="7">
        <f t="shared" si="25"/>
        <v>3.8627349543024661</v>
      </c>
      <c r="AF10" s="7">
        <f t="shared" si="26"/>
        <v>6.2252112433178137</v>
      </c>
      <c r="AG10" s="7">
        <f t="shared" si="27"/>
        <v>4.2421107087428869</v>
      </c>
      <c r="AH10" s="7">
        <f t="shared" si="28"/>
        <v>0.60355233660976026</v>
      </c>
      <c r="AI10" s="7">
        <f t="shared" si="29"/>
        <v>0.65528539403345398</v>
      </c>
      <c r="AJ10" s="7">
        <f t="shared" si="30"/>
        <v>1.4830143128125539</v>
      </c>
      <c r="AK10" s="7">
        <f t="shared" si="31"/>
        <v>0.22417658216933953</v>
      </c>
    </row>
    <row r="11" spans="1:37" x14ac:dyDescent="0.25">
      <c r="A11" s="17"/>
      <c r="B11" t="s">
        <v>18</v>
      </c>
      <c r="C11" s="1">
        <v>5085</v>
      </c>
      <c r="D11" s="1">
        <v>275</v>
      </c>
      <c r="E11">
        <v>213</v>
      </c>
      <c r="F11" s="1">
        <v>494</v>
      </c>
      <c r="G11" s="1">
        <v>156</v>
      </c>
      <c r="H11" s="5">
        <v>32</v>
      </c>
      <c r="I11">
        <v>26</v>
      </c>
      <c r="J11">
        <v>89</v>
      </c>
      <c r="K11">
        <v>18</v>
      </c>
      <c r="L11">
        <v>278</v>
      </c>
      <c r="M11">
        <v>217</v>
      </c>
      <c r="N11">
        <v>499</v>
      </c>
      <c r="O11">
        <v>329</v>
      </c>
      <c r="P11">
        <v>36</v>
      </c>
      <c r="Q11">
        <v>30</v>
      </c>
      <c r="R11">
        <v>99</v>
      </c>
      <c r="S11">
        <v>19</v>
      </c>
      <c r="V11" s="7">
        <f t="shared" si="16"/>
        <v>5.4080629301868237</v>
      </c>
      <c r="W11" s="7">
        <f t="shared" si="17"/>
        <v>4.1887905604719764</v>
      </c>
      <c r="X11" s="7">
        <f t="shared" si="18"/>
        <v>9.7148475909537861</v>
      </c>
      <c r="Y11" s="7">
        <f t="shared" si="19"/>
        <v>3.0678466076696163</v>
      </c>
      <c r="Z11" s="7">
        <f t="shared" si="20"/>
        <v>0.6293018682399214</v>
      </c>
      <c r="AA11" s="7">
        <f t="shared" si="21"/>
        <v>0.51130776794493615</v>
      </c>
      <c r="AB11" s="7">
        <f t="shared" si="22"/>
        <v>1.7502458210422813</v>
      </c>
      <c r="AC11" s="7">
        <f t="shared" si="23"/>
        <v>0.35398230088495575</v>
      </c>
      <c r="AD11" s="7">
        <f t="shared" si="24"/>
        <v>5.4670599803343167</v>
      </c>
      <c r="AE11" s="7">
        <f t="shared" si="25"/>
        <v>4.2674532940019665</v>
      </c>
      <c r="AF11" s="7">
        <f t="shared" si="26"/>
        <v>9.8131760078662733</v>
      </c>
      <c r="AG11" s="7">
        <f t="shared" si="27"/>
        <v>6.4700098328416917</v>
      </c>
      <c r="AH11" s="7">
        <f t="shared" si="28"/>
        <v>0.70796460176991149</v>
      </c>
      <c r="AI11" s="7">
        <f t="shared" si="29"/>
        <v>0.58997050147492625</v>
      </c>
      <c r="AJ11" s="7">
        <f t="shared" si="30"/>
        <v>1.9469026548672566</v>
      </c>
      <c r="AK11" s="7">
        <f t="shared" si="31"/>
        <v>0.37364798426745333</v>
      </c>
    </row>
    <row r="12" spans="1:37" x14ac:dyDescent="0.25">
      <c r="A12" s="17" t="s">
        <v>61</v>
      </c>
      <c r="B12" t="s">
        <v>19</v>
      </c>
      <c r="C12" s="1">
        <v>7403</v>
      </c>
      <c r="D12" s="1">
        <v>337</v>
      </c>
      <c r="E12">
        <v>284</v>
      </c>
      <c r="F12" s="1">
        <v>581</v>
      </c>
      <c r="G12" s="1">
        <v>122</v>
      </c>
      <c r="H12" s="5">
        <v>20</v>
      </c>
      <c r="I12">
        <v>13</v>
      </c>
      <c r="J12">
        <v>45</v>
      </c>
      <c r="K12">
        <v>6</v>
      </c>
      <c r="L12">
        <v>353</v>
      </c>
      <c r="M12">
        <v>294</v>
      </c>
      <c r="N12">
        <v>601</v>
      </c>
      <c r="O12">
        <v>416</v>
      </c>
      <c r="P12">
        <v>25</v>
      </c>
      <c r="Q12">
        <v>17</v>
      </c>
      <c r="R12">
        <v>54</v>
      </c>
      <c r="S12">
        <v>9</v>
      </c>
      <c r="V12" s="8">
        <f t="shared" si="16"/>
        <v>4.5522085640956371</v>
      </c>
      <c r="W12" s="8">
        <f t="shared" si="17"/>
        <v>3.8362825881399436</v>
      </c>
      <c r="X12" s="8">
        <f t="shared" si="18"/>
        <v>7.8481696609482645</v>
      </c>
      <c r="Y12" s="8">
        <f t="shared" si="19"/>
        <v>1.6479805484263137</v>
      </c>
      <c r="Z12" s="8">
        <f t="shared" si="20"/>
        <v>0.270160745643658</v>
      </c>
      <c r="AA12" s="8">
        <f t="shared" si="21"/>
        <v>0.17560448466837769</v>
      </c>
      <c r="AB12" s="8">
        <f t="shared" si="22"/>
        <v>0.60786167769823041</v>
      </c>
      <c r="AC12" s="8">
        <f t="shared" si="23"/>
        <v>8.1048223693097388E-2</v>
      </c>
      <c r="AD12" s="8">
        <f t="shared" si="24"/>
        <v>4.7683371606105629</v>
      </c>
      <c r="AE12" s="8">
        <f t="shared" si="25"/>
        <v>3.9713629609617724</v>
      </c>
      <c r="AF12" s="8">
        <f t="shared" si="26"/>
        <v>8.1183304065919231</v>
      </c>
      <c r="AG12" s="8">
        <f t="shared" si="27"/>
        <v>5.6193435093880861</v>
      </c>
      <c r="AH12" s="8">
        <f t="shared" si="28"/>
        <v>0.33770093205457247</v>
      </c>
      <c r="AI12" s="8">
        <f t="shared" si="29"/>
        <v>0.22963663379710927</v>
      </c>
      <c r="AJ12" s="8">
        <f t="shared" si="30"/>
        <v>0.7294340132378766</v>
      </c>
      <c r="AK12" s="8">
        <f t="shared" si="31"/>
        <v>0.1215723355396461</v>
      </c>
    </row>
    <row r="13" spans="1:37" x14ac:dyDescent="0.25">
      <c r="A13" s="17"/>
      <c r="B13" t="s">
        <v>20</v>
      </c>
      <c r="C13" s="1">
        <v>6133</v>
      </c>
      <c r="D13" s="1">
        <v>271</v>
      </c>
      <c r="E13">
        <v>196</v>
      </c>
      <c r="F13" s="1">
        <v>326</v>
      </c>
      <c r="G13" s="1">
        <v>76</v>
      </c>
      <c r="H13" s="5">
        <v>40</v>
      </c>
      <c r="I13">
        <v>18</v>
      </c>
      <c r="J13">
        <v>57</v>
      </c>
      <c r="K13">
        <v>13</v>
      </c>
      <c r="L13">
        <v>277</v>
      </c>
      <c r="M13">
        <v>198</v>
      </c>
      <c r="N13">
        <v>328</v>
      </c>
      <c r="O13">
        <v>323</v>
      </c>
      <c r="P13">
        <v>47</v>
      </c>
      <c r="Q13">
        <v>21</v>
      </c>
      <c r="R13">
        <v>62</v>
      </c>
      <c r="S13">
        <v>15</v>
      </c>
      <c r="V13" s="8">
        <f t="shared" si="16"/>
        <v>4.4187184086091635</v>
      </c>
      <c r="W13" s="8">
        <f t="shared" si="17"/>
        <v>3.1958258601010927</v>
      </c>
      <c r="X13" s="8">
        <f t="shared" si="18"/>
        <v>5.3155062775150821</v>
      </c>
      <c r="Y13" s="8">
        <f t="shared" si="19"/>
        <v>1.2391977824881786</v>
      </c>
      <c r="Z13" s="8">
        <f t="shared" si="20"/>
        <v>0.65220935920430456</v>
      </c>
      <c r="AA13" s="8">
        <f t="shared" si="21"/>
        <v>0.29349421164193706</v>
      </c>
      <c r="AB13" s="8">
        <f t="shared" si="22"/>
        <v>0.92939833686613393</v>
      </c>
      <c r="AC13" s="8">
        <f t="shared" si="23"/>
        <v>0.21196804174139897</v>
      </c>
      <c r="AD13" s="8">
        <f t="shared" si="24"/>
        <v>4.5165498124898091</v>
      </c>
      <c r="AE13" s="8">
        <f t="shared" si="25"/>
        <v>3.2284363280613078</v>
      </c>
      <c r="AF13" s="8">
        <f t="shared" si="26"/>
        <v>5.3481167454752976</v>
      </c>
      <c r="AG13" s="8">
        <f t="shared" si="27"/>
        <v>5.2665905755747593</v>
      </c>
      <c r="AH13" s="8">
        <f t="shared" si="28"/>
        <v>0.7663459970650579</v>
      </c>
      <c r="AI13" s="8">
        <f t="shared" si="29"/>
        <v>0.34240991358225992</v>
      </c>
      <c r="AJ13" s="8">
        <f t="shared" si="30"/>
        <v>1.0109245067666721</v>
      </c>
      <c r="AK13" s="8">
        <f t="shared" si="31"/>
        <v>0.24457850970161424</v>
      </c>
    </row>
    <row r="14" spans="1:37" x14ac:dyDescent="0.25">
      <c r="A14" s="17"/>
      <c r="B14" t="s">
        <v>21</v>
      </c>
      <c r="C14" s="1">
        <v>4801</v>
      </c>
      <c r="D14" s="1">
        <v>331</v>
      </c>
      <c r="E14">
        <v>189</v>
      </c>
      <c r="F14" s="1">
        <v>356</v>
      </c>
      <c r="G14" s="1">
        <v>116</v>
      </c>
      <c r="H14" s="5">
        <v>38</v>
      </c>
      <c r="I14">
        <v>16</v>
      </c>
      <c r="J14">
        <v>43</v>
      </c>
      <c r="K14">
        <v>15</v>
      </c>
      <c r="L14">
        <v>339</v>
      </c>
      <c r="M14">
        <v>196</v>
      </c>
      <c r="N14">
        <v>362</v>
      </c>
      <c r="O14">
        <v>399</v>
      </c>
      <c r="P14">
        <v>42</v>
      </c>
      <c r="Q14">
        <v>18</v>
      </c>
      <c r="R14">
        <v>45</v>
      </c>
      <c r="S14">
        <v>17</v>
      </c>
      <c r="V14" s="8">
        <f t="shared" si="16"/>
        <v>6.8943970006248705</v>
      </c>
      <c r="W14" s="8">
        <f t="shared" si="17"/>
        <v>3.9366798583628411</v>
      </c>
      <c r="X14" s="8">
        <f t="shared" si="18"/>
        <v>7.415121849614664</v>
      </c>
      <c r="Y14" s="8">
        <f t="shared" si="19"/>
        <v>2.4161632993126432</v>
      </c>
      <c r="Z14" s="8">
        <f t="shared" si="20"/>
        <v>0.79150177046448644</v>
      </c>
      <c r="AA14" s="8">
        <f t="shared" si="21"/>
        <v>0.33326390335346801</v>
      </c>
      <c r="AB14" s="8">
        <f t="shared" si="22"/>
        <v>0.8956467402624454</v>
      </c>
      <c r="AC14" s="8">
        <f t="shared" si="23"/>
        <v>0.3124349093938763</v>
      </c>
      <c r="AD14" s="8">
        <f t="shared" si="24"/>
        <v>7.0610289523016041</v>
      </c>
      <c r="AE14" s="8">
        <f t="shared" si="25"/>
        <v>4.0824828160799829</v>
      </c>
      <c r="AF14" s="8">
        <f t="shared" si="26"/>
        <v>7.5400958133722131</v>
      </c>
      <c r="AG14" s="8">
        <f t="shared" si="27"/>
        <v>8.3107685898771084</v>
      </c>
      <c r="AH14" s="8">
        <f t="shared" si="28"/>
        <v>0.87481774630285347</v>
      </c>
      <c r="AI14" s="8">
        <f t="shared" si="29"/>
        <v>0.37492189127265152</v>
      </c>
      <c r="AJ14" s="8">
        <f t="shared" si="30"/>
        <v>0.9373047281816288</v>
      </c>
      <c r="AK14" s="8">
        <f t="shared" si="31"/>
        <v>0.35409289731305976</v>
      </c>
    </row>
    <row r="15" spans="1:37" x14ac:dyDescent="0.25">
      <c r="A15" s="17"/>
      <c r="B15" t="s">
        <v>22</v>
      </c>
      <c r="C15" s="1">
        <v>7361</v>
      </c>
      <c r="D15" s="1">
        <v>370</v>
      </c>
      <c r="E15">
        <v>238</v>
      </c>
      <c r="F15" s="1">
        <v>554</v>
      </c>
      <c r="G15" s="1">
        <v>130</v>
      </c>
      <c r="H15" s="5">
        <v>48</v>
      </c>
      <c r="I15">
        <v>21</v>
      </c>
      <c r="J15">
        <v>91</v>
      </c>
      <c r="K15">
        <v>15</v>
      </c>
      <c r="L15">
        <v>374</v>
      </c>
      <c r="M15">
        <v>240</v>
      </c>
      <c r="N15">
        <v>558</v>
      </c>
      <c r="O15">
        <v>437</v>
      </c>
      <c r="P15">
        <v>56</v>
      </c>
      <c r="Q15">
        <v>25</v>
      </c>
      <c r="R15">
        <v>102</v>
      </c>
      <c r="S15">
        <v>17</v>
      </c>
      <c r="V15" s="8">
        <f t="shared" si="16"/>
        <v>5.0264909659013721</v>
      </c>
      <c r="W15" s="8">
        <f t="shared" si="17"/>
        <v>3.2332563510392611</v>
      </c>
      <c r="X15" s="8">
        <f t="shared" si="18"/>
        <v>7.5261513381334062</v>
      </c>
      <c r="Y15" s="8">
        <f t="shared" si="19"/>
        <v>1.7660643934248064</v>
      </c>
      <c r="Z15" s="8">
        <f t="shared" si="20"/>
        <v>0.65208531449531315</v>
      </c>
      <c r="AA15" s="8">
        <f t="shared" si="21"/>
        <v>0.28528732509169946</v>
      </c>
      <c r="AB15" s="8">
        <f t="shared" si="22"/>
        <v>1.2362450753973644</v>
      </c>
      <c r="AC15" s="8">
        <f t="shared" si="23"/>
        <v>0.20377666077978535</v>
      </c>
      <c r="AD15" s="8">
        <f t="shared" si="24"/>
        <v>5.0808314087759809</v>
      </c>
      <c r="AE15" s="8">
        <f t="shared" si="25"/>
        <v>3.2604265724765655</v>
      </c>
      <c r="AF15" s="8">
        <f t="shared" si="26"/>
        <v>7.5804917810080159</v>
      </c>
      <c r="AG15" s="8">
        <f t="shared" si="27"/>
        <v>5.9366933840510807</v>
      </c>
      <c r="AH15" s="8">
        <f t="shared" si="28"/>
        <v>0.76076620024453201</v>
      </c>
      <c r="AI15" s="8">
        <f t="shared" si="29"/>
        <v>0.33962776796630895</v>
      </c>
      <c r="AJ15" s="8">
        <f t="shared" si="30"/>
        <v>1.3856812933025404</v>
      </c>
      <c r="AK15" s="8">
        <f t="shared" si="31"/>
        <v>0.23094688221709006</v>
      </c>
    </row>
    <row r="16" spans="1:37" x14ac:dyDescent="0.25">
      <c r="A16" s="17"/>
      <c r="B16" t="s">
        <v>23</v>
      </c>
      <c r="C16" s="1">
        <v>5815</v>
      </c>
      <c r="D16" s="1">
        <v>338</v>
      </c>
      <c r="E16">
        <v>325</v>
      </c>
      <c r="F16" s="1">
        <v>463</v>
      </c>
      <c r="G16" s="1">
        <v>169</v>
      </c>
      <c r="H16" s="5">
        <v>54</v>
      </c>
      <c r="I16">
        <v>45</v>
      </c>
      <c r="J16">
        <v>71</v>
      </c>
      <c r="K16">
        <v>28</v>
      </c>
      <c r="L16">
        <v>347</v>
      </c>
      <c r="M16">
        <v>338</v>
      </c>
      <c r="N16">
        <v>469</v>
      </c>
      <c r="O16">
        <v>424</v>
      </c>
      <c r="P16">
        <v>60</v>
      </c>
      <c r="Q16">
        <v>47</v>
      </c>
      <c r="R16">
        <v>80</v>
      </c>
      <c r="S16">
        <v>29</v>
      </c>
      <c r="V16" s="8">
        <f t="shared" si="16"/>
        <v>5.8125537403267407</v>
      </c>
      <c r="W16" s="8">
        <f t="shared" si="17"/>
        <v>5.5889939810834051</v>
      </c>
      <c r="X16" s="8">
        <f t="shared" si="18"/>
        <v>7.962166809974204</v>
      </c>
      <c r="Y16" s="8">
        <f t="shared" si="19"/>
        <v>2.9062768701633703</v>
      </c>
      <c r="Z16" s="8">
        <f t="shared" si="20"/>
        <v>0.92863284608770413</v>
      </c>
      <c r="AA16" s="8">
        <f t="shared" si="21"/>
        <v>0.7738607050730868</v>
      </c>
      <c r="AB16" s="8">
        <f t="shared" si="22"/>
        <v>1.2209802235597593</v>
      </c>
      <c r="AC16" s="8">
        <f t="shared" si="23"/>
        <v>0.48151332760103183</v>
      </c>
      <c r="AD16" s="8">
        <f t="shared" si="24"/>
        <v>5.9673258813413588</v>
      </c>
      <c r="AE16" s="8">
        <f t="shared" si="25"/>
        <v>5.8125537403267407</v>
      </c>
      <c r="AF16" s="8">
        <f t="shared" si="26"/>
        <v>8.0653482373172825</v>
      </c>
      <c r="AG16" s="8">
        <f t="shared" si="27"/>
        <v>7.2914875322441963</v>
      </c>
      <c r="AH16" s="8">
        <f t="shared" si="28"/>
        <v>1.0318142734307825</v>
      </c>
      <c r="AI16" s="8">
        <f t="shared" si="29"/>
        <v>0.8082545141874462</v>
      </c>
      <c r="AJ16" s="8">
        <f t="shared" si="30"/>
        <v>1.3757523645743766</v>
      </c>
      <c r="AK16" s="8">
        <f t="shared" si="31"/>
        <v>0.49871023215821153</v>
      </c>
    </row>
    <row r="17" spans="1:37" x14ac:dyDescent="0.25">
      <c r="A17" s="17"/>
      <c r="B17" t="s">
        <v>24</v>
      </c>
      <c r="C17" s="1">
        <v>5299</v>
      </c>
      <c r="D17" s="1">
        <v>236</v>
      </c>
      <c r="E17">
        <v>174</v>
      </c>
      <c r="F17" s="1">
        <v>614</v>
      </c>
      <c r="G17" s="1">
        <v>131</v>
      </c>
      <c r="H17" s="5">
        <v>20</v>
      </c>
      <c r="I17">
        <v>13</v>
      </c>
      <c r="J17">
        <v>91</v>
      </c>
      <c r="K17">
        <v>12</v>
      </c>
      <c r="L17">
        <v>246</v>
      </c>
      <c r="M17">
        <v>179</v>
      </c>
      <c r="N17">
        <v>630</v>
      </c>
      <c r="O17">
        <v>296</v>
      </c>
      <c r="P17">
        <v>21</v>
      </c>
      <c r="Q17">
        <v>14</v>
      </c>
      <c r="R17">
        <v>102</v>
      </c>
      <c r="S17">
        <v>13</v>
      </c>
      <c r="V17" s="8">
        <f t="shared" si="16"/>
        <v>4.4536705038686542</v>
      </c>
      <c r="W17" s="8">
        <f t="shared" si="17"/>
        <v>3.2836384223438384</v>
      </c>
      <c r="X17" s="8">
        <f t="shared" si="18"/>
        <v>11.587091904132855</v>
      </c>
      <c r="Y17" s="8">
        <f t="shared" si="19"/>
        <v>2.472164559350821</v>
      </c>
      <c r="Z17" s="8">
        <f t="shared" si="20"/>
        <v>0.37742970371768259</v>
      </c>
      <c r="AA17" s="8">
        <f t="shared" si="21"/>
        <v>0.24532930741649367</v>
      </c>
      <c r="AB17" s="8">
        <f t="shared" si="22"/>
        <v>1.7173051519154559</v>
      </c>
      <c r="AC17" s="8">
        <f t="shared" si="23"/>
        <v>0.22645782223060956</v>
      </c>
      <c r="AD17" s="8">
        <f t="shared" si="24"/>
        <v>4.6423853557274954</v>
      </c>
      <c r="AE17" s="8">
        <f t="shared" si="25"/>
        <v>3.377995848273259</v>
      </c>
      <c r="AF17" s="8">
        <f t="shared" si="26"/>
        <v>11.889035667107001</v>
      </c>
      <c r="AG17" s="8">
        <f t="shared" si="27"/>
        <v>5.5859596150217028</v>
      </c>
      <c r="AH17" s="8">
        <f t="shared" si="28"/>
        <v>0.39630118890356669</v>
      </c>
      <c r="AI17" s="8">
        <f t="shared" si="29"/>
        <v>0.26420079260237783</v>
      </c>
      <c r="AJ17" s="8">
        <f t="shared" si="30"/>
        <v>1.9248914889601811</v>
      </c>
      <c r="AK17" s="8">
        <f t="shared" si="31"/>
        <v>0.24532930741649367</v>
      </c>
    </row>
    <row r="18" spans="1:37" x14ac:dyDescent="0.25">
      <c r="A18" s="17"/>
      <c r="B18" t="s">
        <v>25</v>
      </c>
      <c r="C18" s="1">
        <v>6923</v>
      </c>
      <c r="D18" s="1">
        <v>366</v>
      </c>
      <c r="E18">
        <v>221</v>
      </c>
      <c r="F18" s="1">
        <v>609</v>
      </c>
      <c r="G18" s="1">
        <v>152</v>
      </c>
      <c r="H18" s="5">
        <v>66</v>
      </c>
      <c r="I18">
        <v>33</v>
      </c>
      <c r="J18">
        <v>126</v>
      </c>
      <c r="K18">
        <v>27</v>
      </c>
      <c r="L18">
        <v>374</v>
      </c>
      <c r="M18">
        <v>228</v>
      </c>
      <c r="N18">
        <v>620</v>
      </c>
      <c r="O18">
        <v>439</v>
      </c>
      <c r="P18">
        <v>74</v>
      </c>
      <c r="Q18">
        <v>36</v>
      </c>
      <c r="R18">
        <v>146</v>
      </c>
      <c r="S18">
        <v>30</v>
      </c>
      <c r="V18" s="8">
        <f t="shared" si="16"/>
        <v>5.2867254080600894</v>
      </c>
      <c r="W18" s="8">
        <f t="shared" si="17"/>
        <v>3.1922576917521304</v>
      </c>
      <c r="X18" s="8">
        <f t="shared" si="18"/>
        <v>8.7967644084934271</v>
      </c>
      <c r="Y18" s="8">
        <f t="shared" si="19"/>
        <v>2.1955799508883436</v>
      </c>
      <c r="Z18" s="8">
        <f t="shared" si="20"/>
        <v>0.95334392604362272</v>
      </c>
      <c r="AA18" s="8">
        <f t="shared" si="21"/>
        <v>0.47667196302181136</v>
      </c>
      <c r="AB18" s="8">
        <f t="shared" si="22"/>
        <v>1.820020222446916</v>
      </c>
      <c r="AC18" s="8">
        <f t="shared" si="23"/>
        <v>0.39000433338148199</v>
      </c>
      <c r="AD18" s="8">
        <f t="shared" si="24"/>
        <v>5.402282247580529</v>
      </c>
      <c r="AE18" s="8">
        <f t="shared" si="25"/>
        <v>3.2933699263325149</v>
      </c>
      <c r="AF18" s="8">
        <f t="shared" si="26"/>
        <v>8.9556550628340315</v>
      </c>
      <c r="AG18" s="8">
        <f t="shared" si="27"/>
        <v>6.3411815686840969</v>
      </c>
      <c r="AH18" s="8">
        <f t="shared" si="28"/>
        <v>1.0689007655640619</v>
      </c>
      <c r="AI18" s="8">
        <f t="shared" si="29"/>
        <v>0.52000577784197599</v>
      </c>
      <c r="AJ18" s="8">
        <f t="shared" si="30"/>
        <v>2.1089123212480141</v>
      </c>
      <c r="AK18" s="8">
        <f t="shared" si="31"/>
        <v>0.43333814820164668</v>
      </c>
    </row>
    <row r="19" spans="1:37" x14ac:dyDescent="0.25">
      <c r="A19" s="17"/>
      <c r="B19" t="s">
        <v>26</v>
      </c>
      <c r="C19" s="1">
        <v>5735</v>
      </c>
      <c r="D19" s="1">
        <v>206</v>
      </c>
      <c r="E19">
        <v>206</v>
      </c>
      <c r="F19" s="1">
        <v>947</v>
      </c>
      <c r="G19" s="1">
        <v>182</v>
      </c>
      <c r="H19" s="5">
        <v>15</v>
      </c>
      <c r="I19">
        <v>14</v>
      </c>
      <c r="J19">
        <v>85</v>
      </c>
      <c r="K19">
        <v>13</v>
      </c>
      <c r="L19">
        <v>212</v>
      </c>
      <c r="M19">
        <v>212</v>
      </c>
      <c r="N19">
        <v>967</v>
      </c>
      <c r="O19">
        <v>261</v>
      </c>
      <c r="P19">
        <v>16</v>
      </c>
      <c r="Q19">
        <v>15</v>
      </c>
      <c r="R19">
        <v>123</v>
      </c>
      <c r="S19">
        <v>14</v>
      </c>
      <c r="V19" s="8">
        <f t="shared" si="16"/>
        <v>3.5919790758500438</v>
      </c>
      <c r="W19" s="8">
        <f t="shared" si="17"/>
        <v>3.5919790758500438</v>
      </c>
      <c r="X19" s="8">
        <f t="shared" si="18"/>
        <v>16.512641673931995</v>
      </c>
      <c r="Y19" s="8">
        <f t="shared" si="19"/>
        <v>3.1734960767218832</v>
      </c>
      <c r="Z19" s="8">
        <f t="shared" si="20"/>
        <v>0.26155187445510025</v>
      </c>
      <c r="AA19" s="8">
        <f t="shared" si="21"/>
        <v>0.24411508282476024</v>
      </c>
      <c r="AB19" s="8">
        <f t="shared" si="22"/>
        <v>1.4821272885789014</v>
      </c>
      <c r="AC19" s="8">
        <f t="shared" si="23"/>
        <v>0.22667829119442021</v>
      </c>
      <c r="AD19" s="8">
        <f t="shared" si="24"/>
        <v>3.696599825632084</v>
      </c>
      <c r="AE19" s="8">
        <f t="shared" si="25"/>
        <v>3.696599825632084</v>
      </c>
      <c r="AF19" s="8">
        <f t="shared" si="26"/>
        <v>16.861377506538798</v>
      </c>
      <c r="AG19" s="8">
        <f t="shared" si="27"/>
        <v>4.5510026155187449</v>
      </c>
      <c r="AH19" s="8">
        <f t="shared" si="28"/>
        <v>0.27898866608544032</v>
      </c>
      <c r="AI19" s="8">
        <f t="shared" si="29"/>
        <v>0.26155187445510025</v>
      </c>
      <c r="AJ19" s="8">
        <f t="shared" si="30"/>
        <v>2.1447253705318219</v>
      </c>
      <c r="AK19" s="8">
        <f t="shared" si="31"/>
        <v>0.24411508282476024</v>
      </c>
    </row>
    <row r="20" spans="1:37" x14ac:dyDescent="0.25">
      <c r="A20" s="17"/>
      <c r="B20" t="s">
        <v>27</v>
      </c>
      <c r="C20" s="1">
        <v>5931</v>
      </c>
      <c r="D20" s="1">
        <v>275</v>
      </c>
      <c r="E20">
        <v>167</v>
      </c>
      <c r="F20" s="1">
        <v>422</v>
      </c>
      <c r="G20" s="1">
        <v>87</v>
      </c>
      <c r="H20" s="5">
        <v>23</v>
      </c>
      <c r="I20">
        <v>16</v>
      </c>
      <c r="J20">
        <v>69</v>
      </c>
      <c r="K20">
        <v>6</v>
      </c>
      <c r="L20">
        <v>279</v>
      </c>
      <c r="M20">
        <v>173</v>
      </c>
      <c r="N20">
        <v>428</v>
      </c>
      <c r="O20">
        <v>307</v>
      </c>
      <c r="P20">
        <v>25</v>
      </c>
      <c r="Q20">
        <v>17</v>
      </c>
      <c r="R20">
        <v>74</v>
      </c>
      <c r="S20">
        <v>6</v>
      </c>
      <c r="V20" s="8">
        <f t="shared" si="16"/>
        <v>4.636654864272467</v>
      </c>
      <c r="W20" s="8">
        <f t="shared" si="17"/>
        <v>2.815714044849098</v>
      </c>
      <c r="X20" s="8">
        <f t="shared" si="18"/>
        <v>7.1151576462653852</v>
      </c>
      <c r="Y20" s="8">
        <f t="shared" si="19"/>
        <v>1.4668689934243804</v>
      </c>
      <c r="Z20" s="8">
        <f t="shared" si="20"/>
        <v>0.38779295228460631</v>
      </c>
      <c r="AA20" s="8">
        <f t="shared" si="21"/>
        <v>0.26976901028494349</v>
      </c>
      <c r="AB20" s="8">
        <f t="shared" si="22"/>
        <v>1.163378856853819</v>
      </c>
      <c r="AC20" s="8">
        <f t="shared" si="23"/>
        <v>0.10116337885685382</v>
      </c>
      <c r="AD20" s="8">
        <f t="shared" si="24"/>
        <v>4.7040971168437027</v>
      </c>
      <c r="AE20" s="8">
        <f t="shared" si="25"/>
        <v>2.916877423705952</v>
      </c>
      <c r="AF20" s="8">
        <f t="shared" si="26"/>
        <v>7.2163210251222392</v>
      </c>
      <c r="AG20" s="8">
        <f t="shared" si="27"/>
        <v>5.1761928848423535</v>
      </c>
      <c r="AH20" s="8">
        <f t="shared" si="28"/>
        <v>0.42151407857022427</v>
      </c>
      <c r="AI20" s="8">
        <f t="shared" si="29"/>
        <v>0.28662957342775247</v>
      </c>
      <c r="AJ20" s="8">
        <f t="shared" si="30"/>
        <v>1.2476816725678637</v>
      </c>
      <c r="AK20" s="8">
        <f t="shared" si="31"/>
        <v>0.10116337885685382</v>
      </c>
    </row>
    <row r="21" spans="1:37" x14ac:dyDescent="0.25">
      <c r="A21" s="17" t="s">
        <v>62</v>
      </c>
      <c r="B21" t="s">
        <v>19</v>
      </c>
      <c r="C21" s="1">
        <v>7403</v>
      </c>
      <c r="D21" s="1">
        <v>337</v>
      </c>
      <c r="E21">
        <v>284</v>
      </c>
      <c r="F21" s="1">
        <v>581</v>
      </c>
      <c r="G21" s="1">
        <v>122</v>
      </c>
      <c r="H21" s="5">
        <v>20</v>
      </c>
      <c r="I21">
        <v>13</v>
      </c>
      <c r="J21">
        <v>45</v>
      </c>
      <c r="K21">
        <v>6</v>
      </c>
      <c r="L21">
        <v>353</v>
      </c>
      <c r="M21">
        <v>294</v>
      </c>
      <c r="N21">
        <v>601</v>
      </c>
      <c r="O21">
        <v>416</v>
      </c>
      <c r="P21">
        <v>25</v>
      </c>
      <c r="Q21">
        <v>17</v>
      </c>
      <c r="R21">
        <v>54</v>
      </c>
      <c r="S21">
        <v>9</v>
      </c>
      <c r="V21" s="9">
        <f t="shared" si="16"/>
        <v>4.5522085640956371</v>
      </c>
      <c r="W21" s="9">
        <f t="shared" si="17"/>
        <v>3.8362825881399436</v>
      </c>
      <c r="X21" s="9">
        <f t="shared" si="18"/>
        <v>7.8481696609482645</v>
      </c>
      <c r="Y21" s="9">
        <f t="shared" si="19"/>
        <v>1.6479805484263137</v>
      </c>
      <c r="Z21" s="9">
        <f t="shared" si="20"/>
        <v>0.270160745643658</v>
      </c>
      <c r="AA21" s="9">
        <f t="shared" si="21"/>
        <v>0.17560448466837769</v>
      </c>
      <c r="AB21" s="9">
        <f t="shared" si="22"/>
        <v>0.60786167769823041</v>
      </c>
      <c r="AC21" s="9">
        <f t="shared" si="23"/>
        <v>8.1048223693097388E-2</v>
      </c>
      <c r="AD21" s="9">
        <f t="shared" si="24"/>
        <v>4.7683371606105629</v>
      </c>
      <c r="AE21" s="9">
        <f t="shared" si="25"/>
        <v>3.9713629609617724</v>
      </c>
      <c r="AF21" s="9">
        <f t="shared" si="26"/>
        <v>8.1183304065919231</v>
      </c>
      <c r="AG21" s="9">
        <f t="shared" si="27"/>
        <v>5.6193435093880861</v>
      </c>
      <c r="AH21" s="9">
        <f t="shared" si="28"/>
        <v>0.33770093205457247</v>
      </c>
      <c r="AI21" s="9">
        <f t="shared" si="29"/>
        <v>0.22963663379710927</v>
      </c>
      <c r="AJ21" s="9">
        <f t="shared" si="30"/>
        <v>0.7294340132378766</v>
      </c>
      <c r="AK21" s="9">
        <f t="shared" si="31"/>
        <v>0.1215723355396461</v>
      </c>
    </row>
    <row r="22" spans="1:37" x14ac:dyDescent="0.25">
      <c r="A22" s="17"/>
      <c r="B22" t="s">
        <v>20</v>
      </c>
      <c r="C22" s="1">
        <v>6133</v>
      </c>
      <c r="D22" s="1">
        <v>271</v>
      </c>
      <c r="E22">
        <v>196</v>
      </c>
      <c r="F22" s="1">
        <v>326</v>
      </c>
      <c r="G22" s="1">
        <v>76</v>
      </c>
      <c r="H22" s="5">
        <v>40</v>
      </c>
      <c r="I22">
        <v>18</v>
      </c>
      <c r="J22">
        <v>57</v>
      </c>
      <c r="K22">
        <v>13</v>
      </c>
      <c r="L22">
        <v>277</v>
      </c>
      <c r="M22">
        <v>198</v>
      </c>
      <c r="N22">
        <v>328</v>
      </c>
      <c r="O22">
        <v>323</v>
      </c>
      <c r="P22">
        <v>47</v>
      </c>
      <c r="Q22">
        <v>21</v>
      </c>
      <c r="R22">
        <v>62</v>
      </c>
      <c r="S22">
        <v>15</v>
      </c>
      <c r="V22" s="9">
        <f t="shared" si="16"/>
        <v>4.4187184086091635</v>
      </c>
      <c r="W22" s="9">
        <f t="shared" si="17"/>
        <v>3.1958258601010927</v>
      </c>
      <c r="X22" s="9">
        <f t="shared" si="18"/>
        <v>5.3155062775150821</v>
      </c>
      <c r="Y22" s="9">
        <f t="shared" si="19"/>
        <v>1.2391977824881786</v>
      </c>
      <c r="Z22" s="9">
        <f t="shared" si="20"/>
        <v>0.65220935920430456</v>
      </c>
      <c r="AA22" s="9">
        <f t="shared" si="21"/>
        <v>0.29349421164193706</v>
      </c>
      <c r="AB22" s="9">
        <f t="shared" si="22"/>
        <v>0.92939833686613393</v>
      </c>
      <c r="AC22" s="9">
        <f t="shared" si="23"/>
        <v>0.21196804174139897</v>
      </c>
      <c r="AD22" s="9">
        <f t="shared" si="24"/>
        <v>4.5165498124898091</v>
      </c>
      <c r="AE22" s="9">
        <f t="shared" si="25"/>
        <v>3.2284363280613078</v>
      </c>
      <c r="AF22" s="9">
        <f t="shared" si="26"/>
        <v>5.3481167454752976</v>
      </c>
      <c r="AG22" s="9">
        <f t="shared" si="27"/>
        <v>5.2665905755747593</v>
      </c>
      <c r="AH22" s="9">
        <f t="shared" si="28"/>
        <v>0.7663459970650579</v>
      </c>
      <c r="AI22" s="9">
        <f t="shared" si="29"/>
        <v>0.34240991358225992</v>
      </c>
      <c r="AJ22" s="9">
        <f t="shared" si="30"/>
        <v>1.0109245067666721</v>
      </c>
      <c r="AK22" s="9">
        <f t="shared" si="31"/>
        <v>0.24457850970161424</v>
      </c>
    </row>
    <row r="23" spans="1:37" x14ac:dyDescent="0.25">
      <c r="A23" s="17"/>
      <c r="B23" t="s">
        <v>21</v>
      </c>
      <c r="C23" s="1">
        <v>4801</v>
      </c>
      <c r="D23" s="1">
        <v>331</v>
      </c>
      <c r="E23">
        <v>189</v>
      </c>
      <c r="F23" s="1">
        <v>356</v>
      </c>
      <c r="G23" s="1">
        <v>116</v>
      </c>
      <c r="H23" s="5">
        <v>38</v>
      </c>
      <c r="I23">
        <v>16</v>
      </c>
      <c r="J23">
        <v>43</v>
      </c>
      <c r="K23">
        <v>15</v>
      </c>
      <c r="L23">
        <v>339</v>
      </c>
      <c r="M23">
        <v>196</v>
      </c>
      <c r="N23">
        <v>362</v>
      </c>
      <c r="O23">
        <v>399</v>
      </c>
      <c r="P23">
        <v>42</v>
      </c>
      <c r="Q23">
        <v>18</v>
      </c>
      <c r="R23">
        <v>45</v>
      </c>
      <c r="S23">
        <v>17</v>
      </c>
      <c r="V23" s="9">
        <f t="shared" si="16"/>
        <v>6.8943970006248705</v>
      </c>
      <c r="W23" s="9">
        <f t="shared" si="17"/>
        <v>3.9366798583628411</v>
      </c>
      <c r="X23" s="9">
        <f t="shared" si="18"/>
        <v>7.415121849614664</v>
      </c>
      <c r="Y23" s="9">
        <f t="shared" si="19"/>
        <v>2.4161632993126432</v>
      </c>
      <c r="Z23" s="9">
        <f t="shared" si="20"/>
        <v>0.79150177046448644</v>
      </c>
      <c r="AA23" s="9">
        <f t="shared" si="21"/>
        <v>0.33326390335346801</v>
      </c>
      <c r="AB23" s="9">
        <f t="shared" si="22"/>
        <v>0.8956467402624454</v>
      </c>
      <c r="AC23" s="9">
        <f t="shared" si="23"/>
        <v>0.3124349093938763</v>
      </c>
      <c r="AD23" s="9">
        <f t="shared" si="24"/>
        <v>7.0610289523016041</v>
      </c>
      <c r="AE23" s="9">
        <f t="shared" si="25"/>
        <v>4.0824828160799829</v>
      </c>
      <c r="AF23" s="9">
        <f t="shared" si="26"/>
        <v>7.5400958133722131</v>
      </c>
      <c r="AG23" s="9">
        <f t="shared" si="27"/>
        <v>8.3107685898771084</v>
      </c>
      <c r="AH23" s="9">
        <f t="shared" si="28"/>
        <v>0.87481774630285347</v>
      </c>
      <c r="AI23" s="9">
        <f t="shared" si="29"/>
        <v>0.37492189127265152</v>
      </c>
      <c r="AJ23" s="9">
        <f t="shared" si="30"/>
        <v>0.9373047281816288</v>
      </c>
      <c r="AK23" s="9">
        <f t="shared" si="31"/>
        <v>0.35409289731305976</v>
      </c>
    </row>
    <row r="24" spans="1:37" x14ac:dyDescent="0.25">
      <c r="A24" s="17"/>
      <c r="B24" t="s">
        <v>22</v>
      </c>
      <c r="C24" s="1">
        <v>7361</v>
      </c>
      <c r="D24" s="1">
        <v>370</v>
      </c>
      <c r="E24">
        <v>238</v>
      </c>
      <c r="F24" s="1">
        <v>554</v>
      </c>
      <c r="G24" s="1">
        <v>130</v>
      </c>
      <c r="H24" s="5">
        <v>48</v>
      </c>
      <c r="I24">
        <v>21</v>
      </c>
      <c r="J24">
        <v>91</v>
      </c>
      <c r="K24">
        <v>15</v>
      </c>
      <c r="L24">
        <v>374</v>
      </c>
      <c r="M24">
        <v>240</v>
      </c>
      <c r="N24">
        <v>558</v>
      </c>
      <c r="O24">
        <v>437</v>
      </c>
      <c r="P24">
        <v>56</v>
      </c>
      <c r="Q24">
        <v>25</v>
      </c>
      <c r="R24">
        <v>102</v>
      </c>
      <c r="S24">
        <v>17</v>
      </c>
      <c r="V24" s="9">
        <f t="shared" si="16"/>
        <v>5.0264909659013721</v>
      </c>
      <c r="W24" s="9">
        <f t="shared" si="17"/>
        <v>3.2332563510392611</v>
      </c>
      <c r="X24" s="9">
        <f t="shared" si="18"/>
        <v>7.5261513381334062</v>
      </c>
      <c r="Y24" s="9">
        <f t="shared" si="19"/>
        <v>1.7660643934248064</v>
      </c>
      <c r="Z24" s="9">
        <f t="shared" si="20"/>
        <v>0.65208531449531315</v>
      </c>
      <c r="AA24" s="9">
        <f t="shared" si="21"/>
        <v>0.28528732509169946</v>
      </c>
      <c r="AB24" s="9">
        <f t="shared" si="22"/>
        <v>1.2362450753973644</v>
      </c>
      <c r="AC24" s="9">
        <f t="shared" si="23"/>
        <v>0.20377666077978535</v>
      </c>
      <c r="AD24" s="9">
        <f t="shared" si="24"/>
        <v>5.0808314087759809</v>
      </c>
      <c r="AE24" s="9">
        <f t="shared" si="25"/>
        <v>3.2604265724765655</v>
      </c>
      <c r="AF24" s="9">
        <f t="shared" si="26"/>
        <v>7.5804917810080159</v>
      </c>
      <c r="AG24" s="9">
        <f t="shared" si="27"/>
        <v>5.9366933840510807</v>
      </c>
      <c r="AH24" s="9">
        <f t="shared" si="28"/>
        <v>0.76076620024453201</v>
      </c>
      <c r="AI24" s="9">
        <f t="shared" si="29"/>
        <v>0.33962776796630895</v>
      </c>
      <c r="AJ24" s="9">
        <f t="shared" si="30"/>
        <v>1.3856812933025404</v>
      </c>
      <c r="AK24" s="9">
        <f t="shared" si="31"/>
        <v>0.23094688221709006</v>
      </c>
    </row>
    <row r="25" spans="1:37" x14ac:dyDescent="0.25">
      <c r="A25" s="17"/>
      <c r="B25" t="s">
        <v>23</v>
      </c>
      <c r="C25" s="1">
        <v>5815</v>
      </c>
      <c r="D25" s="1">
        <v>338</v>
      </c>
      <c r="E25">
        <v>325</v>
      </c>
      <c r="F25" s="1">
        <v>463</v>
      </c>
      <c r="G25" s="1">
        <v>169</v>
      </c>
      <c r="H25" s="5">
        <v>54</v>
      </c>
      <c r="I25">
        <v>45</v>
      </c>
      <c r="J25">
        <v>71</v>
      </c>
      <c r="K25">
        <v>28</v>
      </c>
      <c r="L25">
        <v>347</v>
      </c>
      <c r="M25">
        <v>338</v>
      </c>
      <c r="N25">
        <v>469</v>
      </c>
      <c r="O25">
        <v>424</v>
      </c>
      <c r="P25">
        <v>60</v>
      </c>
      <c r="Q25">
        <v>47</v>
      </c>
      <c r="R25">
        <v>80</v>
      </c>
      <c r="S25">
        <v>29</v>
      </c>
      <c r="V25" s="9">
        <f t="shared" si="16"/>
        <v>5.8125537403267407</v>
      </c>
      <c r="W25" s="9">
        <f t="shared" si="17"/>
        <v>5.5889939810834051</v>
      </c>
      <c r="X25" s="9">
        <f t="shared" si="18"/>
        <v>7.962166809974204</v>
      </c>
      <c r="Y25" s="9">
        <f t="shared" si="19"/>
        <v>2.9062768701633703</v>
      </c>
      <c r="Z25" s="9">
        <f t="shared" si="20"/>
        <v>0.92863284608770413</v>
      </c>
      <c r="AA25" s="9">
        <f t="shared" si="21"/>
        <v>0.7738607050730868</v>
      </c>
      <c r="AB25" s="9">
        <f t="shared" si="22"/>
        <v>1.2209802235597593</v>
      </c>
      <c r="AC25" s="9">
        <f t="shared" si="23"/>
        <v>0.48151332760103183</v>
      </c>
      <c r="AD25" s="9">
        <f t="shared" si="24"/>
        <v>5.9673258813413588</v>
      </c>
      <c r="AE25" s="9">
        <f t="shared" si="25"/>
        <v>5.8125537403267407</v>
      </c>
      <c r="AF25" s="9">
        <f t="shared" si="26"/>
        <v>8.0653482373172825</v>
      </c>
      <c r="AG25" s="9">
        <f t="shared" si="27"/>
        <v>7.2914875322441963</v>
      </c>
      <c r="AH25" s="9">
        <f t="shared" si="28"/>
        <v>1.0318142734307825</v>
      </c>
      <c r="AI25" s="9">
        <f t="shared" si="29"/>
        <v>0.8082545141874462</v>
      </c>
      <c r="AJ25" s="9">
        <f t="shared" si="30"/>
        <v>1.3757523645743766</v>
      </c>
      <c r="AK25" s="9">
        <f t="shared" si="31"/>
        <v>0.49871023215821153</v>
      </c>
    </row>
    <row r="26" spans="1:37" x14ac:dyDescent="0.25">
      <c r="A26" s="17"/>
      <c r="B26" t="s">
        <v>24</v>
      </c>
      <c r="C26" s="1">
        <v>5299</v>
      </c>
      <c r="D26" s="1">
        <v>236</v>
      </c>
      <c r="E26">
        <v>174</v>
      </c>
      <c r="F26" s="1">
        <v>614</v>
      </c>
      <c r="G26" s="1">
        <v>131</v>
      </c>
      <c r="H26" s="5">
        <v>20</v>
      </c>
      <c r="I26">
        <v>13</v>
      </c>
      <c r="J26">
        <v>91</v>
      </c>
      <c r="K26">
        <v>12</v>
      </c>
      <c r="L26">
        <v>246</v>
      </c>
      <c r="M26">
        <v>179</v>
      </c>
      <c r="N26">
        <v>630</v>
      </c>
      <c r="O26">
        <v>296</v>
      </c>
      <c r="P26">
        <v>21</v>
      </c>
      <c r="Q26">
        <v>14</v>
      </c>
      <c r="R26">
        <v>102</v>
      </c>
      <c r="S26">
        <v>13</v>
      </c>
      <c r="V26" s="9">
        <f t="shared" si="16"/>
        <v>4.4536705038686542</v>
      </c>
      <c r="W26" s="9">
        <f t="shared" si="17"/>
        <v>3.2836384223438384</v>
      </c>
      <c r="X26" s="9">
        <f t="shared" si="18"/>
        <v>11.587091904132855</v>
      </c>
      <c r="Y26" s="9">
        <f t="shared" si="19"/>
        <v>2.472164559350821</v>
      </c>
      <c r="Z26" s="9">
        <f t="shared" si="20"/>
        <v>0.37742970371768259</v>
      </c>
      <c r="AA26" s="9">
        <f t="shared" si="21"/>
        <v>0.24532930741649367</v>
      </c>
      <c r="AB26" s="9">
        <f t="shared" si="22"/>
        <v>1.7173051519154559</v>
      </c>
      <c r="AC26" s="9">
        <f t="shared" si="23"/>
        <v>0.22645782223060956</v>
      </c>
      <c r="AD26" s="9">
        <f t="shared" si="24"/>
        <v>4.6423853557274954</v>
      </c>
      <c r="AE26" s="9">
        <f t="shared" si="25"/>
        <v>3.377995848273259</v>
      </c>
      <c r="AF26" s="9">
        <f t="shared" si="26"/>
        <v>11.889035667107001</v>
      </c>
      <c r="AG26" s="9">
        <f t="shared" si="27"/>
        <v>5.5859596150217028</v>
      </c>
      <c r="AH26" s="9">
        <f t="shared" si="28"/>
        <v>0.39630118890356669</v>
      </c>
      <c r="AI26" s="9">
        <f t="shared" si="29"/>
        <v>0.26420079260237783</v>
      </c>
      <c r="AJ26" s="9">
        <f t="shared" si="30"/>
        <v>1.9248914889601811</v>
      </c>
      <c r="AK26" s="9">
        <f t="shared" si="31"/>
        <v>0.24532930741649367</v>
      </c>
    </row>
    <row r="27" spans="1:37" x14ac:dyDescent="0.25">
      <c r="A27" s="17"/>
      <c r="B27" t="s">
        <v>25</v>
      </c>
      <c r="C27" s="1">
        <v>6923</v>
      </c>
      <c r="D27" s="1">
        <v>366</v>
      </c>
      <c r="E27">
        <v>221</v>
      </c>
      <c r="F27" s="1">
        <v>609</v>
      </c>
      <c r="G27" s="1">
        <v>152</v>
      </c>
      <c r="H27" s="5">
        <v>66</v>
      </c>
      <c r="I27">
        <v>33</v>
      </c>
      <c r="J27">
        <v>126</v>
      </c>
      <c r="K27">
        <v>27</v>
      </c>
      <c r="L27">
        <v>374</v>
      </c>
      <c r="M27">
        <v>228</v>
      </c>
      <c r="N27">
        <v>620</v>
      </c>
      <c r="O27">
        <v>439</v>
      </c>
      <c r="P27">
        <v>74</v>
      </c>
      <c r="Q27">
        <v>36</v>
      </c>
      <c r="R27">
        <v>146</v>
      </c>
      <c r="S27">
        <v>30</v>
      </c>
      <c r="V27" s="9">
        <f t="shared" si="16"/>
        <v>5.2867254080600894</v>
      </c>
      <c r="W27" s="9">
        <f t="shared" si="17"/>
        <v>3.1922576917521304</v>
      </c>
      <c r="X27" s="9">
        <f t="shared" si="18"/>
        <v>8.7967644084934271</v>
      </c>
      <c r="Y27" s="9">
        <f t="shared" si="19"/>
        <v>2.1955799508883436</v>
      </c>
      <c r="Z27" s="9">
        <f t="shared" si="20"/>
        <v>0.95334392604362272</v>
      </c>
      <c r="AA27" s="9">
        <f t="shared" si="21"/>
        <v>0.47667196302181136</v>
      </c>
      <c r="AB27" s="9">
        <f t="shared" si="22"/>
        <v>1.820020222446916</v>
      </c>
      <c r="AC27" s="9">
        <f t="shared" si="23"/>
        <v>0.39000433338148199</v>
      </c>
      <c r="AD27" s="9">
        <f t="shared" si="24"/>
        <v>5.402282247580529</v>
      </c>
      <c r="AE27" s="9">
        <f t="shared" si="25"/>
        <v>3.2933699263325149</v>
      </c>
      <c r="AF27" s="9">
        <f t="shared" si="26"/>
        <v>8.9556550628340315</v>
      </c>
      <c r="AG27" s="9">
        <f t="shared" si="27"/>
        <v>6.3411815686840969</v>
      </c>
      <c r="AH27" s="9">
        <f t="shared" si="28"/>
        <v>1.0689007655640619</v>
      </c>
      <c r="AI27" s="9">
        <f t="shared" si="29"/>
        <v>0.52000577784197599</v>
      </c>
      <c r="AJ27" s="9">
        <f t="shared" si="30"/>
        <v>2.1089123212480141</v>
      </c>
      <c r="AK27" s="9">
        <f t="shared" si="31"/>
        <v>0.43333814820164668</v>
      </c>
    </row>
    <row r="28" spans="1:37" x14ac:dyDescent="0.25">
      <c r="A28" s="17"/>
      <c r="B28" t="s">
        <v>26</v>
      </c>
      <c r="C28" s="1">
        <v>5735</v>
      </c>
      <c r="D28" s="1">
        <v>206</v>
      </c>
      <c r="E28">
        <v>206</v>
      </c>
      <c r="F28" s="1">
        <v>947</v>
      </c>
      <c r="G28" s="1">
        <v>182</v>
      </c>
      <c r="H28" s="5">
        <v>15</v>
      </c>
      <c r="I28">
        <v>14</v>
      </c>
      <c r="J28">
        <v>85</v>
      </c>
      <c r="K28">
        <v>13</v>
      </c>
      <c r="L28">
        <v>212</v>
      </c>
      <c r="M28">
        <v>212</v>
      </c>
      <c r="N28">
        <v>967</v>
      </c>
      <c r="O28">
        <v>261</v>
      </c>
      <c r="P28">
        <v>16</v>
      </c>
      <c r="Q28">
        <v>15</v>
      </c>
      <c r="R28">
        <v>123</v>
      </c>
      <c r="S28">
        <v>14</v>
      </c>
      <c r="V28" s="9">
        <f t="shared" si="16"/>
        <v>3.5919790758500438</v>
      </c>
      <c r="W28" s="9">
        <f t="shared" si="17"/>
        <v>3.5919790758500438</v>
      </c>
      <c r="X28" s="9">
        <f t="shared" si="18"/>
        <v>16.512641673931995</v>
      </c>
      <c r="Y28" s="9">
        <f t="shared" si="19"/>
        <v>3.1734960767218832</v>
      </c>
      <c r="Z28" s="9">
        <f t="shared" si="20"/>
        <v>0.26155187445510025</v>
      </c>
      <c r="AA28" s="9">
        <f t="shared" si="21"/>
        <v>0.24411508282476024</v>
      </c>
      <c r="AB28" s="9">
        <f t="shared" si="22"/>
        <v>1.4821272885789014</v>
      </c>
      <c r="AC28" s="9">
        <f t="shared" si="23"/>
        <v>0.22667829119442021</v>
      </c>
      <c r="AD28" s="9">
        <f t="shared" si="24"/>
        <v>3.696599825632084</v>
      </c>
      <c r="AE28" s="9">
        <f t="shared" si="25"/>
        <v>3.696599825632084</v>
      </c>
      <c r="AF28" s="9">
        <f t="shared" si="26"/>
        <v>16.861377506538798</v>
      </c>
      <c r="AG28" s="9">
        <f t="shared" si="27"/>
        <v>4.5510026155187449</v>
      </c>
      <c r="AH28" s="9">
        <f t="shared" si="28"/>
        <v>0.27898866608544032</v>
      </c>
      <c r="AI28" s="9">
        <f t="shared" si="29"/>
        <v>0.26155187445510025</v>
      </c>
      <c r="AJ28" s="9">
        <f t="shared" si="30"/>
        <v>2.1447253705318219</v>
      </c>
      <c r="AK28" s="9">
        <f t="shared" si="31"/>
        <v>0.24411508282476024</v>
      </c>
    </row>
    <row r="29" spans="1:37" x14ac:dyDescent="0.25">
      <c r="A29" s="17"/>
      <c r="B29" t="s">
        <v>27</v>
      </c>
      <c r="C29" s="1">
        <v>5931</v>
      </c>
      <c r="D29" s="1">
        <v>275</v>
      </c>
      <c r="E29">
        <v>167</v>
      </c>
      <c r="F29" s="1">
        <v>422</v>
      </c>
      <c r="G29" s="1">
        <v>87</v>
      </c>
      <c r="H29" s="5">
        <v>23</v>
      </c>
      <c r="I29">
        <v>16</v>
      </c>
      <c r="J29">
        <v>69</v>
      </c>
      <c r="K29">
        <v>6</v>
      </c>
      <c r="L29">
        <v>279</v>
      </c>
      <c r="M29">
        <v>173</v>
      </c>
      <c r="N29">
        <v>428</v>
      </c>
      <c r="O29">
        <v>307</v>
      </c>
      <c r="P29">
        <v>25</v>
      </c>
      <c r="Q29">
        <v>17</v>
      </c>
      <c r="R29">
        <v>74</v>
      </c>
      <c r="S29">
        <v>6</v>
      </c>
      <c r="V29" s="9">
        <f t="shared" si="16"/>
        <v>4.636654864272467</v>
      </c>
      <c r="W29" s="9">
        <f t="shared" si="17"/>
        <v>2.815714044849098</v>
      </c>
      <c r="X29" s="9">
        <f t="shared" si="18"/>
        <v>7.1151576462653852</v>
      </c>
      <c r="Y29" s="9">
        <f t="shared" si="19"/>
        <v>1.4668689934243804</v>
      </c>
      <c r="Z29" s="9">
        <f t="shared" si="20"/>
        <v>0.38779295228460631</v>
      </c>
      <c r="AA29" s="9">
        <f t="shared" si="21"/>
        <v>0.26976901028494349</v>
      </c>
      <c r="AB29" s="9">
        <f t="shared" si="22"/>
        <v>1.163378856853819</v>
      </c>
      <c r="AC29" s="9">
        <f t="shared" si="23"/>
        <v>0.10116337885685382</v>
      </c>
      <c r="AD29" s="9">
        <f t="shared" si="24"/>
        <v>4.7040971168437027</v>
      </c>
      <c r="AE29" s="9">
        <f t="shared" si="25"/>
        <v>2.916877423705952</v>
      </c>
      <c r="AF29" s="9">
        <f t="shared" si="26"/>
        <v>7.2163210251222392</v>
      </c>
      <c r="AG29" s="9">
        <f t="shared" si="27"/>
        <v>5.1761928848423535</v>
      </c>
      <c r="AH29" s="9">
        <f t="shared" si="28"/>
        <v>0.42151407857022427</v>
      </c>
      <c r="AI29" s="9">
        <f t="shared" si="29"/>
        <v>0.28662957342775247</v>
      </c>
      <c r="AJ29" s="9">
        <f t="shared" si="30"/>
        <v>1.2476816725678637</v>
      </c>
      <c r="AK29" s="9">
        <f t="shared" si="31"/>
        <v>0.10116337885685382</v>
      </c>
    </row>
    <row r="30" spans="1:37" x14ac:dyDescent="0.25">
      <c r="A30" s="17" t="s">
        <v>0</v>
      </c>
      <c r="B30" t="s">
        <v>28</v>
      </c>
      <c r="C30" s="1">
        <v>5459</v>
      </c>
      <c r="D30" s="1">
        <v>178</v>
      </c>
      <c r="E30">
        <v>167</v>
      </c>
      <c r="F30" s="1">
        <v>532</v>
      </c>
      <c r="G30" s="1">
        <v>97</v>
      </c>
      <c r="H30" s="5">
        <v>37</v>
      </c>
      <c r="I30">
        <v>38</v>
      </c>
      <c r="J30">
        <v>146</v>
      </c>
      <c r="K30">
        <v>27</v>
      </c>
      <c r="L30">
        <v>184</v>
      </c>
      <c r="M30">
        <v>172</v>
      </c>
      <c r="N30">
        <v>542</v>
      </c>
      <c r="O30">
        <v>210</v>
      </c>
      <c r="P30">
        <v>47</v>
      </c>
      <c r="Q30">
        <v>48</v>
      </c>
      <c r="R30">
        <v>175</v>
      </c>
      <c r="S30">
        <v>35</v>
      </c>
      <c r="V30" s="10">
        <f t="shared" si="16"/>
        <v>3.2606704524638217</v>
      </c>
      <c r="W30" s="10">
        <f t="shared" si="17"/>
        <v>3.0591683458508885</v>
      </c>
      <c r="X30" s="10">
        <f t="shared" si="18"/>
        <v>9.7453746107345669</v>
      </c>
      <c r="Y30" s="10">
        <f t="shared" si="19"/>
        <v>1.7768822128594981</v>
      </c>
      <c r="Z30" s="10">
        <f t="shared" si="20"/>
        <v>0.67777981315259206</v>
      </c>
      <c r="AA30" s="10">
        <f t="shared" si="21"/>
        <v>0.69609818648104049</v>
      </c>
      <c r="AB30" s="10">
        <f t="shared" si="22"/>
        <v>2.6744825059534714</v>
      </c>
      <c r="AC30" s="10">
        <f t="shared" si="23"/>
        <v>0.49459607986810772</v>
      </c>
      <c r="AD30" s="10">
        <f t="shared" si="24"/>
        <v>3.3705806924345119</v>
      </c>
      <c r="AE30" s="10">
        <f t="shared" si="25"/>
        <v>3.1507602124931302</v>
      </c>
      <c r="AF30" s="10">
        <f t="shared" si="26"/>
        <v>9.9285583440190504</v>
      </c>
      <c r="AG30" s="10">
        <f t="shared" si="27"/>
        <v>3.8468583989741711</v>
      </c>
      <c r="AH30" s="10">
        <f t="shared" si="28"/>
        <v>0.86096354643707629</v>
      </c>
      <c r="AI30" s="10">
        <f t="shared" si="29"/>
        <v>0.87928191976552483</v>
      </c>
      <c r="AJ30" s="10">
        <f t="shared" si="30"/>
        <v>3.205715332478476</v>
      </c>
      <c r="AK30" s="10">
        <f t="shared" si="31"/>
        <v>0.64114306649569519</v>
      </c>
    </row>
    <row r="31" spans="1:37" x14ac:dyDescent="0.25">
      <c r="A31" s="17"/>
      <c r="B31" t="s">
        <v>29</v>
      </c>
      <c r="C31" s="1">
        <v>5277</v>
      </c>
      <c r="D31" s="1">
        <v>164</v>
      </c>
      <c r="E31">
        <v>129</v>
      </c>
      <c r="F31" s="1">
        <v>316</v>
      </c>
      <c r="G31" s="1">
        <v>60</v>
      </c>
      <c r="H31" s="5">
        <v>22</v>
      </c>
      <c r="I31">
        <v>17</v>
      </c>
      <c r="J31">
        <v>42</v>
      </c>
      <c r="K31">
        <v>7</v>
      </c>
      <c r="L31">
        <v>168</v>
      </c>
      <c r="M31">
        <v>130</v>
      </c>
      <c r="N31">
        <v>325</v>
      </c>
      <c r="O31">
        <v>193</v>
      </c>
      <c r="P31">
        <v>24</v>
      </c>
      <c r="Q31">
        <v>17</v>
      </c>
      <c r="R31">
        <v>44</v>
      </c>
      <c r="S31">
        <v>7</v>
      </c>
      <c r="V31" s="10">
        <f t="shared" si="16"/>
        <v>3.1078264165245404</v>
      </c>
      <c r="W31" s="10">
        <f t="shared" si="17"/>
        <v>2.4445707788516202</v>
      </c>
      <c r="X31" s="10">
        <f t="shared" si="18"/>
        <v>5.9882509001326509</v>
      </c>
      <c r="Y31" s="10">
        <f t="shared" si="19"/>
        <v>1.137009664582149</v>
      </c>
      <c r="Z31" s="10">
        <f t="shared" si="20"/>
        <v>0.41690354368012128</v>
      </c>
      <c r="AA31" s="10">
        <f t="shared" si="21"/>
        <v>0.32215273829827556</v>
      </c>
      <c r="AB31" s="10">
        <f t="shared" si="22"/>
        <v>0.79590676520750436</v>
      </c>
      <c r="AC31" s="10">
        <f t="shared" si="23"/>
        <v>0.13265112753458402</v>
      </c>
      <c r="AD31" s="10">
        <f t="shared" si="24"/>
        <v>3.1836270608300175</v>
      </c>
      <c r="AE31" s="10">
        <f t="shared" si="25"/>
        <v>2.4635209399279896</v>
      </c>
      <c r="AF31" s="10">
        <f t="shared" si="26"/>
        <v>6.1588023498199735</v>
      </c>
      <c r="AG31" s="10">
        <f t="shared" si="27"/>
        <v>3.6573810877392456</v>
      </c>
      <c r="AH31" s="10">
        <f t="shared" si="28"/>
        <v>0.45480386583285953</v>
      </c>
      <c r="AI31" s="10">
        <f t="shared" si="29"/>
        <v>0.32215273829827556</v>
      </c>
      <c r="AJ31" s="10">
        <f t="shared" si="30"/>
        <v>0.83380708736024256</v>
      </c>
      <c r="AK31" s="10">
        <f t="shared" si="31"/>
        <v>0.13265112753458402</v>
      </c>
    </row>
    <row r="32" spans="1:37" x14ac:dyDescent="0.25">
      <c r="A32" s="17"/>
      <c r="B32" t="s">
        <v>30</v>
      </c>
      <c r="C32" s="1">
        <v>6607</v>
      </c>
      <c r="D32" s="1">
        <v>252</v>
      </c>
      <c r="E32">
        <v>469</v>
      </c>
      <c r="F32" s="1">
        <v>452</v>
      </c>
      <c r="G32" s="1">
        <v>168</v>
      </c>
      <c r="H32" s="5">
        <v>23</v>
      </c>
      <c r="I32">
        <v>42</v>
      </c>
      <c r="J32">
        <v>39</v>
      </c>
      <c r="K32">
        <v>16</v>
      </c>
      <c r="L32">
        <v>262</v>
      </c>
      <c r="M32">
        <v>482</v>
      </c>
      <c r="N32">
        <v>464</v>
      </c>
      <c r="O32">
        <v>308</v>
      </c>
      <c r="P32">
        <v>24</v>
      </c>
      <c r="Q32">
        <v>45</v>
      </c>
      <c r="R32">
        <v>41</v>
      </c>
      <c r="S32">
        <v>17</v>
      </c>
      <c r="V32" s="10">
        <f t="shared" si="16"/>
        <v>3.814136521870743</v>
      </c>
      <c r="W32" s="10">
        <f t="shared" si="17"/>
        <v>7.0985318601483272</v>
      </c>
      <c r="X32" s="10">
        <f t="shared" si="18"/>
        <v>6.8412289995459359</v>
      </c>
      <c r="Y32" s="10">
        <f t="shared" si="19"/>
        <v>2.5427576812471622</v>
      </c>
      <c r="Z32" s="10">
        <f t="shared" si="20"/>
        <v>0.34811563493264719</v>
      </c>
      <c r="AA32" s="10">
        <f t="shared" si="21"/>
        <v>0.63568942031179054</v>
      </c>
      <c r="AB32" s="10">
        <f t="shared" si="22"/>
        <v>0.59028303314666264</v>
      </c>
      <c r="AC32" s="10">
        <f t="shared" si="23"/>
        <v>0.24216739821401545</v>
      </c>
      <c r="AD32" s="10">
        <f t="shared" si="24"/>
        <v>3.9654911457545032</v>
      </c>
      <c r="AE32" s="10">
        <f t="shared" si="25"/>
        <v>7.2952928711972147</v>
      </c>
      <c r="AF32" s="10">
        <f t="shared" si="26"/>
        <v>7.0228545482064479</v>
      </c>
      <c r="AG32" s="10">
        <f t="shared" si="27"/>
        <v>4.6617224156197974</v>
      </c>
      <c r="AH32" s="10">
        <f t="shared" si="28"/>
        <v>0.36325109732102312</v>
      </c>
      <c r="AI32" s="10">
        <f t="shared" si="29"/>
        <v>0.68109580747691845</v>
      </c>
      <c r="AJ32" s="10">
        <f t="shared" si="30"/>
        <v>0.6205539579234145</v>
      </c>
      <c r="AK32" s="10">
        <f t="shared" si="31"/>
        <v>0.25730286060239138</v>
      </c>
    </row>
    <row r="33" spans="1:37" x14ac:dyDescent="0.25">
      <c r="A33" s="17"/>
      <c r="B33" t="s">
        <v>31</v>
      </c>
      <c r="C33" s="1">
        <v>4063</v>
      </c>
      <c r="D33" s="1">
        <v>235</v>
      </c>
      <c r="E33">
        <v>38</v>
      </c>
      <c r="F33" s="1">
        <v>28</v>
      </c>
      <c r="G33" s="1">
        <v>16</v>
      </c>
      <c r="H33" s="5">
        <v>17</v>
      </c>
      <c r="I33">
        <v>5</v>
      </c>
      <c r="J33">
        <v>0</v>
      </c>
      <c r="K33">
        <v>0</v>
      </c>
      <c r="L33">
        <v>240</v>
      </c>
      <c r="M33">
        <v>40</v>
      </c>
      <c r="N33">
        <v>28</v>
      </c>
      <c r="O33">
        <v>243</v>
      </c>
      <c r="P33">
        <v>17</v>
      </c>
      <c r="Q33">
        <v>5</v>
      </c>
      <c r="R33">
        <v>0</v>
      </c>
      <c r="S33">
        <v>0</v>
      </c>
      <c r="V33" s="10">
        <f t="shared" si="16"/>
        <v>5.7839035195668229</v>
      </c>
      <c r="W33" s="10">
        <f t="shared" si="17"/>
        <v>0.93526950529165642</v>
      </c>
      <c r="X33" s="10">
        <f t="shared" si="18"/>
        <v>0.68914595126753631</v>
      </c>
      <c r="Y33" s="10">
        <f t="shared" si="19"/>
        <v>0.39379768643859214</v>
      </c>
      <c r="Z33" s="10">
        <f t="shared" si="20"/>
        <v>0.41841004184100417</v>
      </c>
      <c r="AA33" s="10">
        <f t="shared" si="21"/>
        <v>0.12306177701206006</v>
      </c>
      <c r="AB33" s="10">
        <f t="shared" si="22"/>
        <v>0</v>
      </c>
      <c r="AC33" s="10">
        <f t="shared" si="23"/>
        <v>0</v>
      </c>
      <c r="AD33" s="10">
        <f t="shared" si="24"/>
        <v>5.9069652965788828</v>
      </c>
      <c r="AE33" s="10">
        <f t="shared" si="25"/>
        <v>0.98449421609648047</v>
      </c>
      <c r="AF33" s="10">
        <f t="shared" si="26"/>
        <v>0.68914595126753631</v>
      </c>
      <c r="AG33" s="10">
        <f t="shared" si="27"/>
        <v>5.9808023627861191</v>
      </c>
      <c r="AH33" s="10">
        <f t="shared" si="28"/>
        <v>0.41841004184100417</v>
      </c>
      <c r="AI33" s="10">
        <f t="shared" si="29"/>
        <v>0.12306177701206006</v>
      </c>
      <c r="AJ33" s="10">
        <f t="shared" si="30"/>
        <v>0</v>
      </c>
      <c r="AK33" s="10">
        <f t="shared" si="31"/>
        <v>0</v>
      </c>
    </row>
    <row r="34" spans="1:37" x14ac:dyDescent="0.25">
      <c r="A34" s="17"/>
      <c r="B34" t="s">
        <v>32</v>
      </c>
      <c r="C34" s="1">
        <v>6884</v>
      </c>
      <c r="D34" s="1">
        <v>279</v>
      </c>
      <c r="E34">
        <v>189</v>
      </c>
      <c r="F34" s="1">
        <v>630</v>
      </c>
      <c r="G34" s="1">
        <v>134</v>
      </c>
      <c r="H34" s="5">
        <v>47</v>
      </c>
      <c r="I34">
        <v>34</v>
      </c>
      <c r="J34">
        <v>122</v>
      </c>
      <c r="K34">
        <v>21</v>
      </c>
      <c r="L34">
        <v>289</v>
      </c>
      <c r="M34">
        <v>197</v>
      </c>
      <c r="N34">
        <v>637</v>
      </c>
      <c r="O34">
        <v>345</v>
      </c>
      <c r="P34">
        <v>58</v>
      </c>
      <c r="Q34">
        <v>42</v>
      </c>
      <c r="R34">
        <v>145</v>
      </c>
      <c r="S34">
        <v>26</v>
      </c>
      <c r="V34" s="10">
        <f t="shared" si="16"/>
        <v>4.0528762347472398</v>
      </c>
      <c r="W34" s="10">
        <f t="shared" si="17"/>
        <v>2.7454968041836141</v>
      </c>
      <c r="X34" s="10">
        <f t="shared" si="18"/>
        <v>9.1516560139453809</v>
      </c>
      <c r="Y34" s="10">
        <f t="shared" si="19"/>
        <v>1.946542707728065</v>
      </c>
      <c r="Z34" s="10">
        <f t="shared" si="20"/>
        <v>0.68274259151656014</v>
      </c>
      <c r="AA34" s="10">
        <f t="shared" si="21"/>
        <v>0.49389889599070308</v>
      </c>
      <c r="AB34" s="10">
        <f t="shared" si="22"/>
        <v>1.7722254503195816</v>
      </c>
      <c r="AC34" s="10">
        <f t="shared" si="23"/>
        <v>0.30505520046484602</v>
      </c>
      <c r="AD34" s="10">
        <f t="shared" si="24"/>
        <v>4.198140615920976</v>
      </c>
      <c r="AE34" s="10">
        <f t="shared" si="25"/>
        <v>2.8617083091226032</v>
      </c>
      <c r="AF34" s="10">
        <f t="shared" si="26"/>
        <v>9.2533410807669956</v>
      </c>
      <c r="AG34" s="10">
        <f t="shared" si="27"/>
        <v>5.011621150493899</v>
      </c>
      <c r="AH34" s="10">
        <f t="shared" si="28"/>
        <v>0.84253341080766997</v>
      </c>
      <c r="AI34" s="10">
        <f t="shared" si="29"/>
        <v>0.61011040092969204</v>
      </c>
      <c r="AJ34" s="10">
        <f t="shared" si="30"/>
        <v>2.1063335270191752</v>
      </c>
      <c r="AK34" s="10">
        <f t="shared" si="31"/>
        <v>0.37768739105171412</v>
      </c>
    </row>
    <row r="35" spans="1:37" x14ac:dyDescent="0.25">
      <c r="A35" s="17"/>
      <c r="B35" t="s">
        <v>33</v>
      </c>
      <c r="C35" s="1">
        <v>6014</v>
      </c>
      <c r="D35" s="1">
        <v>177</v>
      </c>
      <c r="E35">
        <v>199</v>
      </c>
      <c r="F35" s="1">
        <v>272</v>
      </c>
      <c r="G35" s="1">
        <v>56</v>
      </c>
      <c r="H35" s="5">
        <v>29</v>
      </c>
      <c r="I35">
        <v>31</v>
      </c>
      <c r="J35">
        <v>57</v>
      </c>
      <c r="K35">
        <v>14</v>
      </c>
      <c r="L35">
        <v>182</v>
      </c>
      <c r="M35">
        <v>202</v>
      </c>
      <c r="N35">
        <v>281</v>
      </c>
      <c r="O35">
        <v>206</v>
      </c>
      <c r="P35">
        <v>29</v>
      </c>
      <c r="Q35">
        <v>34</v>
      </c>
      <c r="R35">
        <v>69</v>
      </c>
      <c r="S35">
        <v>14</v>
      </c>
      <c r="V35" s="10">
        <f t="shared" si="16"/>
        <v>2.943132690389092</v>
      </c>
      <c r="W35" s="10">
        <f t="shared" si="17"/>
        <v>3.3089457931493182</v>
      </c>
      <c r="X35" s="10">
        <f t="shared" si="18"/>
        <v>4.5227801795809777</v>
      </c>
      <c r="Y35" s="10">
        <f t="shared" si="19"/>
        <v>0.93116062520784837</v>
      </c>
      <c r="Z35" s="10">
        <f t="shared" si="20"/>
        <v>0.48220818091120721</v>
      </c>
      <c r="AA35" s="10">
        <f t="shared" si="21"/>
        <v>0.51546391752577314</v>
      </c>
      <c r="AB35" s="10">
        <f t="shared" si="22"/>
        <v>0.94778849351513128</v>
      </c>
      <c r="AC35" s="10">
        <f t="shared" si="23"/>
        <v>0.23279015630196209</v>
      </c>
      <c r="AD35" s="10">
        <f t="shared" si="24"/>
        <v>3.0262720319255072</v>
      </c>
      <c r="AE35" s="10">
        <f t="shared" si="25"/>
        <v>3.3588293980711672</v>
      </c>
      <c r="AF35" s="10">
        <f t="shared" si="26"/>
        <v>4.6724309943465245</v>
      </c>
      <c r="AG35" s="10">
        <f t="shared" si="27"/>
        <v>3.4253408713002997</v>
      </c>
      <c r="AH35" s="10">
        <f t="shared" si="28"/>
        <v>0.48220818091120721</v>
      </c>
      <c r="AI35" s="10">
        <f t="shared" si="29"/>
        <v>0.56534752244762221</v>
      </c>
      <c r="AJ35" s="10">
        <f t="shared" si="30"/>
        <v>1.1473229132025273</v>
      </c>
      <c r="AK35" s="10">
        <f t="shared" si="31"/>
        <v>0.23279015630196209</v>
      </c>
    </row>
    <row r="36" spans="1:37" x14ac:dyDescent="0.25">
      <c r="A36" s="17"/>
      <c r="B36" t="s">
        <v>34</v>
      </c>
      <c r="C36" s="1">
        <v>5045</v>
      </c>
      <c r="D36" s="1">
        <v>253</v>
      </c>
      <c r="E36">
        <v>108</v>
      </c>
      <c r="F36" s="1">
        <v>248</v>
      </c>
      <c r="G36" s="1">
        <v>57</v>
      </c>
      <c r="H36" s="5">
        <v>27</v>
      </c>
      <c r="I36">
        <v>20</v>
      </c>
      <c r="J36">
        <v>66</v>
      </c>
      <c r="K36">
        <v>9</v>
      </c>
      <c r="L36">
        <v>268</v>
      </c>
      <c r="M36">
        <v>111</v>
      </c>
      <c r="N36">
        <v>253</v>
      </c>
      <c r="O36">
        <v>295</v>
      </c>
      <c r="P36">
        <v>35</v>
      </c>
      <c r="Q36">
        <v>25</v>
      </c>
      <c r="R36">
        <v>78</v>
      </c>
      <c r="S36">
        <v>12</v>
      </c>
      <c r="V36" s="10">
        <f t="shared" si="16"/>
        <v>5.0148662041625371</v>
      </c>
      <c r="W36" s="10">
        <f t="shared" si="17"/>
        <v>2.1407333994053519</v>
      </c>
      <c r="X36" s="10">
        <f t="shared" si="18"/>
        <v>4.9157581764122895</v>
      </c>
      <c r="Y36" s="10">
        <f t="shared" si="19"/>
        <v>1.1298315163528245</v>
      </c>
      <c r="Z36" s="10">
        <f t="shared" si="20"/>
        <v>0.53518334985133797</v>
      </c>
      <c r="AA36" s="10">
        <f t="shared" si="21"/>
        <v>0.39643211100099107</v>
      </c>
      <c r="AB36" s="10">
        <f t="shared" si="22"/>
        <v>1.3082259663032705</v>
      </c>
      <c r="AC36" s="10">
        <f t="shared" si="23"/>
        <v>0.17839444995044598</v>
      </c>
      <c r="AD36" s="10">
        <f t="shared" si="24"/>
        <v>5.3121902874132809</v>
      </c>
      <c r="AE36" s="10">
        <f t="shared" si="25"/>
        <v>2.2001982160555005</v>
      </c>
      <c r="AF36" s="10">
        <f t="shared" si="26"/>
        <v>5.0148662041625371</v>
      </c>
      <c r="AG36" s="10">
        <f t="shared" si="27"/>
        <v>5.8473736372646181</v>
      </c>
      <c r="AH36" s="10">
        <f t="shared" si="28"/>
        <v>0.6937561942517344</v>
      </c>
      <c r="AI36" s="10">
        <f t="shared" si="29"/>
        <v>0.49554013875123881</v>
      </c>
      <c r="AJ36" s="10">
        <f t="shared" si="30"/>
        <v>1.5460852329038652</v>
      </c>
      <c r="AK36" s="10">
        <f t="shared" si="31"/>
        <v>0.23785926660059467</v>
      </c>
    </row>
    <row r="37" spans="1:37" x14ac:dyDescent="0.25">
      <c r="A37" s="17"/>
      <c r="B37" t="s">
        <v>35</v>
      </c>
      <c r="C37" s="1">
        <v>6084</v>
      </c>
      <c r="D37" s="1">
        <v>244</v>
      </c>
      <c r="E37">
        <v>232</v>
      </c>
      <c r="F37" s="1">
        <v>616</v>
      </c>
      <c r="G37" s="1">
        <v>119</v>
      </c>
      <c r="H37" s="5">
        <v>16</v>
      </c>
      <c r="I37">
        <v>18</v>
      </c>
      <c r="J37">
        <v>55</v>
      </c>
      <c r="K37">
        <v>8</v>
      </c>
      <c r="L37">
        <v>250</v>
      </c>
      <c r="M37">
        <v>240</v>
      </c>
      <c r="N37">
        <v>624</v>
      </c>
      <c r="O37">
        <v>281</v>
      </c>
      <c r="P37">
        <v>18</v>
      </c>
      <c r="Q37">
        <v>18</v>
      </c>
      <c r="R37">
        <v>59</v>
      </c>
      <c r="S37">
        <v>8</v>
      </c>
      <c r="V37" s="10">
        <f t="shared" si="16"/>
        <v>4.0105193951347795</v>
      </c>
      <c r="W37" s="10">
        <f t="shared" si="17"/>
        <v>3.8132807363576595</v>
      </c>
      <c r="X37" s="10">
        <f t="shared" si="18"/>
        <v>10.124917817225509</v>
      </c>
      <c r="Y37" s="10">
        <f t="shared" si="19"/>
        <v>1.9559500328731099</v>
      </c>
      <c r="Z37" s="10">
        <f t="shared" si="20"/>
        <v>0.26298487836949375</v>
      </c>
      <c r="AA37" s="10">
        <f t="shared" si="21"/>
        <v>0.29585798816568049</v>
      </c>
      <c r="AB37" s="10">
        <f t="shared" si="22"/>
        <v>0.90401051939513477</v>
      </c>
      <c r="AC37" s="10">
        <f t="shared" si="23"/>
        <v>0.13149243918474687</v>
      </c>
      <c r="AD37" s="10">
        <f t="shared" si="24"/>
        <v>4.1091387245233397</v>
      </c>
      <c r="AE37" s="10">
        <f t="shared" si="25"/>
        <v>3.9447731755424065</v>
      </c>
      <c r="AF37" s="10">
        <f t="shared" si="26"/>
        <v>10.256410256410255</v>
      </c>
      <c r="AG37" s="10">
        <f t="shared" si="27"/>
        <v>4.6186719263642342</v>
      </c>
      <c r="AH37" s="10">
        <f t="shared" si="28"/>
        <v>0.29585798816568049</v>
      </c>
      <c r="AI37" s="10">
        <f t="shared" si="29"/>
        <v>0.29585798816568049</v>
      </c>
      <c r="AJ37" s="10">
        <f t="shared" si="30"/>
        <v>0.96975673898750825</v>
      </c>
      <c r="AK37" s="10">
        <f t="shared" si="31"/>
        <v>0.13149243918474687</v>
      </c>
    </row>
    <row r="38" spans="1:37" x14ac:dyDescent="0.25">
      <c r="A38" s="17"/>
      <c r="B38" t="s">
        <v>36</v>
      </c>
      <c r="C38" s="1">
        <v>4630</v>
      </c>
      <c r="D38" s="1">
        <v>149</v>
      </c>
      <c r="E38">
        <v>174</v>
      </c>
      <c r="F38" s="1">
        <v>408</v>
      </c>
      <c r="G38" s="1">
        <v>78</v>
      </c>
      <c r="H38" s="5">
        <v>25</v>
      </c>
      <c r="I38">
        <v>35</v>
      </c>
      <c r="J38">
        <v>95</v>
      </c>
      <c r="K38">
        <v>13</v>
      </c>
      <c r="L38">
        <v>156</v>
      </c>
      <c r="M38">
        <v>179</v>
      </c>
      <c r="N38">
        <v>419</v>
      </c>
      <c r="O38">
        <v>183</v>
      </c>
      <c r="P38">
        <v>26</v>
      </c>
      <c r="Q38">
        <v>36</v>
      </c>
      <c r="R38">
        <v>111</v>
      </c>
      <c r="S38">
        <v>13</v>
      </c>
      <c r="V38" s="10">
        <f t="shared" si="16"/>
        <v>3.2181425485961124</v>
      </c>
      <c r="W38" s="10">
        <f t="shared" si="17"/>
        <v>3.7580993520518358</v>
      </c>
      <c r="X38" s="10">
        <f t="shared" si="18"/>
        <v>8.8120950323974085</v>
      </c>
      <c r="Y38" s="10">
        <f t="shared" si="19"/>
        <v>1.6846652267818574</v>
      </c>
      <c r="Z38" s="10">
        <f t="shared" si="20"/>
        <v>0.5399568034557235</v>
      </c>
      <c r="AA38" s="10">
        <f t="shared" si="21"/>
        <v>0.75593952483801297</v>
      </c>
      <c r="AB38" s="10">
        <f t="shared" si="22"/>
        <v>2.0518358531317493</v>
      </c>
      <c r="AC38" s="10">
        <f t="shared" si="23"/>
        <v>0.28077753779697623</v>
      </c>
      <c r="AD38" s="10">
        <f t="shared" si="24"/>
        <v>3.3693304535637147</v>
      </c>
      <c r="AE38" s="10">
        <f t="shared" si="25"/>
        <v>3.8660907127429804</v>
      </c>
      <c r="AF38" s="10">
        <f t="shared" si="26"/>
        <v>9.0496760259179272</v>
      </c>
      <c r="AG38" s="10">
        <f t="shared" si="27"/>
        <v>3.9524838012958958</v>
      </c>
      <c r="AH38" s="10">
        <f t="shared" si="28"/>
        <v>0.56155507559395246</v>
      </c>
      <c r="AI38" s="10">
        <f t="shared" si="29"/>
        <v>0.77753779697624192</v>
      </c>
      <c r="AJ38" s="10">
        <f t="shared" si="30"/>
        <v>2.3974082073434122</v>
      </c>
      <c r="AK38" s="10">
        <f t="shared" si="31"/>
        <v>0.28077753779697623</v>
      </c>
    </row>
    <row r="39" spans="1:37" x14ac:dyDescent="0.25">
      <c r="A39" s="17"/>
      <c r="B39" t="s">
        <v>37</v>
      </c>
      <c r="C39" s="1">
        <v>5670</v>
      </c>
      <c r="D39" s="1">
        <v>259</v>
      </c>
      <c r="E39">
        <v>184</v>
      </c>
      <c r="F39" s="1">
        <v>313</v>
      </c>
      <c r="G39" s="1">
        <v>75</v>
      </c>
      <c r="H39" s="5">
        <v>28</v>
      </c>
      <c r="I39">
        <v>8</v>
      </c>
      <c r="J39">
        <v>51</v>
      </c>
      <c r="K39">
        <v>5</v>
      </c>
      <c r="L39">
        <v>265</v>
      </c>
      <c r="M39">
        <v>192</v>
      </c>
      <c r="N39">
        <v>319</v>
      </c>
      <c r="O39">
        <v>304</v>
      </c>
      <c r="P39">
        <v>31</v>
      </c>
      <c r="Q39">
        <v>8</v>
      </c>
      <c r="R39">
        <v>57</v>
      </c>
      <c r="S39">
        <v>5</v>
      </c>
      <c r="V39" s="10">
        <f t="shared" si="16"/>
        <v>4.5679012345679011</v>
      </c>
      <c r="W39" s="10">
        <f t="shared" si="17"/>
        <v>3.2451499118165783</v>
      </c>
      <c r="X39" s="10">
        <f t="shared" si="18"/>
        <v>5.5202821869488536</v>
      </c>
      <c r="Y39" s="10">
        <f t="shared" si="19"/>
        <v>1.3227513227513228</v>
      </c>
      <c r="Z39" s="10">
        <f t="shared" si="20"/>
        <v>0.49382716049382713</v>
      </c>
      <c r="AA39" s="10">
        <f t="shared" si="21"/>
        <v>0.14109347442680778</v>
      </c>
      <c r="AB39" s="10">
        <f t="shared" si="22"/>
        <v>0.89947089947089942</v>
      </c>
      <c r="AC39" s="10">
        <f t="shared" si="23"/>
        <v>8.8183421516754845E-2</v>
      </c>
      <c r="AD39" s="10">
        <f t="shared" si="24"/>
        <v>4.6737213403880071</v>
      </c>
      <c r="AE39" s="10">
        <f t="shared" si="25"/>
        <v>3.3862433862433865</v>
      </c>
      <c r="AF39" s="10">
        <f t="shared" si="26"/>
        <v>5.6261022927689597</v>
      </c>
      <c r="AG39" s="10">
        <f t="shared" si="27"/>
        <v>5.3615520282186946</v>
      </c>
      <c r="AH39" s="10">
        <f t="shared" si="28"/>
        <v>0.54673721340388004</v>
      </c>
      <c r="AI39" s="10">
        <f t="shared" si="29"/>
        <v>0.14109347442680778</v>
      </c>
      <c r="AJ39" s="10">
        <f t="shared" si="30"/>
        <v>1.0052910052910053</v>
      </c>
      <c r="AK39" s="10">
        <f t="shared" si="31"/>
        <v>8.8183421516754845E-2</v>
      </c>
    </row>
    <row r="40" spans="1:37" x14ac:dyDescent="0.25">
      <c r="A40" s="17"/>
      <c r="B40" t="s">
        <v>38</v>
      </c>
      <c r="C40" s="1">
        <v>6339</v>
      </c>
      <c r="D40" s="1">
        <v>236</v>
      </c>
      <c r="E40">
        <v>228</v>
      </c>
      <c r="F40" s="1">
        <v>536</v>
      </c>
      <c r="G40" s="1">
        <v>134</v>
      </c>
      <c r="H40" s="5">
        <v>30</v>
      </c>
      <c r="I40">
        <v>38</v>
      </c>
      <c r="J40">
        <v>118</v>
      </c>
      <c r="K40">
        <v>23</v>
      </c>
      <c r="L40">
        <v>245</v>
      </c>
      <c r="M40">
        <v>241</v>
      </c>
      <c r="N40">
        <v>550</v>
      </c>
      <c r="O40">
        <v>300</v>
      </c>
      <c r="P40">
        <v>36</v>
      </c>
      <c r="Q40">
        <v>44</v>
      </c>
      <c r="R40">
        <v>134</v>
      </c>
      <c r="S40">
        <v>28</v>
      </c>
      <c r="V40" s="10">
        <f t="shared" si="16"/>
        <v>3.7229846979018775</v>
      </c>
      <c r="W40" s="10">
        <f t="shared" si="17"/>
        <v>3.5967818267865597</v>
      </c>
      <c r="X40" s="10">
        <f t="shared" si="18"/>
        <v>8.4555923647262965</v>
      </c>
      <c r="Y40" s="10">
        <f t="shared" si="19"/>
        <v>2.1138980911815741</v>
      </c>
      <c r="Z40" s="10">
        <f t="shared" si="20"/>
        <v>0.47326076668244199</v>
      </c>
      <c r="AA40" s="10">
        <f t="shared" si="21"/>
        <v>0.59946363779775991</v>
      </c>
      <c r="AB40" s="10">
        <f t="shared" si="22"/>
        <v>1.8614923489509387</v>
      </c>
      <c r="AC40" s="10">
        <f t="shared" si="23"/>
        <v>0.36283325445653891</v>
      </c>
      <c r="AD40" s="10">
        <f t="shared" si="24"/>
        <v>3.86496292790661</v>
      </c>
      <c r="AE40" s="10">
        <f t="shared" si="25"/>
        <v>3.8018614923489507</v>
      </c>
      <c r="AF40" s="10">
        <f t="shared" si="26"/>
        <v>8.6764473891781027</v>
      </c>
      <c r="AG40" s="10">
        <f t="shared" si="27"/>
        <v>4.7326076668244204</v>
      </c>
      <c r="AH40" s="10">
        <f t="shared" si="28"/>
        <v>0.56791292001893046</v>
      </c>
      <c r="AI40" s="10">
        <f t="shared" si="29"/>
        <v>0.69411579113424826</v>
      </c>
      <c r="AJ40" s="10">
        <f t="shared" si="30"/>
        <v>2.1138980911815741</v>
      </c>
      <c r="AK40" s="10">
        <f t="shared" si="31"/>
        <v>0.44171004890361254</v>
      </c>
    </row>
    <row r="41" spans="1:37" x14ac:dyDescent="0.25">
      <c r="A41" s="17" t="s">
        <v>1</v>
      </c>
      <c r="B41" t="s">
        <v>28</v>
      </c>
      <c r="C41" s="1">
        <v>5459</v>
      </c>
      <c r="D41" s="1">
        <v>178</v>
      </c>
      <c r="E41">
        <v>167</v>
      </c>
      <c r="F41" s="1">
        <v>532</v>
      </c>
      <c r="G41" s="1">
        <v>97</v>
      </c>
      <c r="H41" s="5">
        <v>37</v>
      </c>
      <c r="I41">
        <v>38</v>
      </c>
      <c r="J41">
        <v>146</v>
      </c>
      <c r="K41">
        <v>27</v>
      </c>
      <c r="L41">
        <v>184</v>
      </c>
      <c r="M41">
        <v>172</v>
      </c>
      <c r="N41">
        <v>542</v>
      </c>
      <c r="O41">
        <v>210</v>
      </c>
      <c r="P41">
        <v>47</v>
      </c>
      <c r="Q41">
        <v>48</v>
      </c>
      <c r="R41">
        <v>175</v>
      </c>
      <c r="S41">
        <v>35</v>
      </c>
      <c r="V41" s="11">
        <f t="shared" si="16"/>
        <v>3.2606704524638217</v>
      </c>
      <c r="W41" s="11">
        <f t="shared" si="17"/>
        <v>3.0591683458508885</v>
      </c>
      <c r="X41" s="11">
        <f t="shared" si="18"/>
        <v>9.7453746107345669</v>
      </c>
      <c r="Y41" s="11">
        <f t="shared" si="19"/>
        <v>1.7768822128594981</v>
      </c>
      <c r="Z41" s="11">
        <f t="shared" si="20"/>
        <v>0.67777981315259206</v>
      </c>
      <c r="AA41" s="11">
        <f t="shared" si="21"/>
        <v>0.69609818648104049</v>
      </c>
      <c r="AB41" s="11">
        <f t="shared" si="22"/>
        <v>2.6744825059534714</v>
      </c>
      <c r="AC41" s="11">
        <f t="shared" si="23"/>
        <v>0.49459607986810772</v>
      </c>
      <c r="AD41" s="11">
        <f t="shared" si="24"/>
        <v>3.3705806924345119</v>
      </c>
      <c r="AE41" s="11">
        <f t="shared" si="25"/>
        <v>3.1507602124931302</v>
      </c>
      <c r="AF41" s="11">
        <f t="shared" si="26"/>
        <v>9.9285583440190504</v>
      </c>
      <c r="AG41" s="11">
        <f t="shared" si="27"/>
        <v>3.8468583989741711</v>
      </c>
      <c r="AH41" s="11">
        <f t="shared" si="28"/>
        <v>0.86096354643707629</v>
      </c>
      <c r="AI41" s="11">
        <f t="shared" si="29"/>
        <v>0.87928191976552483</v>
      </c>
      <c r="AJ41" s="11">
        <f t="shared" si="30"/>
        <v>3.205715332478476</v>
      </c>
      <c r="AK41" s="11">
        <f t="shared" si="31"/>
        <v>0.64114306649569519</v>
      </c>
    </row>
    <row r="42" spans="1:37" x14ac:dyDescent="0.25">
      <c r="A42" s="17"/>
      <c r="B42" t="s">
        <v>29</v>
      </c>
      <c r="C42" s="1">
        <v>5277</v>
      </c>
      <c r="D42" s="1">
        <v>164</v>
      </c>
      <c r="E42">
        <v>129</v>
      </c>
      <c r="F42" s="1">
        <v>316</v>
      </c>
      <c r="G42" s="1">
        <v>60</v>
      </c>
      <c r="H42" s="5">
        <v>22</v>
      </c>
      <c r="I42">
        <v>17</v>
      </c>
      <c r="J42">
        <v>42</v>
      </c>
      <c r="K42">
        <v>7</v>
      </c>
      <c r="L42">
        <v>168</v>
      </c>
      <c r="M42">
        <v>130</v>
      </c>
      <c r="N42">
        <v>325</v>
      </c>
      <c r="O42">
        <v>193</v>
      </c>
      <c r="P42">
        <v>24</v>
      </c>
      <c r="Q42">
        <v>17</v>
      </c>
      <c r="R42">
        <v>44</v>
      </c>
      <c r="S42">
        <v>7</v>
      </c>
      <c r="V42" s="11">
        <f t="shared" si="16"/>
        <v>3.1078264165245404</v>
      </c>
      <c r="W42" s="11">
        <f t="shared" si="17"/>
        <v>2.4445707788516202</v>
      </c>
      <c r="X42" s="11">
        <f t="shared" si="18"/>
        <v>5.9882509001326509</v>
      </c>
      <c r="Y42" s="11">
        <f t="shared" si="19"/>
        <v>1.137009664582149</v>
      </c>
      <c r="Z42" s="11">
        <f t="shared" si="20"/>
        <v>0.41690354368012128</v>
      </c>
      <c r="AA42" s="11">
        <f t="shared" si="21"/>
        <v>0.32215273829827556</v>
      </c>
      <c r="AB42" s="11">
        <f t="shared" si="22"/>
        <v>0.79590676520750436</v>
      </c>
      <c r="AC42" s="11">
        <f t="shared" si="23"/>
        <v>0.13265112753458402</v>
      </c>
      <c r="AD42" s="11">
        <f t="shared" si="24"/>
        <v>3.1836270608300175</v>
      </c>
      <c r="AE42" s="11">
        <f t="shared" si="25"/>
        <v>2.4635209399279896</v>
      </c>
      <c r="AF42" s="11">
        <f t="shared" si="26"/>
        <v>6.1588023498199735</v>
      </c>
      <c r="AG42" s="11">
        <f t="shared" si="27"/>
        <v>3.6573810877392456</v>
      </c>
      <c r="AH42" s="11">
        <f t="shared" si="28"/>
        <v>0.45480386583285953</v>
      </c>
      <c r="AI42" s="11">
        <f t="shared" si="29"/>
        <v>0.32215273829827556</v>
      </c>
      <c r="AJ42" s="11">
        <f t="shared" si="30"/>
        <v>0.83380708736024256</v>
      </c>
      <c r="AK42" s="11">
        <f t="shared" si="31"/>
        <v>0.13265112753458402</v>
      </c>
    </row>
    <row r="43" spans="1:37" x14ac:dyDescent="0.25">
      <c r="A43" s="17"/>
      <c r="B43" t="s">
        <v>30</v>
      </c>
      <c r="C43" s="1">
        <v>6607</v>
      </c>
      <c r="D43" s="1">
        <v>252</v>
      </c>
      <c r="E43">
        <v>469</v>
      </c>
      <c r="F43" s="1">
        <v>452</v>
      </c>
      <c r="G43" s="1">
        <v>168</v>
      </c>
      <c r="H43" s="5">
        <v>23</v>
      </c>
      <c r="I43">
        <v>42</v>
      </c>
      <c r="J43">
        <v>39</v>
      </c>
      <c r="K43">
        <v>16</v>
      </c>
      <c r="L43">
        <v>262</v>
      </c>
      <c r="M43">
        <v>482</v>
      </c>
      <c r="N43">
        <v>464</v>
      </c>
      <c r="O43">
        <v>308</v>
      </c>
      <c r="P43">
        <v>24</v>
      </c>
      <c r="Q43">
        <v>45</v>
      </c>
      <c r="R43">
        <v>41</v>
      </c>
      <c r="S43">
        <v>17</v>
      </c>
      <c r="V43" s="11">
        <f t="shared" si="16"/>
        <v>3.814136521870743</v>
      </c>
      <c r="W43" s="11">
        <f t="shared" si="17"/>
        <v>7.0985318601483272</v>
      </c>
      <c r="X43" s="11">
        <f t="shared" si="18"/>
        <v>6.8412289995459359</v>
      </c>
      <c r="Y43" s="11">
        <f t="shared" si="19"/>
        <v>2.5427576812471622</v>
      </c>
      <c r="Z43" s="11">
        <f t="shared" si="20"/>
        <v>0.34811563493264719</v>
      </c>
      <c r="AA43" s="11">
        <f t="shared" si="21"/>
        <v>0.63568942031179054</v>
      </c>
      <c r="AB43" s="11">
        <f t="shared" si="22"/>
        <v>0.59028303314666264</v>
      </c>
      <c r="AC43" s="11">
        <f t="shared" si="23"/>
        <v>0.24216739821401545</v>
      </c>
      <c r="AD43" s="11">
        <f t="shared" si="24"/>
        <v>3.9654911457545032</v>
      </c>
      <c r="AE43" s="11">
        <f t="shared" si="25"/>
        <v>7.2952928711972147</v>
      </c>
      <c r="AF43" s="11">
        <f t="shared" si="26"/>
        <v>7.0228545482064479</v>
      </c>
      <c r="AG43" s="11">
        <f t="shared" si="27"/>
        <v>4.6617224156197974</v>
      </c>
      <c r="AH43" s="11">
        <f t="shared" si="28"/>
        <v>0.36325109732102312</v>
      </c>
      <c r="AI43" s="11">
        <f t="shared" si="29"/>
        <v>0.68109580747691845</v>
      </c>
      <c r="AJ43" s="11">
        <f t="shared" si="30"/>
        <v>0.6205539579234145</v>
      </c>
      <c r="AK43" s="11">
        <f t="shared" si="31"/>
        <v>0.25730286060239138</v>
      </c>
    </row>
    <row r="44" spans="1:37" x14ac:dyDescent="0.25">
      <c r="A44" s="17"/>
      <c r="B44" t="s">
        <v>31</v>
      </c>
      <c r="C44" s="1">
        <v>4063</v>
      </c>
      <c r="D44" s="1">
        <v>235</v>
      </c>
      <c r="E44">
        <v>38</v>
      </c>
      <c r="F44" s="1">
        <v>28</v>
      </c>
      <c r="G44" s="1">
        <v>16</v>
      </c>
      <c r="H44" s="5">
        <v>17</v>
      </c>
      <c r="I44">
        <v>5</v>
      </c>
      <c r="J44">
        <v>0</v>
      </c>
      <c r="K44">
        <v>0</v>
      </c>
      <c r="L44">
        <v>240</v>
      </c>
      <c r="M44">
        <v>40</v>
      </c>
      <c r="N44">
        <v>28</v>
      </c>
      <c r="O44">
        <v>243</v>
      </c>
      <c r="P44">
        <v>17</v>
      </c>
      <c r="Q44">
        <v>5</v>
      </c>
      <c r="R44">
        <v>0</v>
      </c>
      <c r="S44">
        <v>0</v>
      </c>
      <c r="V44" s="11">
        <f t="shared" si="16"/>
        <v>5.7839035195668229</v>
      </c>
      <c r="W44" s="11">
        <f t="shared" si="17"/>
        <v>0.93526950529165642</v>
      </c>
      <c r="X44" s="11">
        <f t="shared" si="18"/>
        <v>0.68914595126753631</v>
      </c>
      <c r="Y44" s="11">
        <f t="shared" si="19"/>
        <v>0.39379768643859214</v>
      </c>
      <c r="Z44" s="11">
        <f t="shared" si="20"/>
        <v>0.41841004184100417</v>
      </c>
      <c r="AA44" s="11">
        <f t="shared" si="21"/>
        <v>0.12306177701206006</v>
      </c>
      <c r="AB44" s="11">
        <f t="shared" si="22"/>
        <v>0</v>
      </c>
      <c r="AC44" s="11">
        <f t="shared" si="23"/>
        <v>0</v>
      </c>
      <c r="AD44" s="11">
        <f t="shared" si="24"/>
        <v>5.9069652965788828</v>
      </c>
      <c r="AE44" s="11">
        <f t="shared" si="25"/>
        <v>0.98449421609648047</v>
      </c>
      <c r="AF44" s="11">
        <f t="shared" si="26"/>
        <v>0.68914595126753631</v>
      </c>
      <c r="AG44" s="11">
        <f t="shared" si="27"/>
        <v>5.9808023627861191</v>
      </c>
      <c r="AH44" s="11">
        <f t="shared" si="28"/>
        <v>0.41841004184100417</v>
      </c>
      <c r="AI44" s="11">
        <f t="shared" si="29"/>
        <v>0.12306177701206006</v>
      </c>
      <c r="AJ44" s="11">
        <f t="shared" si="30"/>
        <v>0</v>
      </c>
      <c r="AK44" s="11">
        <f t="shared" si="31"/>
        <v>0</v>
      </c>
    </row>
    <row r="45" spans="1:37" x14ac:dyDescent="0.25">
      <c r="A45" s="17"/>
      <c r="B45" t="s">
        <v>32</v>
      </c>
      <c r="C45" s="1">
        <v>6884</v>
      </c>
      <c r="D45" s="1">
        <v>279</v>
      </c>
      <c r="E45">
        <v>189</v>
      </c>
      <c r="F45" s="1">
        <v>630</v>
      </c>
      <c r="G45" s="1">
        <v>134</v>
      </c>
      <c r="H45" s="5">
        <v>47</v>
      </c>
      <c r="I45">
        <v>34</v>
      </c>
      <c r="J45">
        <v>122</v>
      </c>
      <c r="K45">
        <v>21</v>
      </c>
      <c r="L45">
        <v>289</v>
      </c>
      <c r="M45">
        <v>197</v>
      </c>
      <c r="N45">
        <v>637</v>
      </c>
      <c r="O45">
        <v>345</v>
      </c>
      <c r="P45">
        <v>58</v>
      </c>
      <c r="Q45">
        <v>42</v>
      </c>
      <c r="R45">
        <v>145</v>
      </c>
      <c r="S45">
        <v>26</v>
      </c>
      <c r="V45" s="11">
        <f t="shared" si="16"/>
        <v>4.0528762347472398</v>
      </c>
      <c r="W45" s="11">
        <f t="shared" si="17"/>
        <v>2.7454968041836141</v>
      </c>
      <c r="X45" s="11">
        <f t="shared" si="18"/>
        <v>9.1516560139453809</v>
      </c>
      <c r="Y45" s="11">
        <f t="shared" si="19"/>
        <v>1.946542707728065</v>
      </c>
      <c r="Z45" s="11">
        <f t="shared" si="20"/>
        <v>0.68274259151656014</v>
      </c>
      <c r="AA45" s="11">
        <f t="shared" si="21"/>
        <v>0.49389889599070308</v>
      </c>
      <c r="AB45" s="11">
        <f t="shared" si="22"/>
        <v>1.7722254503195816</v>
      </c>
      <c r="AC45" s="11">
        <f t="shared" si="23"/>
        <v>0.30505520046484602</v>
      </c>
      <c r="AD45" s="11">
        <f t="shared" si="24"/>
        <v>4.198140615920976</v>
      </c>
      <c r="AE45" s="11">
        <f t="shared" si="25"/>
        <v>2.8617083091226032</v>
      </c>
      <c r="AF45" s="11">
        <f t="shared" si="26"/>
        <v>9.2533410807669956</v>
      </c>
      <c r="AG45" s="11">
        <f t="shared" si="27"/>
        <v>5.011621150493899</v>
      </c>
      <c r="AH45" s="11">
        <f t="shared" si="28"/>
        <v>0.84253341080766997</v>
      </c>
      <c r="AI45" s="11">
        <f t="shared" si="29"/>
        <v>0.61011040092969204</v>
      </c>
      <c r="AJ45" s="11">
        <f t="shared" si="30"/>
        <v>2.1063335270191752</v>
      </c>
      <c r="AK45" s="11">
        <f t="shared" si="31"/>
        <v>0.37768739105171412</v>
      </c>
    </row>
    <row r="46" spans="1:37" x14ac:dyDescent="0.25">
      <c r="A46" s="17"/>
      <c r="B46" t="s">
        <v>33</v>
      </c>
      <c r="C46" s="1">
        <v>6014</v>
      </c>
      <c r="D46" s="1">
        <v>177</v>
      </c>
      <c r="E46">
        <v>199</v>
      </c>
      <c r="F46" s="1">
        <v>272</v>
      </c>
      <c r="G46" s="1">
        <v>56</v>
      </c>
      <c r="H46" s="5">
        <v>29</v>
      </c>
      <c r="I46">
        <v>31</v>
      </c>
      <c r="J46">
        <v>57</v>
      </c>
      <c r="K46">
        <v>14</v>
      </c>
      <c r="L46">
        <v>182</v>
      </c>
      <c r="M46">
        <v>202</v>
      </c>
      <c r="N46">
        <v>281</v>
      </c>
      <c r="O46">
        <v>206</v>
      </c>
      <c r="P46">
        <v>29</v>
      </c>
      <c r="Q46">
        <v>34</v>
      </c>
      <c r="R46">
        <v>69</v>
      </c>
      <c r="S46">
        <v>14</v>
      </c>
      <c r="V46" s="11">
        <f t="shared" si="16"/>
        <v>2.943132690389092</v>
      </c>
      <c r="W46" s="11">
        <f t="shared" si="17"/>
        <v>3.3089457931493182</v>
      </c>
      <c r="X46" s="11">
        <f t="shared" si="18"/>
        <v>4.5227801795809777</v>
      </c>
      <c r="Y46" s="11">
        <f t="shared" si="19"/>
        <v>0.93116062520784837</v>
      </c>
      <c r="Z46" s="11">
        <f t="shared" si="20"/>
        <v>0.48220818091120721</v>
      </c>
      <c r="AA46" s="11">
        <f t="shared" si="21"/>
        <v>0.51546391752577314</v>
      </c>
      <c r="AB46" s="11">
        <f t="shared" si="22"/>
        <v>0.94778849351513128</v>
      </c>
      <c r="AC46" s="11">
        <f t="shared" si="23"/>
        <v>0.23279015630196209</v>
      </c>
      <c r="AD46" s="11">
        <f t="shared" si="24"/>
        <v>3.0262720319255072</v>
      </c>
      <c r="AE46" s="11">
        <f t="shared" si="25"/>
        <v>3.3588293980711672</v>
      </c>
      <c r="AF46" s="11">
        <f t="shared" si="26"/>
        <v>4.6724309943465245</v>
      </c>
      <c r="AG46" s="11">
        <f t="shared" si="27"/>
        <v>3.4253408713002997</v>
      </c>
      <c r="AH46" s="11">
        <f t="shared" si="28"/>
        <v>0.48220818091120721</v>
      </c>
      <c r="AI46" s="11">
        <f t="shared" si="29"/>
        <v>0.56534752244762221</v>
      </c>
      <c r="AJ46" s="11">
        <f t="shared" si="30"/>
        <v>1.1473229132025273</v>
      </c>
      <c r="AK46" s="11">
        <f t="shared" si="31"/>
        <v>0.23279015630196209</v>
      </c>
    </row>
    <row r="47" spans="1:37" x14ac:dyDescent="0.25">
      <c r="A47" s="17"/>
      <c r="B47" t="s">
        <v>34</v>
      </c>
      <c r="C47" s="1">
        <v>5045</v>
      </c>
      <c r="D47" s="1">
        <v>253</v>
      </c>
      <c r="E47">
        <v>108</v>
      </c>
      <c r="F47" s="1">
        <v>248</v>
      </c>
      <c r="G47" s="1">
        <v>57</v>
      </c>
      <c r="H47" s="5">
        <v>27</v>
      </c>
      <c r="I47">
        <v>20</v>
      </c>
      <c r="J47">
        <v>66</v>
      </c>
      <c r="K47">
        <v>9</v>
      </c>
      <c r="L47">
        <v>268</v>
      </c>
      <c r="M47">
        <v>111</v>
      </c>
      <c r="N47">
        <v>253</v>
      </c>
      <c r="O47">
        <v>295</v>
      </c>
      <c r="P47">
        <v>35</v>
      </c>
      <c r="Q47">
        <v>25</v>
      </c>
      <c r="R47">
        <v>78</v>
      </c>
      <c r="S47">
        <v>12</v>
      </c>
      <c r="V47" s="11">
        <f t="shared" si="16"/>
        <v>5.0148662041625371</v>
      </c>
      <c r="W47" s="11">
        <f t="shared" si="17"/>
        <v>2.1407333994053519</v>
      </c>
      <c r="X47" s="11">
        <f t="shared" si="18"/>
        <v>4.9157581764122895</v>
      </c>
      <c r="Y47" s="11">
        <f t="shared" si="19"/>
        <v>1.1298315163528245</v>
      </c>
      <c r="Z47" s="11">
        <f t="shared" si="20"/>
        <v>0.53518334985133797</v>
      </c>
      <c r="AA47" s="11">
        <f t="shared" si="21"/>
        <v>0.39643211100099107</v>
      </c>
      <c r="AB47" s="11">
        <f t="shared" si="22"/>
        <v>1.3082259663032705</v>
      </c>
      <c r="AC47" s="11">
        <f t="shared" si="23"/>
        <v>0.17839444995044598</v>
      </c>
      <c r="AD47" s="11">
        <f t="shared" si="24"/>
        <v>5.3121902874132809</v>
      </c>
      <c r="AE47" s="11">
        <f t="shared" si="25"/>
        <v>2.2001982160555005</v>
      </c>
      <c r="AF47" s="11">
        <f t="shared" si="26"/>
        <v>5.0148662041625371</v>
      </c>
      <c r="AG47" s="11">
        <f t="shared" si="27"/>
        <v>5.8473736372646181</v>
      </c>
      <c r="AH47" s="11">
        <f t="shared" si="28"/>
        <v>0.6937561942517344</v>
      </c>
      <c r="AI47" s="11">
        <f t="shared" si="29"/>
        <v>0.49554013875123881</v>
      </c>
      <c r="AJ47" s="11">
        <f t="shared" si="30"/>
        <v>1.5460852329038652</v>
      </c>
      <c r="AK47" s="11">
        <f t="shared" si="31"/>
        <v>0.23785926660059467</v>
      </c>
    </row>
    <row r="48" spans="1:37" x14ac:dyDescent="0.25">
      <c r="A48" s="17"/>
      <c r="B48" t="s">
        <v>35</v>
      </c>
      <c r="C48" s="1">
        <v>6084</v>
      </c>
      <c r="D48" s="1">
        <v>244</v>
      </c>
      <c r="E48">
        <v>232</v>
      </c>
      <c r="F48" s="1">
        <v>616</v>
      </c>
      <c r="G48" s="1">
        <v>119</v>
      </c>
      <c r="H48" s="5">
        <v>16</v>
      </c>
      <c r="I48">
        <v>18</v>
      </c>
      <c r="J48">
        <v>55</v>
      </c>
      <c r="K48">
        <v>8</v>
      </c>
      <c r="L48">
        <v>250</v>
      </c>
      <c r="M48">
        <v>240</v>
      </c>
      <c r="N48">
        <v>624</v>
      </c>
      <c r="O48">
        <v>281</v>
      </c>
      <c r="P48">
        <v>18</v>
      </c>
      <c r="Q48">
        <v>18</v>
      </c>
      <c r="R48">
        <v>59</v>
      </c>
      <c r="S48">
        <v>8</v>
      </c>
      <c r="V48" s="11">
        <f t="shared" si="16"/>
        <v>4.0105193951347795</v>
      </c>
      <c r="W48" s="11">
        <f t="shared" si="17"/>
        <v>3.8132807363576595</v>
      </c>
      <c r="X48" s="11">
        <f t="shared" si="18"/>
        <v>10.124917817225509</v>
      </c>
      <c r="Y48" s="11">
        <f t="shared" si="19"/>
        <v>1.9559500328731099</v>
      </c>
      <c r="Z48" s="11">
        <f t="shared" si="20"/>
        <v>0.26298487836949375</v>
      </c>
      <c r="AA48" s="11">
        <f t="shared" si="21"/>
        <v>0.29585798816568049</v>
      </c>
      <c r="AB48" s="11">
        <f t="shared" si="22"/>
        <v>0.90401051939513477</v>
      </c>
      <c r="AC48" s="11">
        <f t="shared" si="23"/>
        <v>0.13149243918474687</v>
      </c>
      <c r="AD48" s="11">
        <f t="shared" si="24"/>
        <v>4.1091387245233397</v>
      </c>
      <c r="AE48" s="11">
        <f t="shared" si="25"/>
        <v>3.9447731755424065</v>
      </c>
      <c r="AF48" s="11">
        <f t="shared" si="26"/>
        <v>10.256410256410255</v>
      </c>
      <c r="AG48" s="11">
        <f t="shared" si="27"/>
        <v>4.6186719263642342</v>
      </c>
      <c r="AH48" s="11">
        <f t="shared" si="28"/>
        <v>0.29585798816568049</v>
      </c>
      <c r="AI48" s="11">
        <f t="shared" si="29"/>
        <v>0.29585798816568049</v>
      </c>
      <c r="AJ48" s="11">
        <f t="shared" si="30"/>
        <v>0.96975673898750825</v>
      </c>
      <c r="AK48" s="11">
        <f t="shared" si="31"/>
        <v>0.13149243918474687</v>
      </c>
    </row>
    <row r="49" spans="1:37" x14ac:dyDescent="0.25">
      <c r="A49" s="17"/>
      <c r="B49" t="s">
        <v>36</v>
      </c>
      <c r="C49" s="1">
        <v>4630</v>
      </c>
      <c r="D49" s="1">
        <v>149</v>
      </c>
      <c r="E49">
        <v>174</v>
      </c>
      <c r="F49" s="1">
        <v>408</v>
      </c>
      <c r="G49" s="1">
        <v>78</v>
      </c>
      <c r="H49" s="5">
        <v>25</v>
      </c>
      <c r="I49">
        <v>35</v>
      </c>
      <c r="J49">
        <v>95</v>
      </c>
      <c r="K49">
        <v>13</v>
      </c>
      <c r="L49">
        <v>156</v>
      </c>
      <c r="M49">
        <v>179</v>
      </c>
      <c r="N49">
        <v>419</v>
      </c>
      <c r="O49">
        <v>183</v>
      </c>
      <c r="P49">
        <v>26</v>
      </c>
      <c r="Q49">
        <v>36</v>
      </c>
      <c r="R49">
        <v>111</v>
      </c>
      <c r="S49">
        <v>13</v>
      </c>
      <c r="V49" s="11">
        <f t="shared" si="16"/>
        <v>3.2181425485961124</v>
      </c>
      <c r="W49" s="11">
        <f t="shared" si="17"/>
        <v>3.7580993520518358</v>
      </c>
      <c r="X49" s="11">
        <f t="shared" si="18"/>
        <v>8.8120950323974085</v>
      </c>
      <c r="Y49" s="11">
        <f t="shared" si="19"/>
        <v>1.6846652267818574</v>
      </c>
      <c r="Z49" s="11">
        <f t="shared" si="20"/>
        <v>0.5399568034557235</v>
      </c>
      <c r="AA49" s="11">
        <f t="shared" si="21"/>
        <v>0.75593952483801297</v>
      </c>
      <c r="AB49" s="11">
        <f t="shared" si="22"/>
        <v>2.0518358531317493</v>
      </c>
      <c r="AC49" s="11">
        <f t="shared" si="23"/>
        <v>0.28077753779697623</v>
      </c>
      <c r="AD49" s="11">
        <f t="shared" si="24"/>
        <v>3.3693304535637147</v>
      </c>
      <c r="AE49" s="11">
        <f t="shared" si="25"/>
        <v>3.8660907127429804</v>
      </c>
      <c r="AF49" s="11">
        <f t="shared" si="26"/>
        <v>9.0496760259179272</v>
      </c>
      <c r="AG49" s="11">
        <f t="shared" si="27"/>
        <v>3.9524838012958958</v>
      </c>
      <c r="AH49" s="11">
        <f t="shared" si="28"/>
        <v>0.56155507559395246</v>
      </c>
      <c r="AI49" s="11">
        <f t="shared" si="29"/>
        <v>0.77753779697624192</v>
      </c>
      <c r="AJ49" s="11">
        <f t="shared" si="30"/>
        <v>2.3974082073434122</v>
      </c>
      <c r="AK49" s="11">
        <f t="shared" si="31"/>
        <v>0.28077753779697623</v>
      </c>
    </row>
    <row r="50" spans="1:37" x14ac:dyDescent="0.25">
      <c r="A50" s="17"/>
      <c r="B50" t="s">
        <v>37</v>
      </c>
      <c r="C50" s="1">
        <v>5670</v>
      </c>
      <c r="D50" s="1">
        <v>259</v>
      </c>
      <c r="E50">
        <v>184</v>
      </c>
      <c r="F50" s="1">
        <v>313</v>
      </c>
      <c r="G50" s="1">
        <v>75</v>
      </c>
      <c r="H50" s="5">
        <v>28</v>
      </c>
      <c r="I50">
        <v>8</v>
      </c>
      <c r="J50">
        <v>51</v>
      </c>
      <c r="K50">
        <v>5</v>
      </c>
      <c r="L50">
        <v>265</v>
      </c>
      <c r="M50">
        <v>192</v>
      </c>
      <c r="N50">
        <v>319</v>
      </c>
      <c r="O50">
        <v>304</v>
      </c>
      <c r="P50">
        <v>31</v>
      </c>
      <c r="Q50">
        <v>8</v>
      </c>
      <c r="R50">
        <v>57</v>
      </c>
      <c r="S50">
        <v>5</v>
      </c>
      <c r="V50" s="11">
        <f t="shared" si="16"/>
        <v>4.5679012345679011</v>
      </c>
      <c r="W50" s="11">
        <f t="shared" si="17"/>
        <v>3.2451499118165783</v>
      </c>
      <c r="X50" s="11">
        <f t="shared" si="18"/>
        <v>5.5202821869488536</v>
      </c>
      <c r="Y50" s="11">
        <f t="shared" si="19"/>
        <v>1.3227513227513228</v>
      </c>
      <c r="Z50" s="11">
        <f t="shared" si="20"/>
        <v>0.49382716049382713</v>
      </c>
      <c r="AA50" s="11">
        <f t="shared" si="21"/>
        <v>0.14109347442680778</v>
      </c>
      <c r="AB50" s="11">
        <f t="shared" si="22"/>
        <v>0.89947089947089942</v>
      </c>
      <c r="AC50" s="11">
        <f t="shared" si="23"/>
        <v>8.8183421516754845E-2</v>
      </c>
      <c r="AD50" s="11">
        <f t="shared" si="24"/>
        <v>4.6737213403880071</v>
      </c>
      <c r="AE50" s="11">
        <f t="shared" si="25"/>
        <v>3.3862433862433865</v>
      </c>
      <c r="AF50" s="11">
        <f t="shared" si="26"/>
        <v>5.6261022927689597</v>
      </c>
      <c r="AG50" s="11">
        <f t="shared" si="27"/>
        <v>5.3615520282186946</v>
      </c>
      <c r="AH50" s="11">
        <f t="shared" si="28"/>
        <v>0.54673721340388004</v>
      </c>
      <c r="AI50" s="11">
        <f t="shared" si="29"/>
        <v>0.14109347442680778</v>
      </c>
      <c r="AJ50" s="11">
        <f t="shared" si="30"/>
        <v>1.0052910052910053</v>
      </c>
      <c r="AK50" s="11">
        <f t="shared" si="31"/>
        <v>8.8183421516754845E-2</v>
      </c>
    </row>
    <row r="51" spans="1:37" x14ac:dyDescent="0.25">
      <c r="A51" s="17"/>
      <c r="B51" t="s">
        <v>38</v>
      </c>
      <c r="C51" s="1">
        <v>6339</v>
      </c>
      <c r="D51" s="1">
        <v>236</v>
      </c>
      <c r="E51">
        <v>228</v>
      </c>
      <c r="F51" s="1">
        <v>536</v>
      </c>
      <c r="G51" s="1">
        <v>134</v>
      </c>
      <c r="H51" s="5">
        <v>30</v>
      </c>
      <c r="I51">
        <v>38</v>
      </c>
      <c r="J51">
        <v>118</v>
      </c>
      <c r="K51">
        <v>23</v>
      </c>
      <c r="L51">
        <v>245</v>
      </c>
      <c r="M51">
        <v>241</v>
      </c>
      <c r="N51">
        <v>550</v>
      </c>
      <c r="O51">
        <v>300</v>
      </c>
      <c r="P51">
        <v>36</v>
      </c>
      <c r="Q51">
        <v>44</v>
      </c>
      <c r="R51">
        <v>134</v>
      </c>
      <c r="S51">
        <v>28</v>
      </c>
      <c r="V51" s="11">
        <f t="shared" si="16"/>
        <v>3.7229846979018775</v>
      </c>
      <c r="W51" s="11">
        <f t="shared" si="17"/>
        <v>3.5967818267865597</v>
      </c>
      <c r="X51" s="11">
        <f t="shared" si="18"/>
        <v>8.4555923647262965</v>
      </c>
      <c r="Y51" s="11">
        <f t="shared" si="19"/>
        <v>2.1138980911815741</v>
      </c>
      <c r="Z51" s="11">
        <f t="shared" si="20"/>
        <v>0.47326076668244199</v>
      </c>
      <c r="AA51" s="11">
        <f t="shared" si="21"/>
        <v>0.59946363779775991</v>
      </c>
      <c r="AB51" s="11">
        <f t="shared" si="22"/>
        <v>1.8614923489509387</v>
      </c>
      <c r="AC51" s="11">
        <f t="shared" si="23"/>
        <v>0.36283325445653891</v>
      </c>
      <c r="AD51" s="11">
        <f t="shared" si="24"/>
        <v>3.86496292790661</v>
      </c>
      <c r="AE51" s="11">
        <f t="shared" si="25"/>
        <v>3.8018614923489507</v>
      </c>
      <c r="AF51" s="11">
        <f t="shared" si="26"/>
        <v>8.6764473891781027</v>
      </c>
      <c r="AG51" s="11">
        <f t="shared" si="27"/>
        <v>4.7326076668244204</v>
      </c>
      <c r="AH51" s="11">
        <f t="shared" si="28"/>
        <v>0.56791292001893046</v>
      </c>
      <c r="AI51" s="11">
        <f t="shared" si="29"/>
        <v>0.69411579113424826</v>
      </c>
      <c r="AJ51" s="11">
        <f t="shared" si="30"/>
        <v>2.1138980911815741</v>
      </c>
      <c r="AK51" s="11">
        <f t="shared" si="31"/>
        <v>0.44171004890361254</v>
      </c>
    </row>
    <row r="52" spans="1:37" x14ac:dyDescent="0.25">
      <c r="A52" s="17" t="s">
        <v>63</v>
      </c>
      <c r="B52" t="s">
        <v>39</v>
      </c>
      <c r="C52" s="1">
        <v>6346</v>
      </c>
      <c r="D52" s="1">
        <v>152</v>
      </c>
      <c r="E52">
        <v>150</v>
      </c>
      <c r="F52" s="1">
        <v>309</v>
      </c>
      <c r="G52" s="1">
        <v>37</v>
      </c>
      <c r="H52" s="5">
        <v>16</v>
      </c>
      <c r="I52">
        <v>28</v>
      </c>
      <c r="J52">
        <v>89</v>
      </c>
      <c r="K52">
        <v>9</v>
      </c>
      <c r="L52">
        <v>155</v>
      </c>
      <c r="M52">
        <v>154</v>
      </c>
      <c r="N52">
        <v>321</v>
      </c>
      <c r="O52">
        <v>168</v>
      </c>
      <c r="P52">
        <v>19</v>
      </c>
      <c r="Q52">
        <v>32</v>
      </c>
      <c r="R52">
        <v>113</v>
      </c>
      <c r="S52">
        <v>12</v>
      </c>
      <c r="V52" s="7">
        <f t="shared" si="16"/>
        <v>2.3952095808383236</v>
      </c>
      <c r="W52" s="7">
        <f t="shared" si="17"/>
        <v>2.363693665300977</v>
      </c>
      <c r="X52" s="7">
        <f t="shared" si="18"/>
        <v>4.8692089505200125</v>
      </c>
      <c r="Y52" s="7">
        <f t="shared" si="19"/>
        <v>0.58304443744090761</v>
      </c>
      <c r="Z52" s="7">
        <f t="shared" si="20"/>
        <v>0.25212732429877088</v>
      </c>
      <c r="AA52" s="7">
        <f t="shared" si="21"/>
        <v>0.44122281752284903</v>
      </c>
      <c r="AB52" s="7">
        <f t="shared" si="22"/>
        <v>1.4024582414119131</v>
      </c>
      <c r="AC52" s="7">
        <f t="shared" si="23"/>
        <v>0.14182161991805861</v>
      </c>
      <c r="AD52" s="7">
        <f t="shared" si="24"/>
        <v>2.4424834541443428</v>
      </c>
      <c r="AE52" s="7">
        <f t="shared" si="25"/>
        <v>2.4267254963756697</v>
      </c>
      <c r="AF52" s="7">
        <f t="shared" si="26"/>
        <v>5.0583044437440909</v>
      </c>
      <c r="AG52" s="7">
        <f t="shared" si="27"/>
        <v>2.6473369051370943</v>
      </c>
      <c r="AH52" s="7">
        <f t="shared" si="28"/>
        <v>0.29940119760479045</v>
      </c>
      <c r="AI52" s="7">
        <f t="shared" si="29"/>
        <v>0.50425464859754177</v>
      </c>
      <c r="AJ52" s="7">
        <f t="shared" si="30"/>
        <v>1.7806492278600694</v>
      </c>
      <c r="AK52" s="7">
        <f t="shared" si="31"/>
        <v>0.18909549322407815</v>
      </c>
    </row>
    <row r="53" spans="1:37" x14ac:dyDescent="0.25">
      <c r="A53" s="17"/>
      <c r="B53" t="s">
        <v>40</v>
      </c>
      <c r="C53" s="1">
        <v>5546</v>
      </c>
      <c r="D53" s="1">
        <v>154</v>
      </c>
      <c r="E53">
        <v>140</v>
      </c>
      <c r="F53" s="1">
        <v>381</v>
      </c>
      <c r="G53" s="1">
        <v>77</v>
      </c>
      <c r="H53" s="5">
        <v>22</v>
      </c>
      <c r="I53">
        <v>15</v>
      </c>
      <c r="J53">
        <v>68</v>
      </c>
      <c r="K53">
        <v>9</v>
      </c>
      <c r="L53">
        <v>158</v>
      </c>
      <c r="M53">
        <v>142</v>
      </c>
      <c r="N53">
        <v>382</v>
      </c>
      <c r="O53">
        <v>190</v>
      </c>
      <c r="P53">
        <v>24</v>
      </c>
      <c r="Q53">
        <v>17</v>
      </c>
      <c r="R53">
        <v>84</v>
      </c>
      <c r="S53">
        <v>11</v>
      </c>
      <c r="V53" s="7">
        <f t="shared" si="16"/>
        <v>2.7767760548142806</v>
      </c>
      <c r="W53" s="7">
        <f t="shared" si="17"/>
        <v>2.5243418680129825</v>
      </c>
      <c r="X53" s="7">
        <f t="shared" si="18"/>
        <v>6.8698160836639017</v>
      </c>
      <c r="Y53" s="7">
        <f t="shared" si="19"/>
        <v>1.3883880274071403</v>
      </c>
      <c r="Z53" s="7">
        <f t="shared" si="20"/>
        <v>0.3966822935448972</v>
      </c>
      <c r="AA53" s="7">
        <f t="shared" si="21"/>
        <v>0.27046520014424813</v>
      </c>
      <c r="AB53" s="7">
        <f t="shared" si="22"/>
        <v>1.2261089073205915</v>
      </c>
      <c r="AC53" s="7">
        <f t="shared" si="23"/>
        <v>0.16227912008654888</v>
      </c>
      <c r="AD53" s="7">
        <f t="shared" si="24"/>
        <v>2.8489001081860801</v>
      </c>
      <c r="AE53" s="7">
        <f t="shared" si="25"/>
        <v>2.5604038946988821</v>
      </c>
      <c r="AF53" s="7">
        <f t="shared" si="26"/>
        <v>6.8878470970068522</v>
      </c>
      <c r="AG53" s="7">
        <f t="shared" si="27"/>
        <v>3.4258925351604761</v>
      </c>
      <c r="AH53" s="7">
        <f t="shared" si="28"/>
        <v>0.43274432023079701</v>
      </c>
      <c r="AI53" s="7">
        <f t="shared" si="29"/>
        <v>0.30652722683014788</v>
      </c>
      <c r="AJ53" s="7">
        <f t="shared" si="30"/>
        <v>1.5146051208077893</v>
      </c>
      <c r="AK53" s="7">
        <f t="shared" si="31"/>
        <v>0.1983411467724486</v>
      </c>
    </row>
    <row r="54" spans="1:37" x14ac:dyDescent="0.25">
      <c r="A54" s="17"/>
      <c r="B54" t="s">
        <v>41</v>
      </c>
      <c r="C54" s="1">
        <v>6586</v>
      </c>
      <c r="D54" s="1">
        <v>170</v>
      </c>
      <c r="E54">
        <v>237</v>
      </c>
      <c r="F54" s="1">
        <v>403</v>
      </c>
      <c r="G54" s="1">
        <v>88</v>
      </c>
      <c r="H54" s="5">
        <v>26</v>
      </c>
      <c r="I54">
        <v>34</v>
      </c>
      <c r="J54">
        <v>66</v>
      </c>
      <c r="K54">
        <v>16</v>
      </c>
      <c r="L54">
        <v>176</v>
      </c>
      <c r="M54">
        <v>244</v>
      </c>
      <c r="N54">
        <v>413</v>
      </c>
      <c r="O54">
        <v>217</v>
      </c>
      <c r="P54">
        <v>32</v>
      </c>
      <c r="Q54">
        <v>41</v>
      </c>
      <c r="R54">
        <v>75</v>
      </c>
      <c r="S54">
        <v>20</v>
      </c>
      <c r="V54" s="7">
        <f t="shared" si="16"/>
        <v>2.5812329183115703</v>
      </c>
      <c r="W54" s="7">
        <f t="shared" si="17"/>
        <v>3.5985423625873065</v>
      </c>
      <c r="X54" s="7">
        <f t="shared" si="18"/>
        <v>6.1190403887033096</v>
      </c>
      <c r="Y54" s="7">
        <f t="shared" si="19"/>
        <v>1.3361676283024597</v>
      </c>
      <c r="Z54" s="7">
        <f t="shared" si="20"/>
        <v>0.39477679927118126</v>
      </c>
      <c r="AA54" s="7">
        <f t="shared" si="21"/>
        <v>0.51624658366231402</v>
      </c>
      <c r="AB54" s="7">
        <f t="shared" si="22"/>
        <v>1.0021257212268448</v>
      </c>
      <c r="AC54" s="7">
        <f t="shared" si="23"/>
        <v>0.24293956878226544</v>
      </c>
      <c r="AD54" s="7">
        <f t="shared" si="24"/>
        <v>2.6723352566049194</v>
      </c>
      <c r="AE54" s="7">
        <f t="shared" si="25"/>
        <v>3.7048284239295475</v>
      </c>
      <c r="AF54" s="7">
        <f t="shared" si="26"/>
        <v>6.270877619192226</v>
      </c>
      <c r="AG54" s="7">
        <f t="shared" si="27"/>
        <v>3.2948679016094746</v>
      </c>
      <c r="AH54" s="7">
        <f t="shared" si="28"/>
        <v>0.48587913756453088</v>
      </c>
      <c r="AI54" s="7">
        <f t="shared" si="29"/>
        <v>0.62253264500455507</v>
      </c>
      <c r="AJ54" s="7">
        <f t="shared" si="30"/>
        <v>1.1387792286668692</v>
      </c>
      <c r="AK54" s="7">
        <f t="shared" si="31"/>
        <v>0.30367446097783179</v>
      </c>
    </row>
    <row r="55" spans="1:37" x14ac:dyDescent="0.25">
      <c r="A55" s="17"/>
      <c r="B55" t="s">
        <v>42</v>
      </c>
      <c r="C55" s="1">
        <v>8318</v>
      </c>
      <c r="D55" s="1">
        <v>194</v>
      </c>
      <c r="E55">
        <v>253</v>
      </c>
      <c r="F55" s="1">
        <v>567</v>
      </c>
      <c r="G55" s="1">
        <v>130</v>
      </c>
      <c r="H55" s="5">
        <v>27</v>
      </c>
      <c r="I55">
        <v>27</v>
      </c>
      <c r="J55">
        <v>108</v>
      </c>
      <c r="K55">
        <v>13</v>
      </c>
      <c r="L55">
        <v>199</v>
      </c>
      <c r="M55">
        <v>256</v>
      </c>
      <c r="N55">
        <v>577</v>
      </c>
      <c r="O55">
        <v>238</v>
      </c>
      <c r="P55">
        <v>29</v>
      </c>
      <c r="Q55">
        <v>29</v>
      </c>
      <c r="R55">
        <v>124</v>
      </c>
      <c r="S55">
        <v>14</v>
      </c>
      <c r="V55" s="7">
        <f t="shared" si="16"/>
        <v>2.3322914162058188</v>
      </c>
      <c r="W55" s="7">
        <f t="shared" si="17"/>
        <v>3.0415965376292378</v>
      </c>
      <c r="X55" s="7">
        <f t="shared" si="18"/>
        <v>6.8165424380860786</v>
      </c>
      <c r="Y55" s="7">
        <f t="shared" si="19"/>
        <v>1.5628756912719404</v>
      </c>
      <c r="Z55" s="7">
        <f t="shared" si="20"/>
        <v>0.32459725895647989</v>
      </c>
      <c r="AA55" s="7">
        <f t="shared" si="21"/>
        <v>0.32459725895647989</v>
      </c>
      <c r="AB55" s="7">
        <f t="shared" si="22"/>
        <v>1.2983890358259196</v>
      </c>
      <c r="AC55" s="7">
        <f t="shared" si="23"/>
        <v>0.15628756912719402</v>
      </c>
      <c r="AD55" s="7">
        <f t="shared" si="24"/>
        <v>2.3924020197162781</v>
      </c>
      <c r="AE55" s="7">
        <f t="shared" si="25"/>
        <v>3.0776628997355133</v>
      </c>
      <c r="AF55" s="7">
        <f t="shared" si="26"/>
        <v>6.9367636451069972</v>
      </c>
      <c r="AG55" s="7">
        <f t="shared" si="27"/>
        <v>2.8612647270978604</v>
      </c>
      <c r="AH55" s="7">
        <f t="shared" si="28"/>
        <v>0.34864150036066366</v>
      </c>
      <c r="AI55" s="7">
        <f t="shared" si="29"/>
        <v>0.34864150036066366</v>
      </c>
      <c r="AJ55" s="7">
        <f t="shared" si="30"/>
        <v>1.4907429670593892</v>
      </c>
      <c r="AK55" s="7">
        <f t="shared" si="31"/>
        <v>0.1683096898292859</v>
      </c>
    </row>
    <row r="56" spans="1:37" x14ac:dyDescent="0.25">
      <c r="A56" s="17"/>
      <c r="B56" t="s">
        <v>43</v>
      </c>
      <c r="C56" s="1">
        <v>4172</v>
      </c>
      <c r="D56" s="1">
        <v>129</v>
      </c>
      <c r="E56">
        <v>89</v>
      </c>
      <c r="F56" s="1">
        <v>216</v>
      </c>
      <c r="G56" s="1">
        <v>33</v>
      </c>
      <c r="H56" s="5">
        <v>29</v>
      </c>
      <c r="I56">
        <v>20</v>
      </c>
      <c r="J56">
        <v>58</v>
      </c>
      <c r="K56">
        <v>11</v>
      </c>
      <c r="L56">
        <v>131</v>
      </c>
      <c r="M56">
        <v>91</v>
      </c>
      <c r="N56">
        <v>223</v>
      </c>
      <c r="O56">
        <v>145</v>
      </c>
      <c r="P56">
        <v>34</v>
      </c>
      <c r="Q56">
        <v>25</v>
      </c>
      <c r="R56">
        <v>76</v>
      </c>
      <c r="S56">
        <v>14</v>
      </c>
      <c r="V56" s="7">
        <f t="shared" si="16"/>
        <v>3.0920421860019176</v>
      </c>
      <c r="W56" s="7">
        <f t="shared" si="17"/>
        <v>2.1332694151486096</v>
      </c>
      <c r="X56" s="7">
        <f t="shared" si="18"/>
        <v>5.177372962607862</v>
      </c>
      <c r="Y56" s="7">
        <f t="shared" si="19"/>
        <v>0.79098753595397886</v>
      </c>
      <c r="Z56" s="7">
        <f t="shared" si="20"/>
        <v>0.69511025886864808</v>
      </c>
      <c r="AA56" s="7">
        <f t="shared" si="21"/>
        <v>0.4793863854266539</v>
      </c>
      <c r="AB56" s="7">
        <f t="shared" si="22"/>
        <v>1.3902205177372962</v>
      </c>
      <c r="AC56" s="7">
        <f t="shared" si="23"/>
        <v>0.26366251198465962</v>
      </c>
      <c r="AD56" s="7">
        <f t="shared" si="24"/>
        <v>3.1399808245445833</v>
      </c>
      <c r="AE56" s="7">
        <f t="shared" si="25"/>
        <v>2.1812080536912752</v>
      </c>
      <c r="AF56" s="7">
        <f t="shared" si="26"/>
        <v>5.3451581975071907</v>
      </c>
      <c r="AG56" s="7">
        <f t="shared" si="27"/>
        <v>3.4755512943432403</v>
      </c>
      <c r="AH56" s="7">
        <f t="shared" si="28"/>
        <v>0.81495685522531158</v>
      </c>
      <c r="AI56" s="7">
        <f t="shared" si="29"/>
        <v>0.59923298178331741</v>
      </c>
      <c r="AJ56" s="7">
        <f t="shared" si="30"/>
        <v>1.8216682646212849</v>
      </c>
      <c r="AK56" s="7">
        <f t="shared" si="31"/>
        <v>0.33557046979865773</v>
      </c>
    </row>
    <row r="57" spans="1:37" x14ac:dyDescent="0.25">
      <c r="A57" s="17"/>
      <c r="B57" t="s">
        <v>44</v>
      </c>
      <c r="C57" s="1">
        <v>7116</v>
      </c>
      <c r="D57" s="1">
        <v>207</v>
      </c>
      <c r="E57">
        <v>144</v>
      </c>
      <c r="F57" s="1">
        <v>391</v>
      </c>
      <c r="G57" s="1">
        <v>60</v>
      </c>
      <c r="H57" s="5">
        <v>8</v>
      </c>
      <c r="I57">
        <v>15</v>
      </c>
      <c r="J57">
        <v>82</v>
      </c>
      <c r="K57">
        <v>1</v>
      </c>
      <c r="L57">
        <v>213</v>
      </c>
      <c r="M57">
        <v>147</v>
      </c>
      <c r="N57">
        <v>400</v>
      </c>
      <c r="O57">
        <v>237</v>
      </c>
      <c r="P57">
        <v>8</v>
      </c>
      <c r="Q57">
        <v>17</v>
      </c>
      <c r="R57">
        <v>99</v>
      </c>
      <c r="S57">
        <v>1</v>
      </c>
      <c r="V57" s="7">
        <f t="shared" si="16"/>
        <v>2.9089376053962899</v>
      </c>
      <c r="W57" s="7">
        <f t="shared" si="17"/>
        <v>2.0236087689713322</v>
      </c>
      <c r="X57" s="7">
        <f t="shared" si="18"/>
        <v>5.4946599213041036</v>
      </c>
      <c r="Y57" s="7">
        <f t="shared" si="19"/>
        <v>0.84317032040472173</v>
      </c>
      <c r="Z57" s="7">
        <f t="shared" si="20"/>
        <v>0.11242270938729623</v>
      </c>
      <c r="AA57" s="7">
        <f t="shared" si="21"/>
        <v>0.21079258010118043</v>
      </c>
      <c r="AB57" s="7">
        <f t="shared" si="22"/>
        <v>1.1523327712197864</v>
      </c>
      <c r="AC57" s="7">
        <f t="shared" si="23"/>
        <v>1.4052838673412029E-2</v>
      </c>
      <c r="AD57" s="7">
        <f t="shared" si="24"/>
        <v>2.9932546374367619</v>
      </c>
      <c r="AE57" s="7">
        <f t="shared" si="25"/>
        <v>2.0657672849915683</v>
      </c>
      <c r="AF57" s="7">
        <f t="shared" si="26"/>
        <v>5.6211354693648117</v>
      </c>
      <c r="AG57" s="7">
        <f t="shared" si="27"/>
        <v>3.3305227655986509</v>
      </c>
      <c r="AH57" s="7">
        <f t="shared" si="28"/>
        <v>0.11242270938729623</v>
      </c>
      <c r="AI57" s="7">
        <f t="shared" si="29"/>
        <v>0.23889825744800453</v>
      </c>
      <c r="AJ57" s="7">
        <f t="shared" si="30"/>
        <v>1.3912310286677909</v>
      </c>
      <c r="AK57" s="7">
        <f t="shared" si="31"/>
        <v>1.4052838673412029E-2</v>
      </c>
    </row>
    <row r="58" spans="1:37" x14ac:dyDescent="0.25">
      <c r="A58" s="17"/>
      <c r="B58" t="s">
        <v>45</v>
      </c>
      <c r="C58" s="1">
        <v>8099</v>
      </c>
      <c r="D58" s="1">
        <v>206</v>
      </c>
      <c r="E58">
        <v>263</v>
      </c>
      <c r="F58" s="1">
        <v>605</v>
      </c>
      <c r="G58" s="1">
        <v>84</v>
      </c>
      <c r="H58" s="5">
        <v>26</v>
      </c>
      <c r="I58">
        <v>21</v>
      </c>
      <c r="J58">
        <v>102</v>
      </c>
      <c r="K58">
        <v>12</v>
      </c>
      <c r="L58">
        <v>212</v>
      </c>
      <c r="M58">
        <v>270</v>
      </c>
      <c r="N58">
        <v>617</v>
      </c>
      <c r="O58">
        <v>247</v>
      </c>
      <c r="P58">
        <v>30</v>
      </c>
      <c r="Q58">
        <v>23</v>
      </c>
      <c r="R58">
        <v>119</v>
      </c>
      <c r="S58">
        <v>14</v>
      </c>
      <c r="V58" s="7">
        <f t="shared" si="16"/>
        <v>2.5435238918384986</v>
      </c>
      <c r="W58" s="7">
        <f t="shared" si="17"/>
        <v>3.2473144832695393</v>
      </c>
      <c r="X58" s="7">
        <f t="shared" si="18"/>
        <v>7.4700580318557845</v>
      </c>
      <c r="Y58" s="7">
        <f t="shared" si="19"/>
        <v>1.0371650821089022</v>
      </c>
      <c r="Z58" s="7">
        <f t="shared" si="20"/>
        <v>0.32102728731942215</v>
      </c>
      <c r="AA58" s="7">
        <f t="shared" si="21"/>
        <v>0.25929127052722556</v>
      </c>
      <c r="AB58" s="7">
        <f t="shared" si="22"/>
        <v>1.25941474256081</v>
      </c>
      <c r="AC58" s="7">
        <f t="shared" si="23"/>
        <v>0.14816644030127174</v>
      </c>
      <c r="AD58" s="7">
        <f t="shared" si="24"/>
        <v>2.6176071119891344</v>
      </c>
      <c r="AE58" s="7">
        <f t="shared" si="25"/>
        <v>3.3337449067786151</v>
      </c>
      <c r="AF58" s="7">
        <f t="shared" si="26"/>
        <v>7.6182244721570562</v>
      </c>
      <c r="AG58" s="7">
        <f t="shared" si="27"/>
        <v>3.0497592295345104</v>
      </c>
      <c r="AH58" s="7">
        <f t="shared" si="28"/>
        <v>0.37041610075317938</v>
      </c>
      <c r="AI58" s="7">
        <f t="shared" si="29"/>
        <v>0.28398567724410423</v>
      </c>
      <c r="AJ58" s="7">
        <f t="shared" si="30"/>
        <v>1.4693171996542784</v>
      </c>
      <c r="AK58" s="7">
        <f t="shared" si="31"/>
        <v>0.17286084701815038</v>
      </c>
    </row>
    <row r="59" spans="1:37" x14ac:dyDescent="0.25">
      <c r="A59" s="17"/>
      <c r="B59" t="s">
        <v>46</v>
      </c>
      <c r="C59" s="1">
        <v>5653</v>
      </c>
      <c r="D59" s="1">
        <v>188</v>
      </c>
      <c r="E59">
        <v>100</v>
      </c>
      <c r="F59" s="1">
        <v>388</v>
      </c>
      <c r="G59" s="1">
        <v>46</v>
      </c>
      <c r="H59" s="5">
        <v>18</v>
      </c>
      <c r="I59">
        <v>12</v>
      </c>
      <c r="J59">
        <v>100</v>
      </c>
      <c r="K59">
        <v>8</v>
      </c>
      <c r="L59">
        <v>193</v>
      </c>
      <c r="M59">
        <v>103</v>
      </c>
      <c r="N59">
        <v>394</v>
      </c>
      <c r="O59">
        <v>211</v>
      </c>
      <c r="P59">
        <v>20</v>
      </c>
      <c r="Q59">
        <v>13</v>
      </c>
      <c r="R59">
        <v>120</v>
      </c>
      <c r="S59">
        <v>9</v>
      </c>
      <c r="V59" s="7">
        <f t="shared" si="16"/>
        <v>3.3256677870157438</v>
      </c>
      <c r="W59" s="7">
        <f t="shared" si="17"/>
        <v>1.7689722271360337</v>
      </c>
      <c r="X59" s="7">
        <f t="shared" si="18"/>
        <v>6.8636122412878118</v>
      </c>
      <c r="Y59" s="7">
        <f t="shared" si="19"/>
        <v>0.81372722448257562</v>
      </c>
      <c r="Z59" s="7">
        <f t="shared" si="20"/>
        <v>0.3184150008844861</v>
      </c>
      <c r="AA59" s="7">
        <f t="shared" si="21"/>
        <v>0.21227666725632408</v>
      </c>
      <c r="AB59" s="7">
        <f t="shared" si="22"/>
        <v>1.7689722271360337</v>
      </c>
      <c r="AC59" s="7">
        <f t="shared" si="23"/>
        <v>0.14151777817088271</v>
      </c>
      <c r="AD59" s="7">
        <f t="shared" si="24"/>
        <v>3.4141163983725455</v>
      </c>
      <c r="AE59" s="7">
        <f t="shared" si="25"/>
        <v>1.8220413939501148</v>
      </c>
      <c r="AF59" s="7">
        <f t="shared" si="26"/>
        <v>6.9697505749159738</v>
      </c>
      <c r="AG59" s="7">
        <f t="shared" si="27"/>
        <v>3.7325313992570317</v>
      </c>
      <c r="AH59" s="7">
        <f t="shared" si="28"/>
        <v>0.35379444542720678</v>
      </c>
      <c r="AI59" s="7">
        <f t="shared" si="29"/>
        <v>0.22996638952768439</v>
      </c>
      <c r="AJ59" s="7">
        <f t="shared" si="30"/>
        <v>2.1227666725632406</v>
      </c>
      <c r="AK59" s="7">
        <f t="shared" si="31"/>
        <v>0.15920750044224305</v>
      </c>
    </row>
    <row r="60" spans="1:37" x14ac:dyDescent="0.25">
      <c r="A60" s="17" t="s">
        <v>64</v>
      </c>
      <c r="B60" t="s">
        <v>47</v>
      </c>
      <c r="C60" s="1">
        <v>5596</v>
      </c>
      <c r="D60" s="1">
        <v>126</v>
      </c>
      <c r="E60">
        <v>147</v>
      </c>
      <c r="F60" s="1">
        <v>312</v>
      </c>
      <c r="G60" s="1">
        <v>39</v>
      </c>
      <c r="H60" s="5">
        <v>15</v>
      </c>
      <c r="I60">
        <v>9</v>
      </c>
      <c r="J60">
        <v>51</v>
      </c>
      <c r="K60">
        <v>3</v>
      </c>
      <c r="L60">
        <v>129</v>
      </c>
      <c r="M60">
        <v>154</v>
      </c>
      <c r="N60">
        <v>316</v>
      </c>
      <c r="O60">
        <v>146</v>
      </c>
      <c r="P60">
        <v>16</v>
      </c>
      <c r="Q60">
        <v>9</v>
      </c>
      <c r="R60">
        <v>58</v>
      </c>
      <c r="S60">
        <v>3</v>
      </c>
      <c r="V60" s="8">
        <f t="shared" si="16"/>
        <v>2.2516082916368836</v>
      </c>
      <c r="W60" s="8">
        <f t="shared" si="17"/>
        <v>2.6268763402430308</v>
      </c>
      <c r="X60" s="8">
        <f t="shared" si="18"/>
        <v>5.5754110078627592</v>
      </c>
      <c r="Y60" s="8">
        <f t="shared" si="19"/>
        <v>0.6969263759828449</v>
      </c>
      <c r="Z60" s="8">
        <f t="shared" si="20"/>
        <v>0.26804860614724807</v>
      </c>
      <c r="AA60" s="8">
        <f t="shared" si="21"/>
        <v>0.16082916368834882</v>
      </c>
      <c r="AB60" s="8">
        <f t="shared" si="22"/>
        <v>0.9113652609006434</v>
      </c>
      <c r="AC60" s="8">
        <f t="shared" si="23"/>
        <v>5.3609721229449604E-2</v>
      </c>
      <c r="AD60" s="8">
        <f t="shared" si="24"/>
        <v>2.3052180128663333</v>
      </c>
      <c r="AE60" s="8">
        <f t="shared" si="25"/>
        <v>2.7519656897784133</v>
      </c>
      <c r="AF60" s="8">
        <f t="shared" si="26"/>
        <v>5.6468906361686919</v>
      </c>
      <c r="AG60" s="8">
        <f t="shared" si="27"/>
        <v>2.6090064331665475</v>
      </c>
      <c r="AH60" s="8">
        <f t="shared" si="28"/>
        <v>0.28591851322373124</v>
      </c>
      <c r="AI60" s="8">
        <f t="shared" si="29"/>
        <v>0.16082916368834882</v>
      </c>
      <c r="AJ60" s="8">
        <f t="shared" si="30"/>
        <v>1.0364546104360257</v>
      </c>
      <c r="AK60" s="8">
        <f t="shared" si="31"/>
        <v>5.3609721229449604E-2</v>
      </c>
    </row>
    <row r="61" spans="1:37" x14ac:dyDescent="0.25">
      <c r="A61" s="17"/>
      <c r="B61" t="s">
        <v>48</v>
      </c>
      <c r="C61" s="1">
        <v>5802</v>
      </c>
      <c r="D61" s="1">
        <v>141</v>
      </c>
      <c r="E61">
        <v>117</v>
      </c>
      <c r="F61" s="1">
        <v>269</v>
      </c>
      <c r="G61" s="1">
        <v>43</v>
      </c>
      <c r="H61" s="5">
        <v>11</v>
      </c>
      <c r="I61">
        <v>16</v>
      </c>
      <c r="J61">
        <v>57</v>
      </c>
      <c r="K61">
        <v>7</v>
      </c>
      <c r="L61">
        <v>143</v>
      </c>
      <c r="M61">
        <v>121</v>
      </c>
      <c r="N61">
        <v>270</v>
      </c>
      <c r="O61">
        <v>165</v>
      </c>
      <c r="P61">
        <v>14</v>
      </c>
      <c r="Q61">
        <v>19</v>
      </c>
      <c r="R61">
        <v>66</v>
      </c>
      <c r="S61">
        <v>8</v>
      </c>
      <c r="V61" s="8">
        <f t="shared" si="16"/>
        <v>2.4301964839710446</v>
      </c>
      <c r="W61" s="8">
        <f t="shared" si="17"/>
        <v>2.016546018614271</v>
      </c>
      <c r="X61" s="8">
        <f t="shared" si="18"/>
        <v>4.6363322992071705</v>
      </c>
      <c r="Y61" s="8">
        <f t="shared" si="19"/>
        <v>0.74112375043088585</v>
      </c>
      <c r="Z61" s="8">
        <f t="shared" si="20"/>
        <v>0.18958979662185454</v>
      </c>
      <c r="AA61" s="8">
        <f t="shared" si="21"/>
        <v>0.27576697690451568</v>
      </c>
      <c r="AB61" s="8">
        <f t="shared" si="22"/>
        <v>0.9824198552223371</v>
      </c>
      <c r="AC61" s="8">
        <f t="shared" si="23"/>
        <v>0.12064805239572561</v>
      </c>
      <c r="AD61" s="8">
        <f t="shared" si="24"/>
        <v>2.4646673560841088</v>
      </c>
      <c r="AE61" s="8">
        <f t="shared" si="25"/>
        <v>2.0854877628403998</v>
      </c>
      <c r="AF61" s="8">
        <f t="shared" si="26"/>
        <v>4.6535677352637022</v>
      </c>
      <c r="AG61" s="8">
        <f t="shared" si="27"/>
        <v>2.8438469493278178</v>
      </c>
      <c r="AH61" s="8">
        <f t="shared" si="28"/>
        <v>0.24129610479145122</v>
      </c>
      <c r="AI61" s="8">
        <f t="shared" si="29"/>
        <v>0.32747328507411239</v>
      </c>
      <c r="AJ61" s="8">
        <f t="shared" si="30"/>
        <v>1.1375387797311272</v>
      </c>
      <c r="AK61" s="8">
        <f t="shared" si="31"/>
        <v>0.13788348845225784</v>
      </c>
    </row>
    <row r="62" spans="1:37" x14ac:dyDescent="0.25">
      <c r="A62" s="17"/>
      <c r="B62" t="s">
        <v>49</v>
      </c>
      <c r="C62" s="1">
        <v>3288</v>
      </c>
      <c r="D62" s="1">
        <v>97</v>
      </c>
      <c r="E62">
        <v>41</v>
      </c>
      <c r="F62" s="1">
        <v>133</v>
      </c>
      <c r="G62" s="1">
        <v>15</v>
      </c>
      <c r="H62" s="5">
        <v>13</v>
      </c>
      <c r="I62">
        <v>16</v>
      </c>
      <c r="J62">
        <v>53</v>
      </c>
      <c r="K62">
        <v>6</v>
      </c>
      <c r="L62">
        <v>100</v>
      </c>
      <c r="M62">
        <v>41</v>
      </c>
      <c r="N62">
        <v>135</v>
      </c>
      <c r="O62">
        <v>102</v>
      </c>
      <c r="P62">
        <v>15</v>
      </c>
      <c r="Q62">
        <v>20</v>
      </c>
      <c r="R62">
        <v>61</v>
      </c>
      <c r="S62">
        <v>6</v>
      </c>
      <c r="V62" s="8">
        <f t="shared" si="16"/>
        <v>2.9501216545012166</v>
      </c>
      <c r="W62" s="8">
        <f t="shared" si="17"/>
        <v>1.2469586374695865</v>
      </c>
      <c r="X62" s="8">
        <f t="shared" si="18"/>
        <v>4.0450121654501219</v>
      </c>
      <c r="Y62" s="8">
        <f t="shared" si="19"/>
        <v>0.45620437956204374</v>
      </c>
      <c r="Z62" s="8">
        <f t="shared" si="20"/>
        <v>0.39537712895377131</v>
      </c>
      <c r="AA62" s="8">
        <f t="shared" si="21"/>
        <v>0.48661800486618007</v>
      </c>
      <c r="AB62" s="8">
        <f t="shared" si="22"/>
        <v>1.6119221411192215</v>
      </c>
      <c r="AC62" s="8">
        <f t="shared" si="23"/>
        <v>0.18248175182481752</v>
      </c>
      <c r="AD62" s="8">
        <f t="shared" si="24"/>
        <v>3.0413625304136254</v>
      </c>
      <c r="AE62" s="8">
        <f t="shared" si="25"/>
        <v>1.2469586374695865</v>
      </c>
      <c r="AF62" s="8">
        <f t="shared" si="26"/>
        <v>4.1058394160583944</v>
      </c>
      <c r="AG62" s="8">
        <f t="shared" si="27"/>
        <v>3.1021897810218979</v>
      </c>
      <c r="AH62" s="8">
        <f t="shared" si="28"/>
        <v>0.45620437956204374</v>
      </c>
      <c r="AI62" s="8">
        <f t="shared" si="29"/>
        <v>0.6082725060827251</v>
      </c>
      <c r="AJ62" s="8">
        <f t="shared" si="30"/>
        <v>1.8552311435523117</v>
      </c>
      <c r="AK62" s="8">
        <f t="shared" si="31"/>
        <v>0.18248175182481752</v>
      </c>
    </row>
    <row r="63" spans="1:37" x14ac:dyDescent="0.25">
      <c r="A63" s="17"/>
      <c r="B63" t="s">
        <v>50</v>
      </c>
      <c r="C63" s="1">
        <v>3405</v>
      </c>
      <c r="D63" s="1">
        <v>129</v>
      </c>
      <c r="E63">
        <v>117</v>
      </c>
      <c r="F63" s="1">
        <v>176</v>
      </c>
      <c r="G63" s="1">
        <v>37</v>
      </c>
      <c r="H63" s="5">
        <v>17</v>
      </c>
      <c r="I63">
        <v>14</v>
      </c>
      <c r="J63">
        <v>36</v>
      </c>
      <c r="K63">
        <v>6</v>
      </c>
      <c r="L63">
        <v>129</v>
      </c>
      <c r="M63">
        <v>119</v>
      </c>
      <c r="N63">
        <v>180</v>
      </c>
      <c r="O63">
        <v>148</v>
      </c>
      <c r="P63">
        <v>18</v>
      </c>
      <c r="Q63">
        <v>16</v>
      </c>
      <c r="R63">
        <v>43</v>
      </c>
      <c r="S63">
        <v>7</v>
      </c>
      <c r="V63" s="8">
        <f t="shared" si="16"/>
        <v>3.7885462555066076</v>
      </c>
      <c r="W63" s="8">
        <f t="shared" si="17"/>
        <v>3.4361233480176208</v>
      </c>
      <c r="X63" s="8">
        <f t="shared" si="18"/>
        <v>5.168869309838473</v>
      </c>
      <c r="Y63" s="8">
        <f t="shared" si="19"/>
        <v>1.0866372980910426</v>
      </c>
      <c r="Z63" s="8">
        <f t="shared" si="20"/>
        <v>0.49926578560939799</v>
      </c>
      <c r="AA63" s="8">
        <f t="shared" si="21"/>
        <v>0.41116005873715122</v>
      </c>
      <c r="AB63" s="8">
        <f t="shared" si="22"/>
        <v>1.0572687224669604</v>
      </c>
      <c r="AC63" s="8">
        <f t="shared" si="23"/>
        <v>0.1762114537444934</v>
      </c>
      <c r="AD63" s="8">
        <f t="shared" si="24"/>
        <v>3.7885462555066076</v>
      </c>
      <c r="AE63" s="8">
        <f t="shared" si="25"/>
        <v>3.4948604992657852</v>
      </c>
      <c r="AF63" s="8">
        <f t="shared" si="26"/>
        <v>5.286343612334802</v>
      </c>
      <c r="AG63" s="8">
        <f t="shared" si="27"/>
        <v>4.3465491923641704</v>
      </c>
      <c r="AH63" s="8">
        <f t="shared" si="28"/>
        <v>0.52863436123348018</v>
      </c>
      <c r="AI63" s="8">
        <f t="shared" si="29"/>
        <v>0.4698972099853157</v>
      </c>
      <c r="AJ63" s="8">
        <f t="shared" si="30"/>
        <v>1.262848751835536</v>
      </c>
      <c r="AK63" s="8">
        <f t="shared" si="31"/>
        <v>0.20558002936857561</v>
      </c>
    </row>
    <row r="64" spans="1:37" x14ac:dyDescent="0.25">
      <c r="A64" s="17"/>
      <c r="B64" t="s">
        <v>51</v>
      </c>
      <c r="C64" s="1">
        <v>5363</v>
      </c>
      <c r="D64" s="1">
        <v>186</v>
      </c>
      <c r="E64">
        <v>168</v>
      </c>
      <c r="F64" s="1">
        <v>442</v>
      </c>
      <c r="G64" s="1">
        <v>80</v>
      </c>
      <c r="H64" s="5">
        <v>13</v>
      </c>
      <c r="I64">
        <v>10</v>
      </c>
      <c r="J64">
        <v>67</v>
      </c>
      <c r="K64">
        <v>8</v>
      </c>
      <c r="L64">
        <v>197</v>
      </c>
      <c r="M64">
        <v>175</v>
      </c>
      <c r="N64">
        <v>450</v>
      </c>
      <c r="O64">
        <v>227</v>
      </c>
      <c r="P64">
        <v>14</v>
      </c>
      <c r="Q64">
        <v>11</v>
      </c>
      <c r="R64">
        <v>82</v>
      </c>
      <c r="S64">
        <v>9</v>
      </c>
      <c r="V64" s="8">
        <f t="shared" si="16"/>
        <v>3.4682080924855487</v>
      </c>
      <c r="W64" s="8">
        <f t="shared" si="17"/>
        <v>3.1325750512772697</v>
      </c>
      <c r="X64" s="8">
        <f t="shared" si="18"/>
        <v>8.2416557896699612</v>
      </c>
      <c r="Y64" s="8">
        <f t="shared" si="19"/>
        <v>1.4917024053701287</v>
      </c>
      <c r="Z64" s="8">
        <f t="shared" si="20"/>
        <v>0.2424016408726459</v>
      </c>
      <c r="AA64" s="8">
        <f t="shared" si="21"/>
        <v>0.18646280067126608</v>
      </c>
      <c r="AB64" s="8">
        <f t="shared" si="22"/>
        <v>1.2493007644974827</v>
      </c>
      <c r="AC64" s="8">
        <f t="shared" si="23"/>
        <v>0.14917024053701286</v>
      </c>
      <c r="AD64" s="8">
        <f t="shared" si="24"/>
        <v>3.6733171732239418</v>
      </c>
      <c r="AE64" s="8">
        <f t="shared" si="25"/>
        <v>3.2630990117471566</v>
      </c>
      <c r="AF64" s="8">
        <f t="shared" si="26"/>
        <v>8.3908260302069735</v>
      </c>
      <c r="AG64" s="8">
        <f t="shared" si="27"/>
        <v>4.2327055752377403</v>
      </c>
      <c r="AH64" s="8">
        <f t="shared" si="28"/>
        <v>0.26104792093977253</v>
      </c>
      <c r="AI64" s="8">
        <f t="shared" si="29"/>
        <v>0.20510908073839268</v>
      </c>
      <c r="AJ64" s="8">
        <f t="shared" si="30"/>
        <v>1.5289949655043817</v>
      </c>
      <c r="AK64" s="8">
        <f t="shared" si="31"/>
        <v>0.16781652060413949</v>
      </c>
    </row>
    <row r="65" spans="1:37" x14ac:dyDescent="0.25">
      <c r="A65" s="17" t="s">
        <v>65</v>
      </c>
      <c r="B65" t="s">
        <v>47</v>
      </c>
      <c r="C65" s="1">
        <v>5596</v>
      </c>
      <c r="D65" s="1">
        <v>126</v>
      </c>
      <c r="E65">
        <v>147</v>
      </c>
      <c r="F65" s="1">
        <v>312</v>
      </c>
      <c r="G65" s="1">
        <v>39</v>
      </c>
      <c r="H65" s="5">
        <v>15</v>
      </c>
      <c r="I65">
        <v>9</v>
      </c>
      <c r="J65">
        <v>51</v>
      </c>
      <c r="K65">
        <v>3</v>
      </c>
      <c r="L65">
        <v>129</v>
      </c>
      <c r="M65">
        <v>154</v>
      </c>
      <c r="N65">
        <v>316</v>
      </c>
      <c r="O65">
        <v>146</v>
      </c>
      <c r="P65">
        <v>16</v>
      </c>
      <c r="Q65">
        <v>9</v>
      </c>
      <c r="R65">
        <v>58</v>
      </c>
      <c r="S65">
        <v>3</v>
      </c>
      <c r="V65" s="9">
        <f t="shared" si="16"/>
        <v>2.2516082916368836</v>
      </c>
      <c r="W65" s="9">
        <f t="shared" si="17"/>
        <v>2.6268763402430308</v>
      </c>
      <c r="X65" s="9">
        <f t="shared" si="18"/>
        <v>5.5754110078627592</v>
      </c>
      <c r="Y65" s="9">
        <f t="shared" si="19"/>
        <v>0.6969263759828449</v>
      </c>
      <c r="Z65" s="9">
        <f t="shared" si="20"/>
        <v>0.26804860614724807</v>
      </c>
      <c r="AA65" s="9">
        <f t="shared" si="21"/>
        <v>0.16082916368834882</v>
      </c>
      <c r="AB65" s="9">
        <f t="shared" si="22"/>
        <v>0.9113652609006434</v>
      </c>
      <c r="AC65" s="9">
        <f t="shared" si="23"/>
        <v>5.3609721229449604E-2</v>
      </c>
      <c r="AD65" s="9">
        <f t="shared" si="24"/>
        <v>2.3052180128663333</v>
      </c>
      <c r="AE65" s="9">
        <f t="shared" si="25"/>
        <v>2.7519656897784133</v>
      </c>
      <c r="AF65" s="9">
        <f t="shared" si="26"/>
        <v>5.6468906361686919</v>
      </c>
      <c r="AG65" s="9">
        <f t="shared" si="27"/>
        <v>2.6090064331665475</v>
      </c>
      <c r="AH65" s="9">
        <f t="shared" si="28"/>
        <v>0.28591851322373124</v>
      </c>
      <c r="AI65" s="9">
        <f t="shared" si="29"/>
        <v>0.16082916368834882</v>
      </c>
      <c r="AJ65" s="9">
        <f t="shared" si="30"/>
        <v>1.0364546104360257</v>
      </c>
      <c r="AK65" s="9">
        <f t="shared" si="31"/>
        <v>5.3609721229449604E-2</v>
      </c>
    </row>
    <row r="66" spans="1:37" x14ac:dyDescent="0.25">
      <c r="A66" s="17"/>
      <c r="B66" t="s">
        <v>48</v>
      </c>
      <c r="C66" s="1">
        <v>5802</v>
      </c>
      <c r="D66" s="1">
        <v>141</v>
      </c>
      <c r="E66">
        <v>117</v>
      </c>
      <c r="F66" s="1">
        <v>269</v>
      </c>
      <c r="G66" s="1">
        <v>43</v>
      </c>
      <c r="H66" s="5">
        <v>11</v>
      </c>
      <c r="I66">
        <v>16</v>
      </c>
      <c r="J66">
        <v>57</v>
      </c>
      <c r="K66">
        <v>7</v>
      </c>
      <c r="L66">
        <v>143</v>
      </c>
      <c r="M66">
        <v>121</v>
      </c>
      <c r="N66">
        <v>270</v>
      </c>
      <c r="O66">
        <v>165</v>
      </c>
      <c r="P66">
        <v>14</v>
      </c>
      <c r="Q66">
        <v>19</v>
      </c>
      <c r="R66">
        <v>66</v>
      </c>
      <c r="S66">
        <v>8</v>
      </c>
      <c r="V66" s="9">
        <f t="shared" si="16"/>
        <v>2.4301964839710446</v>
      </c>
      <c r="W66" s="9">
        <f t="shared" si="17"/>
        <v>2.016546018614271</v>
      </c>
      <c r="X66" s="9">
        <f t="shared" si="18"/>
        <v>4.6363322992071705</v>
      </c>
      <c r="Y66" s="9">
        <f t="shared" si="19"/>
        <v>0.74112375043088585</v>
      </c>
      <c r="Z66" s="9">
        <f t="shared" si="20"/>
        <v>0.18958979662185454</v>
      </c>
      <c r="AA66" s="9">
        <f t="shared" si="21"/>
        <v>0.27576697690451568</v>
      </c>
      <c r="AB66" s="9">
        <f t="shared" si="22"/>
        <v>0.9824198552223371</v>
      </c>
      <c r="AC66" s="9">
        <f t="shared" si="23"/>
        <v>0.12064805239572561</v>
      </c>
      <c r="AD66" s="9">
        <f t="shared" si="24"/>
        <v>2.4646673560841088</v>
      </c>
      <c r="AE66" s="9">
        <f t="shared" si="25"/>
        <v>2.0854877628403998</v>
      </c>
      <c r="AF66" s="9">
        <f t="shared" si="26"/>
        <v>4.6535677352637022</v>
      </c>
      <c r="AG66" s="9">
        <f t="shared" si="27"/>
        <v>2.8438469493278178</v>
      </c>
      <c r="AH66" s="9">
        <f t="shared" si="28"/>
        <v>0.24129610479145122</v>
      </c>
      <c r="AI66" s="9">
        <f t="shared" si="29"/>
        <v>0.32747328507411239</v>
      </c>
      <c r="AJ66" s="9">
        <f t="shared" si="30"/>
        <v>1.1375387797311272</v>
      </c>
      <c r="AK66" s="9">
        <f t="shared" si="31"/>
        <v>0.13788348845225784</v>
      </c>
    </row>
    <row r="67" spans="1:37" x14ac:dyDescent="0.25">
      <c r="A67" s="17"/>
      <c r="B67" t="s">
        <v>49</v>
      </c>
      <c r="C67" s="1">
        <v>3288</v>
      </c>
      <c r="D67" s="1">
        <v>97</v>
      </c>
      <c r="E67">
        <v>41</v>
      </c>
      <c r="F67" s="1">
        <v>133</v>
      </c>
      <c r="G67" s="1">
        <v>15</v>
      </c>
      <c r="H67" s="5">
        <v>13</v>
      </c>
      <c r="I67">
        <v>16</v>
      </c>
      <c r="J67">
        <v>53</v>
      </c>
      <c r="K67">
        <v>6</v>
      </c>
      <c r="L67">
        <v>100</v>
      </c>
      <c r="M67">
        <v>41</v>
      </c>
      <c r="N67">
        <v>135</v>
      </c>
      <c r="O67">
        <v>102</v>
      </c>
      <c r="P67">
        <v>15</v>
      </c>
      <c r="Q67">
        <v>20</v>
      </c>
      <c r="R67">
        <v>61</v>
      </c>
      <c r="S67">
        <v>6</v>
      </c>
      <c r="V67" s="9">
        <f t="shared" si="16"/>
        <v>2.9501216545012166</v>
      </c>
      <c r="W67" s="9">
        <f t="shared" si="17"/>
        <v>1.2469586374695865</v>
      </c>
      <c r="X67" s="9">
        <f t="shared" si="18"/>
        <v>4.0450121654501219</v>
      </c>
      <c r="Y67" s="9">
        <f t="shared" si="19"/>
        <v>0.45620437956204374</v>
      </c>
      <c r="Z67" s="9">
        <f t="shared" si="20"/>
        <v>0.39537712895377131</v>
      </c>
      <c r="AA67" s="9">
        <f t="shared" si="21"/>
        <v>0.48661800486618007</v>
      </c>
      <c r="AB67" s="9">
        <f t="shared" si="22"/>
        <v>1.6119221411192215</v>
      </c>
      <c r="AC67" s="9">
        <f t="shared" si="23"/>
        <v>0.18248175182481752</v>
      </c>
      <c r="AD67" s="9">
        <f t="shared" si="24"/>
        <v>3.0413625304136254</v>
      </c>
      <c r="AE67" s="9">
        <f t="shared" si="25"/>
        <v>1.2469586374695865</v>
      </c>
      <c r="AF67" s="9">
        <f t="shared" si="26"/>
        <v>4.1058394160583944</v>
      </c>
      <c r="AG67" s="9">
        <f t="shared" si="27"/>
        <v>3.1021897810218979</v>
      </c>
      <c r="AH67" s="9">
        <f t="shared" si="28"/>
        <v>0.45620437956204374</v>
      </c>
      <c r="AI67" s="9">
        <f t="shared" si="29"/>
        <v>0.6082725060827251</v>
      </c>
      <c r="AJ67" s="9">
        <f t="shared" si="30"/>
        <v>1.8552311435523117</v>
      </c>
      <c r="AK67" s="9">
        <f t="shared" si="31"/>
        <v>0.18248175182481752</v>
      </c>
    </row>
    <row r="68" spans="1:37" x14ac:dyDescent="0.25">
      <c r="A68" s="17"/>
      <c r="B68" t="s">
        <v>50</v>
      </c>
      <c r="C68" s="1">
        <v>3405</v>
      </c>
      <c r="D68" s="1">
        <v>129</v>
      </c>
      <c r="E68">
        <v>117</v>
      </c>
      <c r="F68" s="1">
        <v>176</v>
      </c>
      <c r="G68" s="1">
        <v>37</v>
      </c>
      <c r="H68" s="5">
        <v>17</v>
      </c>
      <c r="I68">
        <v>14</v>
      </c>
      <c r="J68">
        <v>36</v>
      </c>
      <c r="K68">
        <v>6</v>
      </c>
      <c r="L68">
        <v>129</v>
      </c>
      <c r="M68">
        <v>119</v>
      </c>
      <c r="N68">
        <v>180</v>
      </c>
      <c r="O68">
        <v>148</v>
      </c>
      <c r="P68">
        <v>18</v>
      </c>
      <c r="Q68">
        <v>16</v>
      </c>
      <c r="R68">
        <v>43</v>
      </c>
      <c r="S68">
        <v>7</v>
      </c>
      <c r="V68" s="9">
        <f t="shared" ref="V68:V85" si="32">(D68/$C68)*100</f>
        <v>3.7885462555066076</v>
      </c>
      <c r="W68" s="9">
        <f t="shared" ref="W68:W85" si="33">(E68/$C68)*100</f>
        <v>3.4361233480176208</v>
      </c>
      <c r="X68" s="9">
        <f t="shared" ref="X68:X85" si="34">(F68/$C68)*100</f>
        <v>5.168869309838473</v>
      </c>
      <c r="Y68" s="9">
        <f t="shared" ref="Y68:Y85" si="35">(G68/$C68)*100</f>
        <v>1.0866372980910426</v>
      </c>
      <c r="Z68" s="9">
        <f t="shared" ref="Z68:Z85" si="36">(H68/$C68)*100</f>
        <v>0.49926578560939799</v>
      </c>
      <c r="AA68" s="9">
        <f t="shared" ref="AA68:AA85" si="37">(I68/$C68)*100</f>
        <v>0.41116005873715122</v>
      </c>
      <c r="AB68" s="9">
        <f t="shared" ref="AB68:AB85" si="38">(J68/$C68)*100</f>
        <v>1.0572687224669604</v>
      </c>
      <c r="AC68" s="9">
        <f t="shared" ref="AC68:AC85" si="39">(K68/$C68)*100</f>
        <v>0.1762114537444934</v>
      </c>
      <c r="AD68" s="9">
        <f t="shared" ref="AD68:AD85" si="40">(L68/$C68)*100</f>
        <v>3.7885462555066076</v>
      </c>
      <c r="AE68" s="9">
        <f t="shared" ref="AE68:AE85" si="41">(M68/$C68)*100</f>
        <v>3.4948604992657852</v>
      </c>
      <c r="AF68" s="9">
        <f t="shared" ref="AF68:AF85" si="42">(N68/$C68)*100</f>
        <v>5.286343612334802</v>
      </c>
      <c r="AG68" s="9">
        <f t="shared" ref="AG68:AG85" si="43">(O68/$C68)*100</f>
        <v>4.3465491923641704</v>
      </c>
      <c r="AH68" s="9">
        <f t="shared" ref="AH68:AH85" si="44">(P68/$C68)*100</f>
        <v>0.52863436123348018</v>
      </c>
      <c r="AI68" s="9">
        <f t="shared" ref="AI68:AI85" si="45">(Q68/$C68)*100</f>
        <v>0.4698972099853157</v>
      </c>
      <c r="AJ68" s="9">
        <f t="shared" ref="AJ68:AJ85" si="46">(R68/$C68)*100</f>
        <v>1.262848751835536</v>
      </c>
      <c r="AK68" s="9">
        <f t="shared" ref="AK68:AK85" si="47">(S68/$C68)*100</f>
        <v>0.20558002936857561</v>
      </c>
    </row>
    <row r="69" spans="1:37" x14ac:dyDescent="0.25">
      <c r="A69" s="17"/>
      <c r="B69" t="s">
        <v>51</v>
      </c>
      <c r="C69" s="1">
        <v>5363</v>
      </c>
      <c r="D69" s="1">
        <v>186</v>
      </c>
      <c r="E69">
        <v>168</v>
      </c>
      <c r="F69" s="1">
        <v>442</v>
      </c>
      <c r="G69" s="1">
        <v>80</v>
      </c>
      <c r="H69" s="5">
        <v>13</v>
      </c>
      <c r="I69">
        <v>10</v>
      </c>
      <c r="J69">
        <v>67</v>
      </c>
      <c r="K69">
        <v>8</v>
      </c>
      <c r="L69">
        <v>197</v>
      </c>
      <c r="M69">
        <v>175</v>
      </c>
      <c r="N69">
        <v>450</v>
      </c>
      <c r="O69">
        <v>227</v>
      </c>
      <c r="P69">
        <v>14</v>
      </c>
      <c r="Q69">
        <v>11</v>
      </c>
      <c r="R69">
        <v>82</v>
      </c>
      <c r="S69">
        <v>9</v>
      </c>
      <c r="V69" s="9">
        <f t="shared" si="32"/>
        <v>3.4682080924855487</v>
      </c>
      <c r="W69" s="9">
        <f t="shared" si="33"/>
        <v>3.1325750512772697</v>
      </c>
      <c r="X69" s="9">
        <f t="shared" si="34"/>
        <v>8.2416557896699612</v>
      </c>
      <c r="Y69" s="9">
        <f t="shared" si="35"/>
        <v>1.4917024053701287</v>
      </c>
      <c r="Z69" s="9">
        <f t="shared" si="36"/>
        <v>0.2424016408726459</v>
      </c>
      <c r="AA69" s="9">
        <f t="shared" si="37"/>
        <v>0.18646280067126608</v>
      </c>
      <c r="AB69" s="9">
        <f t="shared" si="38"/>
        <v>1.2493007644974827</v>
      </c>
      <c r="AC69" s="9">
        <f t="shared" si="39"/>
        <v>0.14917024053701286</v>
      </c>
      <c r="AD69" s="9">
        <f t="shared" si="40"/>
        <v>3.6733171732239418</v>
      </c>
      <c r="AE69" s="9">
        <f t="shared" si="41"/>
        <v>3.2630990117471566</v>
      </c>
      <c r="AF69" s="9">
        <f t="shared" si="42"/>
        <v>8.3908260302069735</v>
      </c>
      <c r="AG69" s="9">
        <f t="shared" si="43"/>
        <v>4.2327055752377403</v>
      </c>
      <c r="AH69" s="9">
        <f t="shared" si="44"/>
        <v>0.26104792093977253</v>
      </c>
      <c r="AI69" s="9">
        <f t="shared" si="45"/>
        <v>0.20510908073839268</v>
      </c>
      <c r="AJ69" s="9">
        <f t="shared" si="46"/>
        <v>1.5289949655043817</v>
      </c>
      <c r="AK69" s="9">
        <f t="shared" si="47"/>
        <v>0.16781652060413949</v>
      </c>
    </row>
    <row r="70" spans="1:37" x14ac:dyDescent="0.25">
      <c r="A70" s="17" t="s">
        <v>66</v>
      </c>
      <c r="B70" t="s">
        <v>52</v>
      </c>
      <c r="C70" s="1">
        <v>7177</v>
      </c>
      <c r="D70" s="1">
        <v>196</v>
      </c>
      <c r="E70">
        <v>159</v>
      </c>
      <c r="F70" s="1">
        <v>405</v>
      </c>
      <c r="G70" s="1">
        <v>71</v>
      </c>
      <c r="H70" s="5">
        <v>16</v>
      </c>
      <c r="I70">
        <v>21</v>
      </c>
      <c r="J70">
        <v>52</v>
      </c>
      <c r="K70">
        <v>5</v>
      </c>
      <c r="L70">
        <v>201</v>
      </c>
      <c r="M70">
        <v>162</v>
      </c>
      <c r="N70">
        <v>411</v>
      </c>
      <c r="O70">
        <v>237</v>
      </c>
      <c r="P70">
        <v>16</v>
      </c>
      <c r="Q70">
        <v>23</v>
      </c>
      <c r="R70">
        <v>57</v>
      </c>
      <c r="S70">
        <v>5</v>
      </c>
      <c r="V70" s="10">
        <f t="shared" si="32"/>
        <v>2.7309460777483627</v>
      </c>
      <c r="W70" s="10">
        <f t="shared" si="33"/>
        <v>2.21541033858158</v>
      </c>
      <c r="X70" s="10">
        <f t="shared" si="34"/>
        <v>5.6430263341228928</v>
      </c>
      <c r="Y70" s="10">
        <f t="shared" si="35"/>
        <v>0.98927128326598857</v>
      </c>
      <c r="Z70" s="10">
        <f t="shared" si="36"/>
        <v>0.22293437369374389</v>
      </c>
      <c r="AA70" s="10">
        <f t="shared" si="37"/>
        <v>0.29260136547303889</v>
      </c>
      <c r="AB70" s="10">
        <f t="shared" si="38"/>
        <v>0.72453671450466772</v>
      </c>
      <c r="AC70" s="10">
        <f t="shared" si="39"/>
        <v>6.9666991779294973E-2</v>
      </c>
      <c r="AD70" s="10">
        <f t="shared" si="40"/>
        <v>2.8006130695276577</v>
      </c>
      <c r="AE70" s="10">
        <f t="shared" si="41"/>
        <v>2.257210533649157</v>
      </c>
      <c r="AF70" s="10">
        <f t="shared" si="42"/>
        <v>5.7266267242580469</v>
      </c>
      <c r="AG70" s="10">
        <f t="shared" si="43"/>
        <v>3.3022154103385817</v>
      </c>
      <c r="AH70" s="10">
        <f t="shared" si="44"/>
        <v>0.22293437369374389</v>
      </c>
      <c r="AI70" s="10">
        <f t="shared" si="45"/>
        <v>0.32046816218475688</v>
      </c>
      <c r="AJ70" s="10">
        <f t="shared" si="46"/>
        <v>0.79420370628396264</v>
      </c>
      <c r="AK70" s="10">
        <f t="shared" si="47"/>
        <v>6.9666991779294973E-2</v>
      </c>
    </row>
    <row r="71" spans="1:37" x14ac:dyDescent="0.25">
      <c r="A71" s="17"/>
      <c r="B71" t="s">
        <v>53</v>
      </c>
      <c r="C71" s="1">
        <v>7031</v>
      </c>
      <c r="D71" s="1">
        <v>259</v>
      </c>
      <c r="E71">
        <v>135</v>
      </c>
      <c r="F71" s="1">
        <v>318</v>
      </c>
      <c r="G71" s="1">
        <v>74</v>
      </c>
      <c r="H71" s="5">
        <v>50</v>
      </c>
      <c r="I71">
        <v>38</v>
      </c>
      <c r="J71">
        <v>118</v>
      </c>
      <c r="K71">
        <v>27</v>
      </c>
      <c r="L71">
        <v>266</v>
      </c>
      <c r="M71">
        <v>137</v>
      </c>
      <c r="N71">
        <v>320</v>
      </c>
      <c r="O71">
        <v>298</v>
      </c>
      <c r="P71">
        <v>60</v>
      </c>
      <c r="Q71">
        <v>48</v>
      </c>
      <c r="R71">
        <v>152</v>
      </c>
      <c r="S71">
        <v>34</v>
      </c>
      <c r="V71" s="10">
        <f t="shared" si="32"/>
        <v>3.6836865310766602</v>
      </c>
      <c r="W71" s="10">
        <f t="shared" si="33"/>
        <v>1.9200682690940121</v>
      </c>
      <c r="X71" s="10">
        <f t="shared" si="34"/>
        <v>4.5228274783103402</v>
      </c>
      <c r="Y71" s="10">
        <f t="shared" si="35"/>
        <v>1.0524818660219031</v>
      </c>
      <c r="Z71" s="10">
        <f t="shared" si="36"/>
        <v>0.71113639596074529</v>
      </c>
      <c r="AA71" s="10">
        <f t="shared" si="37"/>
        <v>0.5404636609301664</v>
      </c>
      <c r="AB71" s="10">
        <f t="shared" si="38"/>
        <v>1.6782818944673588</v>
      </c>
      <c r="AC71" s="10">
        <f t="shared" si="39"/>
        <v>0.38401365381880248</v>
      </c>
      <c r="AD71" s="10">
        <f t="shared" si="40"/>
        <v>3.7832456265111647</v>
      </c>
      <c r="AE71" s="10">
        <f t="shared" si="41"/>
        <v>1.9485137249324422</v>
      </c>
      <c r="AF71" s="10">
        <f t="shared" si="42"/>
        <v>4.551272934148769</v>
      </c>
      <c r="AG71" s="10">
        <f t="shared" si="43"/>
        <v>4.2383729199260411</v>
      </c>
      <c r="AH71" s="10">
        <f t="shared" si="44"/>
        <v>0.85336367515289435</v>
      </c>
      <c r="AI71" s="10">
        <f t="shared" si="45"/>
        <v>0.68269094012231546</v>
      </c>
      <c r="AJ71" s="10">
        <f t="shared" si="46"/>
        <v>2.1618546437206656</v>
      </c>
      <c r="AK71" s="10">
        <f t="shared" si="47"/>
        <v>0.48357274925330679</v>
      </c>
    </row>
    <row r="72" spans="1:37" x14ac:dyDescent="0.25">
      <c r="A72" s="17"/>
      <c r="B72" t="s">
        <v>54</v>
      </c>
      <c r="C72" s="1">
        <v>6276</v>
      </c>
      <c r="D72" s="1">
        <v>251</v>
      </c>
      <c r="E72">
        <v>224</v>
      </c>
      <c r="F72" s="1">
        <v>502</v>
      </c>
      <c r="G72" s="1">
        <v>126</v>
      </c>
      <c r="H72" s="5">
        <v>56</v>
      </c>
      <c r="I72">
        <v>55</v>
      </c>
      <c r="J72">
        <v>124</v>
      </c>
      <c r="K72">
        <v>37</v>
      </c>
      <c r="L72">
        <v>258</v>
      </c>
      <c r="M72">
        <v>227</v>
      </c>
      <c r="N72">
        <v>513</v>
      </c>
      <c r="O72">
        <v>301</v>
      </c>
      <c r="P72">
        <v>63</v>
      </c>
      <c r="Q72">
        <v>64</v>
      </c>
      <c r="R72">
        <v>146</v>
      </c>
      <c r="S72">
        <v>42</v>
      </c>
      <c r="V72" s="10">
        <f t="shared" si="32"/>
        <v>3.9993626513702996</v>
      </c>
      <c r="W72" s="10">
        <f t="shared" si="33"/>
        <v>3.5691523263224987</v>
      </c>
      <c r="X72" s="10">
        <f t="shared" si="34"/>
        <v>7.9987253027405991</v>
      </c>
      <c r="Y72" s="10">
        <f t="shared" si="35"/>
        <v>2.0076481835564053</v>
      </c>
      <c r="Z72" s="10">
        <f t="shared" si="36"/>
        <v>0.89228808158062467</v>
      </c>
      <c r="AA72" s="10">
        <f t="shared" si="37"/>
        <v>0.87635436583811344</v>
      </c>
      <c r="AB72" s="10">
        <f t="shared" si="38"/>
        <v>1.9757807520713833</v>
      </c>
      <c r="AC72" s="10">
        <f t="shared" si="39"/>
        <v>0.58954748247291267</v>
      </c>
      <c r="AD72" s="10">
        <f t="shared" si="40"/>
        <v>4.1108986615678775</v>
      </c>
      <c r="AE72" s="10">
        <f t="shared" si="41"/>
        <v>3.6169534735500317</v>
      </c>
      <c r="AF72" s="10">
        <f t="shared" si="42"/>
        <v>8.173996175908222</v>
      </c>
      <c r="AG72" s="10">
        <f t="shared" si="43"/>
        <v>4.7960484384958573</v>
      </c>
      <c r="AH72" s="10">
        <f t="shared" si="44"/>
        <v>1.0038240917782026</v>
      </c>
      <c r="AI72" s="10">
        <f t="shared" si="45"/>
        <v>1.0197578075207139</v>
      </c>
      <c r="AJ72" s="10">
        <f t="shared" si="46"/>
        <v>2.3263224984066286</v>
      </c>
      <c r="AK72" s="10">
        <f t="shared" si="47"/>
        <v>0.6692160611854685</v>
      </c>
    </row>
    <row r="73" spans="1:37" x14ac:dyDescent="0.25">
      <c r="A73" s="17"/>
      <c r="B73" t="s">
        <v>55</v>
      </c>
      <c r="C73" s="1">
        <v>5532</v>
      </c>
      <c r="D73" s="1">
        <v>157</v>
      </c>
      <c r="E73">
        <v>194</v>
      </c>
      <c r="F73" s="1">
        <v>329</v>
      </c>
      <c r="G73" s="1">
        <v>53</v>
      </c>
      <c r="H73" s="5">
        <v>32</v>
      </c>
      <c r="I73">
        <v>30</v>
      </c>
      <c r="J73">
        <v>81</v>
      </c>
      <c r="K73">
        <v>15</v>
      </c>
      <c r="L73">
        <v>161</v>
      </c>
      <c r="M73">
        <v>195</v>
      </c>
      <c r="N73">
        <v>342</v>
      </c>
      <c r="O73">
        <v>188</v>
      </c>
      <c r="P73">
        <v>37</v>
      </c>
      <c r="Q73">
        <v>33</v>
      </c>
      <c r="R73">
        <v>93</v>
      </c>
      <c r="S73">
        <v>17</v>
      </c>
      <c r="V73" s="10">
        <f t="shared" si="32"/>
        <v>2.8380332610267534</v>
      </c>
      <c r="W73" s="10">
        <f t="shared" si="33"/>
        <v>3.506869125090383</v>
      </c>
      <c r="X73" s="10">
        <f t="shared" si="34"/>
        <v>5.9472161966738977</v>
      </c>
      <c r="Y73" s="10">
        <f t="shared" si="35"/>
        <v>0.95806218365871287</v>
      </c>
      <c r="Z73" s="10">
        <f t="shared" si="36"/>
        <v>0.57845263919016632</v>
      </c>
      <c r="AA73" s="10">
        <f t="shared" si="37"/>
        <v>0.54229934924078094</v>
      </c>
      <c r="AB73" s="10">
        <f t="shared" si="38"/>
        <v>1.4642082429501084</v>
      </c>
      <c r="AC73" s="10">
        <f t="shared" si="39"/>
        <v>0.27114967462039047</v>
      </c>
      <c r="AD73" s="10">
        <f t="shared" si="40"/>
        <v>2.9103398409255243</v>
      </c>
      <c r="AE73" s="10">
        <f t="shared" si="41"/>
        <v>3.5249457700650759</v>
      </c>
      <c r="AF73" s="10">
        <f t="shared" si="42"/>
        <v>6.1822125813449018</v>
      </c>
      <c r="AG73" s="10">
        <f t="shared" si="43"/>
        <v>3.3984092552422269</v>
      </c>
      <c r="AH73" s="10">
        <f t="shared" si="44"/>
        <v>0.66883586406362971</v>
      </c>
      <c r="AI73" s="10">
        <f t="shared" si="45"/>
        <v>0.59652928416485895</v>
      </c>
      <c r="AJ73" s="10">
        <f t="shared" si="46"/>
        <v>1.6811279826464207</v>
      </c>
      <c r="AK73" s="10">
        <f t="shared" si="47"/>
        <v>0.30730296456977585</v>
      </c>
    </row>
    <row r="74" spans="1:37" x14ac:dyDescent="0.25">
      <c r="A74" s="17"/>
      <c r="B74" t="s">
        <v>56</v>
      </c>
      <c r="C74" s="1">
        <v>5045</v>
      </c>
      <c r="D74" s="1">
        <v>164</v>
      </c>
      <c r="E74">
        <v>148</v>
      </c>
      <c r="F74" s="1">
        <v>381</v>
      </c>
      <c r="G74" s="1">
        <v>65</v>
      </c>
      <c r="H74" s="5">
        <v>31</v>
      </c>
      <c r="I74">
        <v>14</v>
      </c>
      <c r="J74">
        <v>62</v>
      </c>
      <c r="K74">
        <v>9</v>
      </c>
      <c r="L74">
        <v>166</v>
      </c>
      <c r="M74">
        <v>152</v>
      </c>
      <c r="N74">
        <v>393</v>
      </c>
      <c r="O74">
        <v>190</v>
      </c>
      <c r="P74">
        <v>38</v>
      </c>
      <c r="Q74">
        <v>14</v>
      </c>
      <c r="R74">
        <v>69</v>
      </c>
      <c r="S74">
        <v>9</v>
      </c>
      <c r="V74" s="10">
        <f t="shared" si="32"/>
        <v>3.2507433102081271</v>
      </c>
      <c r="W74" s="10">
        <f t="shared" si="33"/>
        <v>2.9335976214073338</v>
      </c>
      <c r="X74" s="10">
        <f t="shared" si="34"/>
        <v>7.55203171456888</v>
      </c>
      <c r="Y74" s="10">
        <f t="shared" si="35"/>
        <v>1.288404360753221</v>
      </c>
      <c r="Z74" s="10">
        <f t="shared" si="36"/>
        <v>0.61446977205153619</v>
      </c>
      <c r="AA74" s="10">
        <f t="shared" si="37"/>
        <v>0.27750247770069375</v>
      </c>
      <c r="AB74" s="10">
        <f t="shared" si="38"/>
        <v>1.2289395441030724</v>
      </c>
      <c r="AC74" s="10">
        <f t="shared" si="39"/>
        <v>0.17839444995044598</v>
      </c>
      <c r="AD74" s="10">
        <f t="shared" si="40"/>
        <v>3.2903865213082257</v>
      </c>
      <c r="AE74" s="10">
        <f t="shared" si="41"/>
        <v>3.0128840436075324</v>
      </c>
      <c r="AF74" s="10">
        <f t="shared" si="42"/>
        <v>7.7898909811694743</v>
      </c>
      <c r="AG74" s="10">
        <f t="shared" si="43"/>
        <v>3.7661050545094152</v>
      </c>
      <c r="AH74" s="10">
        <f t="shared" si="44"/>
        <v>0.75322101090188309</v>
      </c>
      <c r="AI74" s="10">
        <f t="shared" si="45"/>
        <v>0.27750247770069375</v>
      </c>
      <c r="AJ74" s="10">
        <f t="shared" si="46"/>
        <v>1.3676907829534191</v>
      </c>
      <c r="AK74" s="10">
        <f t="shared" si="47"/>
        <v>0.17839444995044598</v>
      </c>
    </row>
    <row r="75" spans="1:37" x14ac:dyDescent="0.25">
      <c r="A75" s="17"/>
      <c r="B75" t="s">
        <v>57</v>
      </c>
      <c r="C75" s="1">
        <v>8377</v>
      </c>
      <c r="D75" s="1">
        <v>208</v>
      </c>
      <c r="E75">
        <v>235</v>
      </c>
      <c r="F75" s="1">
        <v>528</v>
      </c>
      <c r="G75" s="1">
        <v>83</v>
      </c>
      <c r="H75" s="5">
        <v>50</v>
      </c>
      <c r="I75">
        <v>41</v>
      </c>
      <c r="J75">
        <v>130</v>
      </c>
      <c r="K75">
        <v>15</v>
      </c>
      <c r="L75">
        <v>214</v>
      </c>
      <c r="M75">
        <v>238</v>
      </c>
      <c r="N75">
        <v>541</v>
      </c>
      <c r="O75">
        <v>258</v>
      </c>
      <c r="P75">
        <v>57</v>
      </c>
      <c r="Q75">
        <v>49</v>
      </c>
      <c r="R75">
        <v>156</v>
      </c>
      <c r="S75">
        <v>17</v>
      </c>
      <c r="V75" s="10">
        <f t="shared" si="32"/>
        <v>2.4829891369225261</v>
      </c>
      <c r="W75" s="10">
        <f t="shared" si="33"/>
        <v>2.8053002268115077</v>
      </c>
      <c r="X75" s="10">
        <f t="shared" si="34"/>
        <v>6.3029724244956427</v>
      </c>
      <c r="Y75" s="10">
        <f t="shared" si="35"/>
        <v>0.99080816521427717</v>
      </c>
      <c r="Z75" s="10">
        <f t="shared" si="36"/>
        <v>0.5968723886832995</v>
      </c>
      <c r="AA75" s="10">
        <f t="shared" si="37"/>
        <v>0.48943535872030558</v>
      </c>
      <c r="AB75" s="10">
        <f t="shared" si="38"/>
        <v>1.5518682105765786</v>
      </c>
      <c r="AC75" s="10">
        <f t="shared" si="39"/>
        <v>0.17906171660498985</v>
      </c>
      <c r="AD75" s="10">
        <f t="shared" si="40"/>
        <v>2.5546138235645217</v>
      </c>
      <c r="AE75" s="10">
        <f t="shared" si="41"/>
        <v>2.8411125701325055</v>
      </c>
      <c r="AF75" s="10">
        <f t="shared" si="42"/>
        <v>6.4581592455533006</v>
      </c>
      <c r="AG75" s="10">
        <f t="shared" si="43"/>
        <v>3.0798615256058257</v>
      </c>
      <c r="AH75" s="10">
        <f t="shared" si="44"/>
        <v>0.68043452309896146</v>
      </c>
      <c r="AI75" s="10">
        <f t="shared" si="45"/>
        <v>0.58493494090963349</v>
      </c>
      <c r="AJ75" s="10">
        <f t="shared" si="46"/>
        <v>1.8622418526918945</v>
      </c>
      <c r="AK75" s="10">
        <f t="shared" si="47"/>
        <v>0.20293661215232184</v>
      </c>
    </row>
    <row r="76" spans="1:37" x14ac:dyDescent="0.25">
      <c r="A76" s="17"/>
      <c r="B76" t="s">
        <v>58</v>
      </c>
      <c r="C76" s="1">
        <v>7323</v>
      </c>
      <c r="D76" s="1">
        <v>218</v>
      </c>
      <c r="E76">
        <v>192</v>
      </c>
      <c r="F76" s="1">
        <v>791</v>
      </c>
      <c r="G76" s="1">
        <v>135</v>
      </c>
      <c r="H76" s="5">
        <v>32</v>
      </c>
      <c r="I76">
        <v>31</v>
      </c>
      <c r="J76">
        <v>167</v>
      </c>
      <c r="K76">
        <v>21</v>
      </c>
      <c r="L76">
        <v>225</v>
      </c>
      <c r="M76">
        <v>197</v>
      </c>
      <c r="N76">
        <v>805</v>
      </c>
      <c r="O76">
        <v>272</v>
      </c>
      <c r="P76">
        <v>35</v>
      </c>
      <c r="Q76">
        <v>33</v>
      </c>
      <c r="R76">
        <v>198</v>
      </c>
      <c r="S76">
        <v>23</v>
      </c>
      <c r="V76" s="10">
        <f t="shared" si="32"/>
        <v>2.976922026491875</v>
      </c>
      <c r="W76" s="10">
        <f t="shared" si="33"/>
        <v>2.6218762802130273</v>
      </c>
      <c r="X76" s="10">
        <f t="shared" si="34"/>
        <v>10.801584050252629</v>
      </c>
      <c r="Y76" s="10">
        <f t="shared" si="35"/>
        <v>1.8435067595247849</v>
      </c>
      <c r="Z76" s="10">
        <f t="shared" si="36"/>
        <v>0.43697938003550457</v>
      </c>
      <c r="AA76" s="10">
        <f t="shared" si="37"/>
        <v>0.42332377440939506</v>
      </c>
      <c r="AB76" s="10">
        <f t="shared" si="38"/>
        <v>2.2804861395602893</v>
      </c>
      <c r="AC76" s="10">
        <f t="shared" si="39"/>
        <v>0.28676771814829988</v>
      </c>
      <c r="AD76" s="10">
        <f t="shared" si="40"/>
        <v>3.0725112658746414</v>
      </c>
      <c r="AE76" s="10">
        <f t="shared" si="41"/>
        <v>2.6901543083435753</v>
      </c>
      <c r="AF76" s="10">
        <f t="shared" si="42"/>
        <v>10.992762529018162</v>
      </c>
      <c r="AG76" s="10">
        <f t="shared" si="43"/>
        <v>3.7143247303017888</v>
      </c>
      <c r="AH76" s="10">
        <f t="shared" si="44"/>
        <v>0.47794619691383317</v>
      </c>
      <c r="AI76" s="10">
        <f t="shared" si="45"/>
        <v>0.45063498566161408</v>
      </c>
      <c r="AJ76" s="10">
        <f t="shared" si="46"/>
        <v>2.7038099139696845</v>
      </c>
      <c r="AK76" s="10">
        <f t="shared" si="47"/>
        <v>0.3140789294005189</v>
      </c>
    </row>
    <row r="77" spans="1:37" x14ac:dyDescent="0.25">
      <c r="A77" s="17"/>
      <c r="B77" t="s">
        <v>59</v>
      </c>
      <c r="C77" s="1">
        <v>5952</v>
      </c>
      <c r="D77" s="1">
        <v>288</v>
      </c>
      <c r="E77">
        <v>222</v>
      </c>
      <c r="F77" s="1">
        <v>565</v>
      </c>
      <c r="G77" s="1">
        <v>124</v>
      </c>
      <c r="H77" s="5">
        <v>66</v>
      </c>
      <c r="I77">
        <v>50</v>
      </c>
      <c r="J77">
        <v>164</v>
      </c>
      <c r="K77">
        <v>30</v>
      </c>
      <c r="L77">
        <v>306</v>
      </c>
      <c r="M77">
        <v>230</v>
      </c>
      <c r="N77">
        <v>575</v>
      </c>
      <c r="O77">
        <v>363</v>
      </c>
      <c r="P77">
        <v>85</v>
      </c>
      <c r="Q77">
        <v>65</v>
      </c>
      <c r="R77">
        <v>220</v>
      </c>
      <c r="S77">
        <v>41</v>
      </c>
      <c r="V77" s="10">
        <f t="shared" si="32"/>
        <v>4.838709677419355</v>
      </c>
      <c r="W77" s="10">
        <f t="shared" si="33"/>
        <v>3.7298387096774195</v>
      </c>
      <c r="X77" s="10">
        <f t="shared" si="34"/>
        <v>9.49260752688172</v>
      </c>
      <c r="Y77" s="10">
        <f t="shared" si="35"/>
        <v>2.083333333333333</v>
      </c>
      <c r="Z77" s="10">
        <f t="shared" si="36"/>
        <v>1.1088709677419355</v>
      </c>
      <c r="AA77" s="10">
        <f t="shared" si="37"/>
        <v>0.84005376344086014</v>
      </c>
      <c r="AB77" s="10">
        <f t="shared" si="38"/>
        <v>2.7553763440860215</v>
      </c>
      <c r="AC77" s="10">
        <f t="shared" si="39"/>
        <v>0.50403225806451613</v>
      </c>
      <c r="AD77" s="10">
        <f t="shared" si="40"/>
        <v>5.1411290322580649</v>
      </c>
      <c r="AE77" s="10">
        <f t="shared" si="41"/>
        <v>3.864247311827957</v>
      </c>
      <c r="AF77" s="10">
        <f t="shared" si="42"/>
        <v>9.6606182795698921</v>
      </c>
      <c r="AG77" s="10">
        <f t="shared" si="43"/>
        <v>6.098790322580645</v>
      </c>
      <c r="AH77" s="10">
        <f t="shared" si="44"/>
        <v>1.4280913978494623</v>
      </c>
      <c r="AI77" s="10">
        <f t="shared" si="45"/>
        <v>1.0920698924731183</v>
      </c>
      <c r="AJ77" s="10">
        <f t="shared" si="46"/>
        <v>3.696236559139785</v>
      </c>
      <c r="AK77" s="10">
        <f t="shared" si="47"/>
        <v>0.68884408602150538</v>
      </c>
    </row>
    <row r="78" spans="1:37" x14ac:dyDescent="0.25">
      <c r="A78" s="17" t="s">
        <v>67</v>
      </c>
      <c r="B78" t="s">
        <v>52</v>
      </c>
      <c r="C78" s="1">
        <v>7177</v>
      </c>
      <c r="D78" s="1">
        <v>196</v>
      </c>
      <c r="E78">
        <v>159</v>
      </c>
      <c r="F78" s="1">
        <v>405</v>
      </c>
      <c r="G78" s="1">
        <v>71</v>
      </c>
      <c r="H78" s="5">
        <v>16</v>
      </c>
      <c r="I78">
        <v>21</v>
      </c>
      <c r="J78">
        <v>52</v>
      </c>
      <c r="K78">
        <v>5</v>
      </c>
      <c r="L78">
        <v>201</v>
      </c>
      <c r="M78">
        <v>162</v>
      </c>
      <c r="N78">
        <v>411</v>
      </c>
      <c r="O78">
        <v>237</v>
      </c>
      <c r="P78">
        <v>16</v>
      </c>
      <c r="Q78">
        <v>23</v>
      </c>
      <c r="R78">
        <v>57</v>
      </c>
      <c r="S78">
        <v>5</v>
      </c>
      <c r="V78" s="11">
        <f t="shared" si="32"/>
        <v>2.7309460777483627</v>
      </c>
      <c r="W78" s="11">
        <f t="shared" si="33"/>
        <v>2.21541033858158</v>
      </c>
      <c r="X78" s="11">
        <f t="shared" si="34"/>
        <v>5.6430263341228928</v>
      </c>
      <c r="Y78" s="11">
        <f t="shared" si="35"/>
        <v>0.98927128326598857</v>
      </c>
      <c r="Z78" s="11">
        <f t="shared" si="36"/>
        <v>0.22293437369374389</v>
      </c>
      <c r="AA78" s="11">
        <f t="shared" si="37"/>
        <v>0.29260136547303889</v>
      </c>
      <c r="AB78" s="11">
        <f t="shared" si="38"/>
        <v>0.72453671450466772</v>
      </c>
      <c r="AC78" s="11">
        <f t="shared" si="39"/>
        <v>6.9666991779294973E-2</v>
      </c>
      <c r="AD78" s="11">
        <f t="shared" si="40"/>
        <v>2.8006130695276577</v>
      </c>
      <c r="AE78" s="11">
        <f t="shared" si="41"/>
        <v>2.257210533649157</v>
      </c>
      <c r="AF78" s="11">
        <f t="shared" si="42"/>
        <v>5.7266267242580469</v>
      </c>
      <c r="AG78" s="11">
        <f t="shared" si="43"/>
        <v>3.3022154103385817</v>
      </c>
      <c r="AH78" s="11">
        <f t="shared" si="44"/>
        <v>0.22293437369374389</v>
      </c>
      <c r="AI78" s="11">
        <f t="shared" si="45"/>
        <v>0.32046816218475688</v>
      </c>
      <c r="AJ78" s="11">
        <f t="shared" si="46"/>
        <v>0.79420370628396264</v>
      </c>
      <c r="AK78" s="11">
        <f t="shared" si="47"/>
        <v>6.9666991779294973E-2</v>
      </c>
    </row>
    <row r="79" spans="1:37" x14ac:dyDescent="0.25">
      <c r="A79" s="17"/>
      <c r="B79" t="s">
        <v>53</v>
      </c>
      <c r="C79" s="1">
        <v>7031</v>
      </c>
      <c r="D79" s="1">
        <v>259</v>
      </c>
      <c r="E79">
        <v>135</v>
      </c>
      <c r="F79" s="1">
        <v>318</v>
      </c>
      <c r="G79" s="1">
        <v>74</v>
      </c>
      <c r="H79" s="5">
        <v>50</v>
      </c>
      <c r="I79">
        <v>38</v>
      </c>
      <c r="J79">
        <v>118</v>
      </c>
      <c r="K79">
        <v>27</v>
      </c>
      <c r="L79">
        <v>266</v>
      </c>
      <c r="M79">
        <v>137</v>
      </c>
      <c r="N79">
        <v>320</v>
      </c>
      <c r="O79">
        <v>298</v>
      </c>
      <c r="P79">
        <v>60</v>
      </c>
      <c r="Q79">
        <v>48</v>
      </c>
      <c r="R79">
        <v>152</v>
      </c>
      <c r="S79">
        <v>34</v>
      </c>
      <c r="V79" s="11">
        <f t="shared" si="32"/>
        <v>3.6836865310766602</v>
      </c>
      <c r="W79" s="11">
        <f t="shared" si="33"/>
        <v>1.9200682690940121</v>
      </c>
      <c r="X79" s="11">
        <f t="shared" si="34"/>
        <v>4.5228274783103402</v>
      </c>
      <c r="Y79" s="11">
        <f t="shared" si="35"/>
        <v>1.0524818660219031</v>
      </c>
      <c r="Z79" s="11">
        <f t="shared" si="36"/>
        <v>0.71113639596074529</v>
      </c>
      <c r="AA79" s="11">
        <f t="shared" si="37"/>
        <v>0.5404636609301664</v>
      </c>
      <c r="AB79" s="11">
        <f t="shared" si="38"/>
        <v>1.6782818944673588</v>
      </c>
      <c r="AC79" s="11">
        <f t="shared" si="39"/>
        <v>0.38401365381880248</v>
      </c>
      <c r="AD79" s="11">
        <f t="shared" si="40"/>
        <v>3.7832456265111647</v>
      </c>
      <c r="AE79" s="11">
        <f t="shared" si="41"/>
        <v>1.9485137249324422</v>
      </c>
      <c r="AF79" s="11">
        <f t="shared" si="42"/>
        <v>4.551272934148769</v>
      </c>
      <c r="AG79" s="11">
        <f t="shared" si="43"/>
        <v>4.2383729199260411</v>
      </c>
      <c r="AH79" s="11">
        <f t="shared" si="44"/>
        <v>0.85336367515289435</v>
      </c>
      <c r="AI79" s="11">
        <f t="shared" si="45"/>
        <v>0.68269094012231546</v>
      </c>
      <c r="AJ79" s="11">
        <f t="shared" si="46"/>
        <v>2.1618546437206656</v>
      </c>
      <c r="AK79" s="11">
        <f t="shared" si="47"/>
        <v>0.48357274925330679</v>
      </c>
    </row>
    <row r="80" spans="1:37" x14ac:dyDescent="0.25">
      <c r="A80" s="17"/>
      <c r="B80" t="s">
        <v>54</v>
      </c>
      <c r="C80" s="1">
        <v>6276</v>
      </c>
      <c r="D80" s="1">
        <v>251</v>
      </c>
      <c r="E80">
        <v>224</v>
      </c>
      <c r="F80" s="1">
        <v>502</v>
      </c>
      <c r="G80" s="1">
        <v>126</v>
      </c>
      <c r="H80" s="5">
        <v>56</v>
      </c>
      <c r="I80">
        <v>55</v>
      </c>
      <c r="J80">
        <v>124</v>
      </c>
      <c r="K80">
        <v>37</v>
      </c>
      <c r="L80">
        <v>258</v>
      </c>
      <c r="M80">
        <v>227</v>
      </c>
      <c r="N80">
        <v>513</v>
      </c>
      <c r="O80">
        <v>301</v>
      </c>
      <c r="P80">
        <v>63</v>
      </c>
      <c r="Q80">
        <v>64</v>
      </c>
      <c r="R80">
        <v>146</v>
      </c>
      <c r="S80">
        <v>42</v>
      </c>
      <c r="V80" s="11">
        <f t="shared" si="32"/>
        <v>3.9993626513702996</v>
      </c>
      <c r="W80" s="11">
        <f t="shared" si="33"/>
        <v>3.5691523263224987</v>
      </c>
      <c r="X80" s="11">
        <f t="shared" si="34"/>
        <v>7.9987253027405991</v>
      </c>
      <c r="Y80" s="11">
        <f t="shared" si="35"/>
        <v>2.0076481835564053</v>
      </c>
      <c r="Z80" s="11">
        <f t="shared" si="36"/>
        <v>0.89228808158062467</v>
      </c>
      <c r="AA80" s="11">
        <f t="shared" si="37"/>
        <v>0.87635436583811344</v>
      </c>
      <c r="AB80" s="11">
        <f t="shared" si="38"/>
        <v>1.9757807520713833</v>
      </c>
      <c r="AC80" s="11">
        <f t="shared" si="39"/>
        <v>0.58954748247291267</v>
      </c>
      <c r="AD80" s="11">
        <f t="shared" si="40"/>
        <v>4.1108986615678775</v>
      </c>
      <c r="AE80" s="11">
        <f t="shared" si="41"/>
        <v>3.6169534735500317</v>
      </c>
      <c r="AF80" s="11">
        <f t="shared" si="42"/>
        <v>8.173996175908222</v>
      </c>
      <c r="AG80" s="11">
        <f t="shared" si="43"/>
        <v>4.7960484384958573</v>
      </c>
      <c r="AH80" s="11">
        <f t="shared" si="44"/>
        <v>1.0038240917782026</v>
      </c>
      <c r="AI80" s="11">
        <f t="shared" si="45"/>
        <v>1.0197578075207139</v>
      </c>
      <c r="AJ80" s="11">
        <f t="shared" si="46"/>
        <v>2.3263224984066286</v>
      </c>
      <c r="AK80" s="11">
        <f t="shared" si="47"/>
        <v>0.6692160611854685</v>
      </c>
    </row>
    <row r="81" spans="1:37" x14ac:dyDescent="0.25">
      <c r="A81" s="17"/>
      <c r="B81" t="s">
        <v>55</v>
      </c>
      <c r="C81" s="1">
        <v>5532</v>
      </c>
      <c r="D81" s="1">
        <v>157</v>
      </c>
      <c r="E81">
        <v>194</v>
      </c>
      <c r="F81" s="1">
        <v>329</v>
      </c>
      <c r="G81" s="1">
        <v>53</v>
      </c>
      <c r="H81" s="5">
        <v>32</v>
      </c>
      <c r="I81">
        <v>30</v>
      </c>
      <c r="J81">
        <v>81</v>
      </c>
      <c r="K81">
        <v>15</v>
      </c>
      <c r="L81">
        <v>161</v>
      </c>
      <c r="M81">
        <v>195</v>
      </c>
      <c r="N81">
        <v>342</v>
      </c>
      <c r="O81">
        <v>188</v>
      </c>
      <c r="P81">
        <v>37</v>
      </c>
      <c r="Q81">
        <v>33</v>
      </c>
      <c r="R81">
        <v>93</v>
      </c>
      <c r="S81">
        <v>17</v>
      </c>
      <c r="V81" s="11">
        <f t="shared" si="32"/>
        <v>2.8380332610267534</v>
      </c>
      <c r="W81" s="11">
        <f t="shared" si="33"/>
        <v>3.506869125090383</v>
      </c>
      <c r="X81" s="11">
        <f t="shared" si="34"/>
        <v>5.9472161966738977</v>
      </c>
      <c r="Y81" s="11">
        <f t="shared" si="35"/>
        <v>0.95806218365871287</v>
      </c>
      <c r="Z81" s="11">
        <f t="shared" si="36"/>
        <v>0.57845263919016632</v>
      </c>
      <c r="AA81" s="11">
        <f t="shared" si="37"/>
        <v>0.54229934924078094</v>
      </c>
      <c r="AB81" s="11">
        <f t="shared" si="38"/>
        <v>1.4642082429501084</v>
      </c>
      <c r="AC81" s="11">
        <f t="shared" si="39"/>
        <v>0.27114967462039047</v>
      </c>
      <c r="AD81" s="11">
        <f t="shared" si="40"/>
        <v>2.9103398409255243</v>
      </c>
      <c r="AE81" s="11">
        <f t="shared" si="41"/>
        <v>3.5249457700650759</v>
      </c>
      <c r="AF81" s="11">
        <f t="shared" si="42"/>
        <v>6.1822125813449018</v>
      </c>
      <c r="AG81" s="11">
        <f t="shared" si="43"/>
        <v>3.3984092552422269</v>
      </c>
      <c r="AH81" s="11">
        <f t="shared" si="44"/>
        <v>0.66883586406362971</v>
      </c>
      <c r="AI81" s="11">
        <f t="shared" si="45"/>
        <v>0.59652928416485895</v>
      </c>
      <c r="AJ81" s="11">
        <f t="shared" si="46"/>
        <v>1.6811279826464207</v>
      </c>
      <c r="AK81" s="11">
        <f t="shared" si="47"/>
        <v>0.30730296456977585</v>
      </c>
    </row>
    <row r="82" spans="1:37" x14ac:dyDescent="0.25">
      <c r="A82" s="17"/>
      <c r="B82" t="s">
        <v>56</v>
      </c>
      <c r="C82" s="1">
        <v>5045</v>
      </c>
      <c r="D82" s="1">
        <v>164</v>
      </c>
      <c r="E82">
        <v>148</v>
      </c>
      <c r="F82" s="1">
        <v>381</v>
      </c>
      <c r="G82" s="1">
        <v>65</v>
      </c>
      <c r="H82" s="5">
        <v>31</v>
      </c>
      <c r="I82">
        <v>14</v>
      </c>
      <c r="J82">
        <v>62</v>
      </c>
      <c r="K82">
        <v>9</v>
      </c>
      <c r="L82">
        <v>166</v>
      </c>
      <c r="M82">
        <v>152</v>
      </c>
      <c r="N82">
        <v>393</v>
      </c>
      <c r="O82">
        <v>190</v>
      </c>
      <c r="P82">
        <v>38</v>
      </c>
      <c r="Q82">
        <v>14</v>
      </c>
      <c r="R82">
        <v>69</v>
      </c>
      <c r="S82">
        <v>9</v>
      </c>
      <c r="V82" s="11">
        <f t="shared" si="32"/>
        <v>3.2507433102081271</v>
      </c>
      <c r="W82" s="11">
        <f t="shared" si="33"/>
        <v>2.9335976214073338</v>
      </c>
      <c r="X82" s="11">
        <f t="shared" si="34"/>
        <v>7.55203171456888</v>
      </c>
      <c r="Y82" s="11">
        <f t="shared" si="35"/>
        <v>1.288404360753221</v>
      </c>
      <c r="Z82" s="11">
        <f t="shared" si="36"/>
        <v>0.61446977205153619</v>
      </c>
      <c r="AA82" s="11">
        <f t="shared" si="37"/>
        <v>0.27750247770069375</v>
      </c>
      <c r="AB82" s="11">
        <f t="shared" si="38"/>
        <v>1.2289395441030724</v>
      </c>
      <c r="AC82" s="11">
        <f t="shared" si="39"/>
        <v>0.17839444995044598</v>
      </c>
      <c r="AD82" s="11">
        <f t="shared" si="40"/>
        <v>3.2903865213082257</v>
      </c>
      <c r="AE82" s="11">
        <f t="shared" si="41"/>
        <v>3.0128840436075324</v>
      </c>
      <c r="AF82" s="11">
        <f t="shared" si="42"/>
        <v>7.7898909811694743</v>
      </c>
      <c r="AG82" s="11">
        <f t="shared" si="43"/>
        <v>3.7661050545094152</v>
      </c>
      <c r="AH82" s="11">
        <f t="shared" si="44"/>
        <v>0.75322101090188309</v>
      </c>
      <c r="AI82" s="11">
        <f t="shared" si="45"/>
        <v>0.27750247770069375</v>
      </c>
      <c r="AJ82" s="11">
        <f t="shared" si="46"/>
        <v>1.3676907829534191</v>
      </c>
      <c r="AK82" s="11">
        <f t="shared" si="47"/>
        <v>0.17839444995044598</v>
      </c>
    </row>
    <row r="83" spans="1:37" x14ac:dyDescent="0.25">
      <c r="A83" s="17"/>
      <c r="B83" t="s">
        <v>57</v>
      </c>
      <c r="C83" s="1">
        <v>8377</v>
      </c>
      <c r="D83" s="1">
        <v>208</v>
      </c>
      <c r="E83">
        <v>235</v>
      </c>
      <c r="F83" s="1">
        <v>528</v>
      </c>
      <c r="G83" s="1">
        <v>83</v>
      </c>
      <c r="H83" s="5">
        <v>50</v>
      </c>
      <c r="I83">
        <v>41</v>
      </c>
      <c r="J83">
        <v>130</v>
      </c>
      <c r="K83">
        <v>15</v>
      </c>
      <c r="L83">
        <v>214</v>
      </c>
      <c r="M83">
        <v>238</v>
      </c>
      <c r="N83">
        <v>541</v>
      </c>
      <c r="O83">
        <v>258</v>
      </c>
      <c r="P83">
        <v>57</v>
      </c>
      <c r="Q83">
        <v>49</v>
      </c>
      <c r="R83">
        <v>156</v>
      </c>
      <c r="S83">
        <v>17</v>
      </c>
      <c r="V83" s="11">
        <f t="shared" si="32"/>
        <v>2.4829891369225261</v>
      </c>
      <c r="W83" s="11">
        <f t="shared" si="33"/>
        <v>2.8053002268115077</v>
      </c>
      <c r="X83" s="11">
        <f t="shared" si="34"/>
        <v>6.3029724244956427</v>
      </c>
      <c r="Y83" s="11">
        <f t="shared" si="35"/>
        <v>0.99080816521427717</v>
      </c>
      <c r="Z83" s="11">
        <f t="shared" si="36"/>
        <v>0.5968723886832995</v>
      </c>
      <c r="AA83" s="11">
        <f t="shared" si="37"/>
        <v>0.48943535872030558</v>
      </c>
      <c r="AB83" s="11">
        <f t="shared" si="38"/>
        <v>1.5518682105765786</v>
      </c>
      <c r="AC83" s="11">
        <f t="shared" si="39"/>
        <v>0.17906171660498985</v>
      </c>
      <c r="AD83" s="11">
        <f t="shared" si="40"/>
        <v>2.5546138235645217</v>
      </c>
      <c r="AE83" s="11">
        <f t="shared" si="41"/>
        <v>2.8411125701325055</v>
      </c>
      <c r="AF83" s="11">
        <f t="shared" si="42"/>
        <v>6.4581592455533006</v>
      </c>
      <c r="AG83" s="11">
        <f t="shared" si="43"/>
        <v>3.0798615256058257</v>
      </c>
      <c r="AH83" s="11">
        <f t="shared" si="44"/>
        <v>0.68043452309896146</v>
      </c>
      <c r="AI83" s="11">
        <f t="shared" si="45"/>
        <v>0.58493494090963349</v>
      </c>
      <c r="AJ83" s="11">
        <f t="shared" si="46"/>
        <v>1.8622418526918945</v>
      </c>
      <c r="AK83" s="11">
        <f t="shared" si="47"/>
        <v>0.20293661215232184</v>
      </c>
    </row>
    <row r="84" spans="1:37" x14ac:dyDescent="0.25">
      <c r="A84" s="17"/>
      <c r="B84" t="s">
        <v>58</v>
      </c>
      <c r="C84" s="1">
        <v>7323</v>
      </c>
      <c r="D84" s="1">
        <v>218</v>
      </c>
      <c r="E84">
        <v>192</v>
      </c>
      <c r="F84" s="1">
        <v>791</v>
      </c>
      <c r="G84" s="1">
        <v>135</v>
      </c>
      <c r="H84" s="5">
        <v>32</v>
      </c>
      <c r="I84">
        <v>31</v>
      </c>
      <c r="J84">
        <v>167</v>
      </c>
      <c r="K84">
        <v>21</v>
      </c>
      <c r="L84">
        <v>225</v>
      </c>
      <c r="M84">
        <v>197</v>
      </c>
      <c r="N84">
        <v>805</v>
      </c>
      <c r="O84">
        <v>272</v>
      </c>
      <c r="P84">
        <v>35</v>
      </c>
      <c r="Q84">
        <v>33</v>
      </c>
      <c r="R84">
        <v>198</v>
      </c>
      <c r="S84">
        <v>23</v>
      </c>
      <c r="V84" s="11">
        <f t="shared" si="32"/>
        <v>2.976922026491875</v>
      </c>
      <c r="W84" s="11">
        <f t="shared" si="33"/>
        <v>2.6218762802130273</v>
      </c>
      <c r="X84" s="11">
        <f t="shared" si="34"/>
        <v>10.801584050252629</v>
      </c>
      <c r="Y84" s="11">
        <f t="shared" si="35"/>
        <v>1.8435067595247849</v>
      </c>
      <c r="Z84" s="11">
        <f t="shared" si="36"/>
        <v>0.43697938003550457</v>
      </c>
      <c r="AA84" s="11">
        <f t="shared" si="37"/>
        <v>0.42332377440939506</v>
      </c>
      <c r="AB84" s="11">
        <f t="shared" si="38"/>
        <v>2.2804861395602893</v>
      </c>
      <c r="AC84" s="11">
        <f t="shared" si="39"/>
        <v>0.28676771814829988</v>
      </c>
      <c r="AD84" s="11">
        <f t="shared" si="40"/>
        <v>3.0725112658746414</v>
      </c>
      <c r="AE84" s="11">
        <f t="shared" si="41"/>
        <v>2.6901543083435753</v>
      </c>
      <c r="AF84" s="11">
        <f t="shared" si="42"/>
        <v>10.992762529018162</v>
      </c>
      <c r="AG84" s="11">
        <f t="shared" si="43"/>
        <v>3.7143247303017888</v>
      </c>
      <c r="AH84" s="11">
        <f t="shared" si="44"/>
        <v>0.47794619691383317</v>
      </c>
      <c r="AI84" s="11">
        <f t="shared" si="45"/>
        <v>0.45063498566161408</v>
      </c>
      <c r="AJ84" s="11">
        <f t="shared" si="46"/>
        <v>2.7038099139696845</v>
      </c>
      <c r="AK84" s="11">
        <f t="shared" si="47"/>
        <v>0.3140789294005189</v>
      </c>
    </row>
    <row r="85" spans="1:37" x14ac:dyDescent="0.25">
      <c r="A85" s="17"/>
      <c r="B85" t="s">
        <v>59</v>
      </c>
      <c r="C85" s="1">
        <v>5952</v>
      </c>
      <c r="D85" s="1">
        <v>288</v>
      </c>
      <c r="E85">
        <v>222</v>
      </c>
      <c r="F85" s="1">
        <v>565</v>
      </c>
      <c r="G85" s="1">
        <v>124</v>
      </c>
      <c r="H85" s="5">
        <v>66</v>
      </c>
      <c r="I85">
        <v>50</v>
      </c>
      <c r="J85">
        <v>164</v>
      </c>
      <c r="K85">
        <v>30</v>
      </c>
      <c r="L85">
        <v>306</v>
      </c>
      <c r="M85">
        <v>230</v>
      </c>
      <c r="N85">
        <v>575</v>
      </c>
      <c r="O85">
        <v>363</v>
      </c>
      <c r="P85">
        <v>85</v>
      </c>
      <c r="Q85">
        <v>65</v>
      </c>
      <c r="R85">
        <v>220</v>
      </c>
      <c r="S85">
        <v>41</v>
      </c>
      <c r="V85" s="11">
        <f t="shared" si="32"/>
        <v>4.838709677419355</v>
      </c>
      <c r="W85" s="11">
        <f t="shared" si="33"/>
        <v>3.7298387096774195</v>
      </c>
      <c r="X85" s="11">
        <f t="shared" si="34"/>
        <v>9.49260752688172</v>
      </c>
      <c r="Y85" s="11">
        <f t="shared" si="35"/>
        <v>2.083333333333333</v>
      </c>
      <c r="Z85" s="11">
        <f t="shared" si="36"/>
        <v>1.1088709677419355</v>
      </c>
      <c r="AA85" s="11">
        <f t="shared" si="37"/>
        <v>0.84005376344086014</v>
      </c>
      <c r="AB85" s="11">
        <f t="shared" si="38"/>
        <v>2.7553763440860215</v>
      </c>
      <c r="AC85" s="11">
        <f t="shared" si="39"/>
        <v>0.50403225806451613</v>
      </c>
      <c r="AD85" s="11">
        <f t="shared" si="40"/>
        <v>5.1411290322580649</v>
      </c>
      <c r="AE85" s="11">
        <f t="shared" si="41"/>
        <v>3.864247311827957</v>
      </c>
      <c r="AF85" s="11">
        <f t="shared" si="42"/>
        <v>9.6606182795698921</v>
      </c>
      <c r="AG85" s="11">
        <f t="shared" si="43"/>
        <v>6.098790322580645</v>
      </c>
      <c r="AH85" s="11">
        <f t="shared" si="44"/>
        <v>1.4280913978494623</v>
      </c>
      <c r="AI85" s="11">
        <f t="shared" si="45"/>
        <v>1.0920698924731183</v>
      </c>
      <c r="AJ85" s="11">
        <f t="shared" si="46"/>
        <v>3.696236559139785</v>
      </c>
      <c r="AK85" s="11">
        <f t="shared" si="47"/>
        <v>0.68884408602150538</v>
      </c>
    </row>
    <row r="87" spans="1:37" x14ac:dyDescent="0.25">
      <c r="B87" s="2" t="s">
        <v>2</v>
      </c>
      <c r="C87" s="3">
        <f>AVERAGE(C3:C11)*100</f>
        <v>453144.44444444444</v>
      </c>
      <c r="D87" s="3">
        <f t="shared" ref="D87" si="48">AVERAGE(D3:D11)*100</f>
        <v>22422.222222222223</v>
      </c>
      <c r="E87" s="4"/>
      <c r="F87" s="3">
        <f>AVERAGE(F3:F11)*100</f>
        <v>34233.333333333328</v>
      </c>
      <c r="G87" s="3">
        <f t="shared" ref="G87" si="49">AVERAGE(G3:G11)*100</f>
        <v>9266.6666666666679</v>
      </c>
      <c r="H87" s="3"/>
      <c r="I87" s="4"/>
      <c r="V87" s="3">
        <f t="shared" ref="V87:AC87" si="50">AVERAGE(V3:V11)</f>
        <v>4.9497211692491909</v>
      </c>
      <c r="W87" s="3">
        <f t="shared" si="50"/>
        <v>3.7133945429168369</v>
      </c>
      <c r="X87" s="3">
        <f t="shared" si="50"/>
        <v>7.3672049373479513</v>
      </c>
      <c r="Y87" s="3">
        <f t="shared" si="50"/>
        <v>2.0093589553055793</v>
      </c>
      <c r="Z87" s="3">
        <f t="shared" si="50"/>
        <v>0.63354677783566293</v>
      </c>
      <c r="AA87" s="3">
        <f t="shared" si="50"/>
        <v>0.4773683811701962</v>
      </c>
      <c r="AB87" s="3">
        <f t="shared" si="50"/>
        <v>1.1738034326106495</v>
      </c>
      <c r="AC87" s="3">
        <f t="shared" si="50"/>
        <v>0.2662055557741636</v>
      </c>
      <c r="AD87" s="3">
        <f t="shared" ref="AD87:AK87" si="51">AVERAGE(AD3:AD11)</f>
        <v>5.079559253610217</v>
      </c>
      <c r="AE87" s="3">
        <f t="shared" si="51"/>
        <v>3.8228737181572745</v>
      </c>
      <c r="AF87" s="3">
        <f t="shared" si="51"/>
        <v>7.4924872401699538</v>
      </c>
      <c r="AG87" s="3">
        <f t="shared" si="51"/>
        <v>5.9407297350266415</v>
      </c>
      <c r="AH87" s="3">
        <f t="shared" si="51"/>
        <v>0.71011582358429004</v>
      </c>
      <c r="AI87" s="3">
        <f t="shared" si="51"/>
        <v>0.53243749705884369</v>
      </c>
      <c r="AJ87" s="3">
        <f t="shared" si="51"/>
        <v>1.3046046982623223</v>
      </c>
      <c r="AK87" s="3">
        <f t="shared" si="51"/>
        <v>0.29798931035956372</v>
      </c>
    </row>
    <row r="88" spans="1:37" x14ac:dyDescent="0.25">
      <c r="B88" s="2" t="s">
        <v>3</v>
      </c>
      <c r="C88" s="3">
        <f>AVERAGE(C12:C20)*100</f>
        <v>615566.66666666674</v>
      </c>
      <c r="D88" s="3">
        <f t="shared" ref="D88" si="52">AVERAGE(D12:D20)*100</f>
        <v>30333.333333333332</v>
      </c>
      <c r="E88" s="4"/>
      <c r="F88" s="3">
        <f>AVERAGE(F12:F20)*100</f>
        <v>54133.333333333336</v>
      </c>
      <c r="G88" s="3">
        <f t="shared" ref="G88" si="53">AVERAGE(G12:G20)*100</f>
        <v>12944.444444444445</v>
      </c>
      <c r="H88" s="3"/>
      <c r="I88" s="4"/>
      <c r="J88" s="2"/>
      <c r="K88" s="5"/>
      <c r="L88" s="5"/>
      <c r="V88" s="3">
        <f t="shared" ref="V88:AC88" si="54">AVERAGE(V12:V20)</f>
        <v>4.9637109479565602</v>
      </c>
      <c r="W88" s="3">
        <f t="shared" si="54"/>
        <v>3.6305142081690724</v>
      </c>
      <c r="X88" s="3">
        <f t="shared" si="54"/>
        <v>8.8976412854454772</v>
      </c>
      <c r="Y88" s="3">
        <f t="shared" si="54"/>
        <v>2.1426436082445268</v>
      </c>
      <c r="Z88" s="3">
        <f t="shared" si="54"/>
        <v>0.58607872137738637</v>
      </c>
      <c r="AA88" s="3">
        <f t="shared" si="54"/>
        <v>0.34415511037517532</v>
      </c>
      <c r="AB88" s="3">
        <f t="shared" si="54"/>
        <v>1.2303292859532251</v>
      </c>
      <c r="AC88" s="3">
        <f t="shared" si="54"/>
        <v>0.24833833209695064</v>
      </c>
      <c r="AD88" s="3">
        <f t="shared" ref="AD88:AK88" si="55">AVERAGE(AD12:AD20)</f>
        <v>5.0932708623670147</v>
      </c>
      <c r="AE88" s="3">
        <f t="shared" si="55"/>
        <v>3.7377894935389091</v>
      </c>
      <c r="AF88" s="3">
        <f t="shared" si="55"/>
        <v>9.0638635828185343</v>
      </c>
      <c r="AG88" s="3">
        <f t="shared" si="55"/>
        <v>6.0088022528002369</v>
      </c>
      <c r="AH88" s="3">
        <f t="shared" si="55"/>
        <v>0.65968331646901013</v>
      </c>
      <c r="AI88" s="3">
        <f t="shared" si="55"/>
        <v>0.38080430434810913</v>
      </c>
      <c r="AJ88" s="3">
        <f t="shared" si="55"/>
        <v>1.4294786399301083</v>
      </c>
      <c r="AK88" s="3">
        <f t="shared" si="55"/>
        <v>0.274871863803264</v>
      </c>
    </row>
    <row r="89" spans="1:37" x14ac:dyDescent="0.25">
      <c r="B89" s="2" t="s">
        <v>8</v>
      </c>
      <c r="C89" s="3">
        <f>AVERAGE(C21:C29)*100</f>
        <v>615566.66666666674</v>
      </c>
      <c r="D89" s="3">
        <f t="shared" ref="D89" si="56">AVERAGE(D21:D29)*100</f>
        <v>30333.333333333332</v>
      </c>
      <c r="E89" s="4"/>
      <c r="F89" s="3">
        <f>AVERAGE(F21:F29)*100</f>
        <v>54133.333333333336</v>
      </c>
      <c r="G89" s="3">
        <f t="shared" ref="G89" si="57">AVERAGE(G21:G29)*100</f>
        <v>12944.444444444445</v>
      </c>
      <c r="H89" s="3"/>
      <c r="I89" s="4"/>
      <c r="J89" s="2"/>
      <c r="K89" s="5"/>
      <c r="L89" s="5"/>
      <c r="V89" s="3">
        <f t="shared" ref="V89:AC89" si="58">AVERAGE(V21:V29)</f>
        <v>4.9637109479565602</v>
      </c>
      <c r="W89" s="3">
        <f t="shared" si="58"/>
        <v>3.6305142081690724</v>
      </c>
      <c r="X89" s="3">
        <f t="shared" si="58"/>
        <v>8.8976412854454772</v>
      </c>
      <c r="Y89" s="3">
        <f t="shared" si="58"/>
        <v>2.1426436082445268</v>
      </c>
      <c r="Z89" s="3">
        <f t="shared" si="58"/>
        <v>0.58607872137738637</v>
      </c>
      <c r="AA89" s="3">
        <f t="shared" si="58"/>
        <v>0.34415511037517532</v>
      </c>
      <c r="AB89" s="3">
        <f t="shared" si="58"/>
        <v>1.2303292859532251</v>
      </c>
      <c r="AC89" s="3">
        <f t="shared" si="58"/>
        <v>0.24833833209695064</v>
      </c>
      <c r="AD89" s="3">
        <f t="shared" ref="AD89:AK89" si="59">AVERAGE(AD21:AD29)</f>
        <v>5.0932708623670147</v>
      </c>
      <c r="AE89" s="3">
        <f t="shared" si="59"/>
        <v>3.7377894935389091</v>
      </c>
      <c r="AF89" s="3">
        <f t="shared" si="59"/>
        <v>9.0638635828185343</v>
      </c>
      <c r="AG89" s="3">
        <f t="shared" si="59"/>
        <v>6.0088022528002369</v>
      </c>
      <c r="AH89" s="3">
        <f t="shared" si="59"/>
        <v>0.65968331646901013</v>
      </c>
      <c r="AI89" s="3">
        <f t="shared" si="59"/>
        <v>0.38080430434810913</v>
      </c>
      <c r="AJ89" s="3">
        <f t="shared" si="59"/>
        <v>1.4294786399301083</v>
      </c>
      <c r="AK89" s="3">
        <f t="shared" si="59"/>
        <v>0.274871863803264</v>
      </c>
    </row>
    <row r="90" spans="1:37" x14ac:dyDescent="0.25">
      <c r="B90" s="2" t="s">
        <v>0</v>
      </c>
      <c r="C90" s="3">
        <f>AVERAGE(C30:C40)*100</f>
        <v>564290.90909090906</v>
      </c>
      <c r="D90" s="3">
        <f t="shared" ref="D90" si="60">AVERAGE(D30:D40)*100</f>
        <v>22054.545454545452</v>
      </c>
      <c r="E90" s="4"/>
      <c r="F90" s="3">
        <f>AVERAGE(F30:F40)*100</f>
        <v>39554.545454545456</v>
      </c>
      <c r="G90" s="3">
        <f t="shared" ref="G90" si="61">AVERAGE(G30:G40)*100</f>
        <v>9036.363636363636</v>
      </c>
      <c r="H90" s="3"/>
      <c r="I90" s="4"/>
      <c r="J90" s="4"/>
      <c r="K90" s="4"/>
      <c r="V90" s="3">
        <f t="shared" ref="V90:AC90" si="62">AVERAGE(V30:V40)</f>
        <v>3.9542690832659515</v>
      </c>
      <c r="W90" s="3">
        <f t="shared" si="62"/>
        <v>3.2860025739903098</v>
      </c>
      <c r="X90" s="3">
        <f t="shared" si="62"/>
        <v>6.7970074757197638</v>
      </c>
      <c r="Y90" s="3">
        <f t="shared" si="62"/>
        <v>1.5395678880003643</v>
      </c>
      <c r="Z90" s="3">
        <f t="shared" si="62"/>
        <v>0.48467025135335978</v>
      </c>
      <c r="AA90" s="3">
        <f t="shared" si="62"/>
        <v>0.45228651562262684</v>
      </c>
      <c r="AB90" s="3">
        <f t="shared" si="62"/>
        <v>1.2550656213994857</v>
      </c>
      <c r="AC90" s="3">
        <f t="shared" si="62"/>
        <v>0.22263100593536167</v>
      </c>
      <c r="AD90" s="3">
        <f t="shared" ref="AD90:AK90" si="63">AVERAGE(AD30:AD40)</f>
        <v>4.0891291433853958</v>
      </c>
      <c r="AE90" s="3">
        <f t="shared" si="63"/>
        <v>3.3921611754401639</v>
      </c>
      <c r="AF90" s="3">
        <f t="shared" si="63"/>
        <v>6.940785039714938</v>
      </c>
      <c r="AG90" s="3">
        <f t="shared" si="63"/>
        <v>4.6451286678983088</v>
      </c>
      <c r="AH90" s="3">
        <f t="shared" si="63"/>
        <v>0.55345359405318351</v>
      </c>
      <c r="AI90" s="3">
        <f t="shared" si="63"/>
        <v>0.50774503230766455</v>
      </c>
      <c r="AJ90" s="3">
        <f t="shared" si="63"/>
        <v>1.4496520085173819</v>
      </c>
      <c r="AK90" s="3">
        <f t="shared" si="63"/>
        <v>0.25650884690809383</v>
      </c>
    </row>
    <row r="91" spans="1:37" x14ac:dyDescent="0.25">
      <c r="B91" s="2" t="s">
        <v>1</v>
      </c>
      <c r="C91" s="3">
        <f>AVERAGE(C41:C51)*100</f>
        <v>564290.90909090906</v>
      </c>
      <c r="D91" s="3">
        <f t="shared" ref="D91" si="64">AVERAGE(D41:D51)*100</f>
        <v>22054.545454545452</v>
      </c>
      <c r="E91" s="4"/>
      <c r="F91" s="3">
        <f>AVERAGE(F41:F51)*100</f>
        <v>39554.545454545456</v>
      </c>
      <c r="G91" s="3">
        <f t="shared" ref="G91" si="65">AVERAGE(G41:G51)*100</f>
        <v>9036.363636363636</v>
      </c>
      <c r="H91" s="3"/>
      <c r="I91" s="4"/>
      <c r="J91" s="4"/>
      <c r="K91" s="4"/>
      <c r="V91" s="3">
        <f t="shared" ref="V91:AC91" si="66">AVERAGE(V41:V51)</f>
        <v>3.9542690832659515</v>
      </c>
      <c r="W91" s="3">
        <f t="shared" si="66"/>
        <v>3.2860025739903098</v>
      </c>
      <c r="X91" s="3">
        <f t="shared" si="66"/>
        <v>6.7970074757197638</v>
      </c>
      <c r="Y91" s="3">
        <f t="shared" si="66"/>
        <v>1.5395678880003643</v>
      </c>
      <c r="Z91" s="3">
        <f t="shared" si="66"/>
        <v>0.48467025135335978</v>
      </c>
      <c r="AA91" s="3">
        <f t="shared" si="66"/>
        <v>0.45228651562262684</v>
      </c>
      <c r="AB91" s="3">
        <f t="shared" si="66"/>
        <v>1.2550656213994857</v>
      </c>
      <c r="AC91" s="3">
        <f t="shared" si="66"/>
        <v>0.22263100593536167</v>
      </c>
      <c r="AD91" s="3">
        <f t="shared" ref="AD91:AK91" si="67">AVERAGE(AD41:AD51)</f>
        <v>4.0891291433853958</v>
      </c>
      <c r="AE91" s="3">
        <f t="shared" si="67"/>
        <v>3.3921611754401639</v>
      </c>
      <c r="AF91" s="3">
        <f t="shared" si="67"/>
        <v>6.940785039714938</v>
      </c>
      <c r="AG91" s="3">
        <f t="shared" si="67"/>
        <v>4.6451286678983088</v>
      </c>
      <c r="AH91" s="3">
        <f t="shared" si="67"/>
        <v>0.55345359405318351</v>
      </c>
      <c r="AI91" s="3">
        <f t="shared" si="67"/>
        <v>0.50774503230766455</v>
      </c>
      <c r="AJ91" s="3">
        <f t="shared" si="67"/>
        <v>1.4496520085173819</v>
      </c>
      <c r="AK91" s="3">
        <f t="shared" si="67"/>
        <v>0.25650884690809383</v>
      </c>
    </row>
    <row r="92" spans="1:37" x14ac:dyDescent="0.25">
      <c r="B92" s="2" t="s">
        <v>4</v>
      </c>
      <c r="C92" s="3">
        <f>AVERAGE(C52:C59)*100</f>
        <v>647950</v>
      </c>
      <c r="D92" s="3">
        <f t="shared" ref="D92" si="68">AVERAGE(D52:D59)*100</f>
        <v>17500</v>
      </c>
      <c r="E92" s="4"/>
      <c r="F92" s="3">
        <f>AVERAGE(F52:F59)*100</f>
        <v>40750</v>
      </c>
      <c r="G92" s="3">
        <f t="shared" ref="G92" si="69">AVERAGE(G52:G59)*100</f>
        <v>6937.5</v>
      </c>
      <c r="H92" s="3"/>
      <c r="I92" s="4"/>
      <c r="J92" s="4"/>
      <c r="K92" s="4"/>
      <c r="V92" s="3">
        <f t="shared" ref="V92:AC92" si="70">AVERAGE(V52:V59)</f>
        <v>2.7444601800528052</v>
      </c>
      <c r="W92" s="3">
        <f t="shared" si="70"/>
        <v>2.5876674160070019</v>
      </c>
      <c r="X92" s="3">
        <f t="shared" si="70"/>
        <v>6.2100388772536075</v>
      </c>
      <c r="Y92" s="3">
        <f t="shared" si="70"/>
        <v>1.0444407434215783</v>
      </c>
      <c r="Z92" s="3">
        <f t="shared" si="70"/>
        <v>0.35189486656639768</v>
      </c>
      <c r="AA92" s="3">
        <f t="shared" si="70"/>
        <v>0.33928484544965942</v>
      </c>
      <c r="AB92" s="3">
        <f t="shared" si="70"/>
        <v>1.3125027705548995</v>
      </c>
      <c r="AC92" s="3">
        <f t="shared" si="70"/>
        <v>0.15884093088053663</v>
      </c>
      <c r="AD92" s="3">
        <f t="shared" ref="AD92:AK92" si="71">AVERAGE(AD52:AD59)</f>
        <v>2.8151349763743307</v>
      </c>
      <c r="AE92" s="3">
        <f t="shared" si="71"/>
        <v>2.6465477942688982</v>
      </c>
      <c r="AF92" s="3">
        <f t="shared" si="71"/>
        <v>6.3385076898743993</v>
      </c>
      <c r="AG92" s="3">
        <f t="shared" si="71"/>
        <v>3.2272158447172923</v>
      </c>
      <c r="AH92" s="3">
        <f t="shared" si="71"/>
        <v>0.40228203331922197</v>
      </c>
      <c r="AI92" s="3">
        <f t="shared" si="71"/>
        <v>0.39175491584950239</v>
      </c>
      <c r="AJ92" s="3">
        <f t="shared" si="71"/>
        <v>1.591219963737589</v>
      </c>
      <c r="AK92" s="3">
        <f t="shared" si="71"/>
        <v>0.19263905584201343</v>
      </c>
    </row>
    <row r="93" spans="1:37" x14ac:dyDescent="0.25">
      <c r="B93" s="2" t="s">
        <v>5</v>
      </c>
      <c r="C93" s="3">
        <f>AVERAGE(C60:C64)*100</f>
        <v>469080</v>
      </c>
      <c r="D93" s="3">
        <f t="shared" ref="D93" si="72">AVERAGE(D60:D64)*100</f>
        <v>13580.000000000002</v>
      </c>
      <c r="E93" s="4"/>
      <c r="F93" s="3">
        <f>AVERAGE(F60:F64)*100</f>
        <v>26639.999999999996</v>
      </c>
      <c r="G93" s="3">
        <f t="shared" ref="G93" si="73">AVERAGE(G60:G64)*100</f>
        <v>4280</v>
      </c>
      <c r="H93" s="3"/>
      <c r="I93" s="4"/>
      <c r="J93" s="4"/>
      <c r="K93" s="4"/>
      <c r="V93" s="3">
        <f t="shared" ref="V93:AC93" si="74">AVERAGE(V60:V64)</f>
        <v>2.9777361556202604</v>
      </c>
      <c r="W93" s="3">
        <f t="shared" si="74"/>
        <v>2.4918158791243559</v>
      </c>
      <c r="X93" s="3">
        <f t="shared" si="74"/>
        <v>5.5334561144056975</v>
      </c>
      <c r="Y93" s="3">
        <f t="shared" si="74"/>
        <v>0.89451884188738906</v>
      </c>
      <c r="Z93" s="3">
        <f t="shared" si="74"/>
        <v>0.31893659164098354</v>
      </c>
      <c r="AA93" s="3">
        <f t="shared" si="74"/>
        <v>0.30416740097349237</v>
      </c>
      <c r="AB93" s="3">
        <f t="shared" si="74"/>
        <v>1.1624553488413292</v>
      </c>
      <c r="AC93" s="3">
        <f t="shared" si="74"/>
        <v>0.13642424394629982</v>
      </c>
      <c r="AD93" s="3">
        <f t="shared" ref="AD93:AK93" si="75">AVERAGE(AD60:AD64)</f>
        <v>3.0546222656189235</v>
      </c>
      <c r="AE93" s="3">
        <f t="shared" si="75"/>
        <v>2.5684743202202687</v>
      </c>
      <c r="AF93" s="3">
        <f t="shared" si="75"/>
        <v>5.616693486006513</v>
      </c>
      <c r="AG93" s="3">
        <f t="shared" si="75"/>
        <v>3.4268595862236344</v>
      </c>
      <c r="AH93" s="3">
        <f t="shared" si="75"/>
        <v>0.35462025595009578</v>
      </c>
      <c r="AI93" s="3">
        <f t="shared" si="75"/>
        <v>0.35431624911377896</v>
      </c>
      <c r="AJ93" s="3">
        <f t="shared" si="75"/>
        <v>1.3642136502118762</v>
      </c>
      <c r="AK93" s="3">
        <f t="shared" si="75"/>
        <v>0.14947430229584802</v>
      </c>
    </row>
    <row r="94" spans="1:37" x14ac:dyDescent="0.25">
      <c r="B94" s="2" t="s">
        <v>9</v>
      </c>
      <c r="C94" s="3">
        <f>AVERAGE(C65:C69)*100</f>
        <v>469080</v>
      </c>
      <c r="D94" s="3">
        <f t="shared" ref="D94" si="76">AVERAGE(D65:D69)*100</f>
        <v>13580.000000000002</v>
      </c>
      <c r="E94" s="4"/>
      <c r="F94" s="3">
        <f>AVERAGE(F65:F69)*100</f>
        <v>26639.999999999996</v>
      </c>
      <c r="G94" s="3">
        <f t="shared" ref="G94" si="77">AVERAGE(G65:G69)*100</f>
        <v>4280</v>
      </c>
      <c r="H94" s="3"/>
      <c r="I94" s="4"/>
      <c r="J94" s="4"/>
      <c r="K94" s="4"/>
      <c r="V94" s="3">
        <f t="shared" ref="V94:AC94" si="78">AVERAGE(V65:V69)</f>
        <v>2.9777361556202604</v>
      </c>
      <c r="W94" s="3">
        <f t="shared" si="78"/>
        <v>2.4918158791243559</v>
      </c>
      <c r="X94" s="3">
        <f t="shared" si="78"/>
        <v>5.5334561144056975</v>
      </c>
      <c r="Y94" s="3">
        <f t="shared" si="78"/>
        <v>0.89451884188738906</v>
      </c>
      <c r="Z94" s="3">
        <f t="shared" si="78"/>
        <v>0.31893659164098354</v>
      </c>
      <c r="AA94" s="3">
        <f t="shared" si="78"/>
        <v>0.30416740097349237</v>
      </c>
      <c r="AB94" s="3">
        <f t="shared" si="78"/>
        <v>1.1624553488413292</v>
      </c>
      <c r="AC94" s="3">
        <f t="shared" si="78"/>
        <v>0.13642424394629982</v>
      </c>
      <c r="AD94" s="3">
        <f t="shared" ref="AD94:AK94" si="79">AVERAGE(AD65:AD69)</f>
        <v>3.0546222656189235</v>
      </c>
      <c r="AE94" s="3">
        <f t="shared" si="79"/>
        <v>2.5684743202202687</v>
      </c>
      <c r="AF94" s="3">
        <f t="shared" si="79"/>
        <v>5.616693486006513</v>
      </c>
      <c r="AG94" s="3">
        <f t="shared" si="79"/>
        <v>3.4268595862236344</v>
      </c>
      <c r="AH94" s="3">
        <f t="shared" si="79"/>
        <v>0.35462025595009578</v>
      </c>
      <c r="AI94" s="3">
        <f t="shared" si="79"/>
        <v>0.35431624911377896</v>
      </c>
      <c r="AJ94" s="3">
        <f t="shared" si="79"/>
        <v>1.3642136502118762</v>
      </c>
      <c r="AK94" s="3">
        <f t="shared" si="79"/>
        <v>0.14947430229584802</v>
      </c>
    </row>
    <row r="95" spans="1:37" x14ac:dyDescent="0.25">
      <c r="B95" s="2" t="s">
        <v>6</v>
      </c>
      <c r="C95" s="3">
        <f>AVERAGE(C70:C77)*100</f>
        <v>658912.5</v>
      </c>
      <c r="D95" s="3">
        <f t="shared" ref="D95" si="80">AVERAGE(D70:D77)*100</f>
        <v>21762.5</v>
      </c>
      <c r="E95" s="4"/>
      <c r="F95" s="3">
        <f>AVERAGE(F70:F77)*100</f>
        <v>47737.5</v>
      </c>
      <c r="G95" s="3">
        <f t="shared" ref="G95" si="81">AVERAGE(G70:G77)*100</f>
        <v>9137.5</v>
      </c>
      <c r="H95" s="3"/>
      <c r="I95" s="4"/>
      <c r="J95" s="4"/>
      <c r="K95" s="4"/>
      <c r="V95" s="3">
        <f t="shared" ref="V95:AC95" si="82">AVERAGE(V70:V77)</f>
        <v>3.3501740840329948</v>
      </c>
      <c r="W95" s="3">
        <f t="shared" si="82"/>
        <v>2.9127641121497203</v>
      </c>
      <c r="X95" s="3">
        <f t="shared" si="82"/>
        <v>7.2826238785058246</v>
      </c>
      <c r="Y95" s="3">
        <f t="shared" si="82"/>
        <v>1.4016895169160781</v>
      </c>
      <c r="Z95" s="3">
        <f t="shared" si="82"/>
        <v>0.64525049986719463</v>
      </c>
      <c r="AA95" s="3">
        <f t="shared" si="82"/>
        <v>0.53525426446916935</v>
      </c>
      <c r="AB95" s="3">
        <f t="shared" si="82"/>
        <v>1.7074347302899351</v>
      </c>
      <c r="AC95" s="3">
        <f t="shared" si="82"/>
        <v>0.30782924318245658</v>
      </c>
      <c r="AD95" s="3">
        <f t="shared" ref="AD95:AK95" si="83">AVERAGE(AD70:AD77)</f>
        <v>3.4579672301922098</v>
      </c>
      <c r="AE95" s="3">
        <f t="shared" si="83"/>
        <v>2.9695027170135346</v>
      </c>
      <c r="AF95" s="3">
        <f t="shared" si="83"/>
        <v>7.4419424313713467</v>
      </c>
      <c r="AG95" s="3">
        <f t="shared" si="83"/>
        <v>4.0492659571250478</v>
      </c>
      <c r="AH95" s="3">
        <f t="shared" si="83"/>
        <v>0.76108139168157629</v>
      </c>
      <c r="AI95" s="3">
        <f t="shared" si="83"/>
        <v>0.62807356134221304</v>
      </c>
      <c r="AJ95" s="3">
        <f t="shared" si="83"/>
        <v>2.0741859924765578</v>
      </c>
      <c r="AK95" s="3">
        <f t="shared" si="83"/>
        <v>0.36425160553907981</v>
      </c>
    </row>
    <row r="96" spans="1:37" x14ac:dyDescent="0.25">
      <c r="B96" s="2" t="s">
        <v>7</v>
      </c>
      <c r="C96" s="3">
        <f>AVERAGE(C78:C85)*100</f>
        <v>658912.5</v>
      </c>
      <c r="D96" s="3">
        <f t="shared" ref="D96" si="84">AVERAGE(D78:D85)*100</f>
        <v>21762.5</v>
      </c>
      <c r="E96" s="4"/>
      <c r="F96" s="3">
        <f>AVERAGE(F78:F85)*100</f>
        <v>47737.5</v>
      </c>
      <c r="G96" s="3">
        <f t="shared" ref="G96" si="85">AVERAGE(G78:G85)*100</f>
        <v>9137.5</v>
      </c>
      <c r="H96" s="3"/>
      <c r="I96" s="4"/>
      <c r="J96" s="4"/>
      <c r="K96" s="4"/>
      <c r="V96" s="3">
        <f t="shared" ref="V96:AC96" si="86">AVERAGE(V78:V85)</f>
        <v>3.3501740840329948</v>
      </c>
      <c r="W96" s="3">
        <f t="shared" si="86"/>
        <v>2.9127641121497203</v>
      </c>
      <c r="X96" s="3">
        <f t="shared" si="86"/>
        <v>7.2826238785058246</v>
      </c>
      <c r="Y96" s="3">
        <f t="shared" si="86"/>
        <v>1.4016895169160781</v>
      </c>
      <c r="Z96" s="3">
        <f t="shared" si="86"/>
        <v>0.64525049986719463</v>
      </c>
      <c r="AA96" s="3">
        <f t="shared" si="86"/>
        <v>0.53525426446916935</v>
      </c>
      <c r="AB96" s="3">
        <f t="shared" si="86"/>
        <v>1.7074347302899351</v>
      </c>
      <c r="AC96" s="3">
        <f t="shared" si="86"/>
        <v>0.30782924318245658</v>
      </c>
      <c r="AD96" s="3">
        <f t="shared" ref="AD96:AK96" si="87">AVERAGE(AD78:AD85)</f>
        <v>3.4579672301922098</v>
      </c>
      <c r="AE96" s="3">
        <f t="shared" si="87"/>
        <v>2.9695027170135346</v>
      </c>
      <c r="AF96" s="3">
        <f t="shared" si="87"/>
        <v>7.4419424313713467</v>
      </c>
      <c r="AG96" s="3">
        <f t="shared" si="87"/>
        <v>4.0492659571250478</v>
      </c>
      <c r="AH96" s="3">
        <f t="shared" si="87"/>
        <v>0.76108139168157629</v>
      </c>
      <c r="AI96" s="3">
        <f t="shared" si="87"/>
        <v>0.62807356134221304</v>
      </c>
      <c r="AJ96" s="3">
        <f t="shared" si="87"/>
        <v>2.0741859924765578</v>
      </c>
      <c r="AK96" s="3">
        <f t="shared" si="87"/>
        <v>0.36425160553907981</v>
      </c>
    </row>
    <row r="97" spans="3:37" ht="15.75" thickBot="1" x14ac:dyDescent="0.3">
      <c r="C97" s="4"/>
      <c r="D97" s="4"/>
      <c r="E97" s="4"/>
      <c r="F97" s="4"/>
      <c r="G97" s="4"/>
      <c r="H97" s="4"/>
      <c r="I97" s="4"/>
      <c r="J97" s="4"/>
      <c r="K97" s="4"/>
    </row>
    <row r="98" spans="3:37" x14ac:dyDescent="0.25">
      <c r="C98" s="4"/>
      <c r="D98" s="4"/>
      <c r="E98" s="4"/>
      <c r="F98" s="4"/>
      <c r="G98" s="4"/>
      <c r="H98" s="4"/>
      <c r="I98" s="4"/>
      <c r="J98" s="4"/>
      <c r="K98" s="4"/>
      <c r="V98" s="12">
        <f t="shared" ref="V98:AC98" si="88">TTEST(V3:V11,V12:V20,2,2)</f>
        <v>0.97330580343895834</v>
      </c>
      <c r="W98" s="12">
        <f t="shared" si="88"/>
        <v>0.80877095435193591</v>
      </c>
      <c r="X98" s="12">
        <f t="shared" si="88"/>
        <v>0.26439889099901964</v>
      </c>
      <c r="Y98" s="12">
        <f t="shared" si="88"/>
        <v>0.65481992914319576</v>
      </c>
      <c r="Z98" s="12">
        <f t="shared" si="88"/>
        <v>0.68075711963538865</v>
      </c>
      <c r="AA98" s="13">
        <f t="shared" si="88"/>
        <v>0.12506436605670679</v>
      </c>
      <c r="AB98" s="12">
        <f t="shared" si="88"/>
        <v>0.78096325654899412</v>
      </c>
      <c r="AC98" s="12">
        <f t="shared" si="88"/>
        <v>0.76382089998840219</v>
      </c>
      <c r="AD98" s="12">
        <f t="shared" ref="AD98:AK98" si="89">TTEST(AD3:AD11,AD12:AD20,2,2)</f>
        <v>0.97438366611704086</v>
      </c>
      <c r="AE98" s="12">
        <f t="shared" si="89"/>
        <v>0.81118403347506807</v>
      </c>
      <c r="AF98" s="12">
        <f t="shared" si="89"/>
        <v>0.26236082977355457</v>
      </c>
      <c r="AG98" s="12">
        <f t="shared" si="89"/>
        <v>0.89340741692753922</v>
      </c>
      <c r="AH98" s="12">
        <f t="shared" si="89"/>
        <v>0.68976572710654238</v>
      </c>
      <c r="AI98" s="12">
        <f t="shared" si="89"/>
        <v>8.8721678237414045E-2</v>
      </c>
      <c r="AJ98" s="12">
        <f t="shared" si="89"/>
        <v>0.61310942396106949</v>
      </c>
      <c r="AK98" s="12">
        <f t="shared" si="89"/>
        <v>0.71052682054253968</v>
      </c>
    </row>
    <row r="99" spans="3:37" x14ac:dyDescent="0.25">
      <c r="V99" s="12">
        <f t="shared" ref="V99:AC99" si="90">TTEST(V3:V11,V30:V40,2,2)</f>
        <v>1.6470311027075087E-2</v>
      </c>
      <c r="W99" s="12">
        <f t="shared" si="90"/>
        <v>0.43824601984826794</v>
      </c>
      <c r="X99" s="12">
        <f t="shared" si="90"/>
        <v>0.62797328468786295</v>
      </c>
      <c r="Y99" s="12">
        <f t="shared" si="90"/>
        <v>9.865914444928281E-2</v>
      </c>
      <c r="Z99" s="12">
        <f t="shared" si="90"/>
        <v>6.0390507166638276E-2</v>
      </c>
      <c r="AA99" s="14">
        <f t="shared" si="90"/>
        <v>0.77857346249215531</v>
      </c>
      <c r="AB99" s="12">
        <f t="shared" si="90"/>
        <v>0.78251024292522131</v>
      </c>
      <c r="AC99" s="12">
        <f t="shared" si="90"/>
        <v>0.4652201831375169</v>
      </c>
      <c r="AD99" s="12">
        <f t="shared" ref="AD99:AK99" si="91">TTEST(AD3:AD11,AD30:AD40,2,2)</f>
        <v>2.014529789150812E-2</v>
      </c>
      <c r="AE99" s="12">
        <f t="shared" si="91"/>
        <v>0.44595982371402854</v>
      </c>
      <c r="AF99" s="12">
        <f t="shared" si="91"/>
        <v>0.64336841513855036</v>
      </c>
      <c r="AG99" s="12">
        <f t="shared" si="91"/>
        <v>5.0847221456447695E-3</v>
      </c>
      <c r="AH99" s="12">
        <f t="shared" si="91"/>
        <v>9.26780910740376E-2</v>
      </c>
      <c r="AI99" s="12">
        <f t="shared" si="91"/>
        <v>0.80770017888010526</v>
      </c>
      <c r="AJ99" s="12">
        <f t="shared" si="91"/>
        <v>0.67919894484839105</v>
      </c>
      <c r="AK99" s="12">
        <f t="shared" si="91"/>
        <v>0.56805496763184105</v>
      </c>
    </row>
    <row r="100" spans="3:37" x14ac:dyDescent="0.25">
      <c r="V100" s="12">
        <f t="shared" ref="V100:AC100" si="92">TTEST(V12:V20,V30:V40,2,2)</f>
        <v>2.4095804121192613E-2</v>
      </c>
      <c r="W100" s="12">
        <f t="shared" si="92"/>
        <v>0.54879195657512225</v>
      </c>
      <c r="X100" s="12">
        <f t="shared" si="92"/>
        <v>0.14313955314589699</v>
      </c>
      <c r="Y100" s="12">
        <f t="shared" si="92"/>
        <v>4.9469428093070096E-2</v>
      </c>
      <c r="Z100" s="12">
        <f t="shared" si="92"/>
        <v>0.28366212680887415</v>
      </c>
      <c r="AA100" s="14">
        <f t="shared" si="92"/>
        <v>0.24601994123491133</v>
      </c>
      <c r="AB100" s="12">
        <f t="shared" si="92"/>
        <v>0.93115211910618745</v>
      </c>
      <c r="AC100" s="12">
        <f t="shared" si="92"/>
        <v>0.67434020801343819</v>
      </c>
      <c r="AD100" s="12">
        <f t="shared" ref="AD100:AK100" si="93">TTEST(AD12:AD20,AD30:AD40,2,2)</f>
        <v>2.7783488136915134E-2</v>
      </c>
      <c r="AE100" s="12">
        <f t="shared" si="93"/>
        <v>0.56089661705288663</v>
      </c>
      <c r="AF100" s="12">
        <f t="shared" si="93"/>
        <v>0.14763849832756373</v>
      </c>
      <c r="AG100" s="12">
        <f t="shared" si="93"/>
        <v>7.4367167711208255E-3</v>
      </c>
      <c r="AH100" s="12">
        <f t="shared" si="93"/>
        <v>0.34787437713680214</v>
      </c>
      <c r="AI100" s="12">
        <f t="shared" si="93"/>
        <v>0.22664304417066908</v>
      </c>
      <c r="AJ100" s="12">
        <f t="shared" si="93"/>
        <v>0.95425191620388938</v>
      </c>
      <c r="AK100" s="12">
        <f t="shared" si="93"/>
        <v>0.80188888665170821</v>
      </c>
    </row>
    <row r="101" spans="3:37" ht="15.75" thickBot="1" x14ac:dyDescent="0.3">
      <c r="V101" s="12">
        <f t="shared" ref="V101:AC101" si="94">TTEST(V12:V20,V41:V51,2,2)</f>
        <v>2.4095804121192613E-2</v>
      </c>
      <c r="W101" s="12">
        <f t="shared" si="94"/>
        <v>0.54879195657512225</v>
      </c>
      <c r="X101" s="12">
        <f t="shared" si="94"/>
        <v>0.14313955314589699</v>
      </c>
      <c r="Y101" s="12">
        <f t="shared" si="94"/>
        <v>4.9469428093070096E-2</v>
      </c>
      <c r="Z101" s="12">
        <f t="shared" si="94"/>
        <v>0.28366212680887415</v>
      </c>
      <c r="AA101" s="15">
        <f t="shared" si="94"/>
        <v>0.24601994123491133</v>
      </c>
      <c r="AB101" s="12">
        <f t="shared" si="94"/>
        <v>0.93115211910618745</v>
      </c>
      <c r="AC101" s="12">
        <f t="shared" si="94"/>
        <v>0.67434020801343819</v>
      </c>
      <c r="AD101" s="12">
        <f t="shared" ref="AD101:AK101" si="95">TTEST(AD12:AD20,AD41:AD51,2,2)</f>
        <v>2.7783488136915134E-2</v>
      </c>
      <c r="AE101" s="12">
        <f t="shared" si="95"/>
        <v>0.56089661705288663</v>
      </c>
      <c r="AF101" s="12">
        <f t="shared" si="95"/>
        <v>0.14763849832756373</v>
      </c>
      <c r="AG101" s="12">
        <f t="shared" si="95"/>
        <v>7.4367167711208255E-3</v>
      </c>
      <c r="AH101" s="12">
        <f t="shared" si="95"/>
        <v>0.34787437713680214</v>
      </c>
      <c r="AI101" s="12">
        <f t="shared" si="95"/>
        <v>0.22664304417066908</v>
      </c>
      <c r="AJ101" s="12">
        <f t="shared" si="95"/>
        <v>0.95425191620388938</v>
      </c>
      <c r="AK101" s="12">
        <f t="shared" si="95"/>
        <v>0.80188888665170821</v>
      </c>
    </row>
    <row r="102" spans="3:37" x14ac:dyDescent="0.25"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</row>
    <row r="103" spans="3:37" x14ac:dyDescent="0.25">
      <c r="V103" s="12">
        <f t="shared" ref="V103:AC103" si="96">TTEST(V52:V59,V70:V77,2,2)</f>
        <v>6.5392207322072307E-2</v>
      </c>
      <c r="W103" s="12">
        <f t="shared" si="96"/>
        <v>0.33480910418400056</v>
      </c>
      <c r="X103" s="12">
        <f t="shared" si="96"/>
        <v>0.20875340998536943</v>
      </c>
      <c r="Y103" s="12">
        <f t="shared" si="96"/>
        <v>0.11567159030227102</v>
      </c>
      <c r="Z103" s="12">
        <f t="shared" si="96"/>
        <v>2.013861782529747E-2</v>
      </c>
      <c r="AA103" s="12">
        <f t="shared" si="96"/>
        <v>4.7256981094482932E-2</v>
      </c>
      <c r="AB103" s="12">
        <f t="shared" si="96"/>
        <v>0.11716783729617135</v>
      </c>
      <c r="AC103" s="12">
        <f t="shared" si="96"/>
        <v>4.4530618907407511E-2</v>
      </c>
      <c r="AD103" s="12">
        <f t="shared" ref="AD103:AK103" si="97">TTEST(AD52:AD59,AD70:AD77,2,2)</f>
        <v>6.8974153754263565E-2</v>
      </c>
      <c r="AE103" s="12">
        <f t="shared" si="97"/>
        <v>0.34979126345401024</v>
      </c>
      <c r="AF103" s="12">
        <f t="shared" si="97"/>
        <v>0.20107925292826506</v>
      </c>
      <c r="AG103" s="12">
        <f t="shared" si="97"/>
        <v>4.4653895831857159E-2</v>
      </c>
      <c r="AH103" s="12">
        <f t="shared" si="97"/>
        <v>2.6690058947426341E-2</v>
      </c>
      <c r="AI103" s="12">
        <f t="shared" si="97"/>
        <v>6.8482394649835923E-2</v>
      </c>
      <c r="AJ103" s="12">
        <f t="shared" si="97"/>
        <v>0.16490214352357579</v>
      </c>
      <c r="AK103" s="12">
        <f t="shared" si="97"/>
        <v>7.1137088814112001E-2</v>
      </c>
    </row>
  </sheetData>
  <mergeCells count="14">
    <mergeCell ref="L1:S1"/>
    <mergeCell ref="V1:AC1"/>
    <mergeCell ref="AD1:AK1"/>
    <mergeCell ref="A78:A85"/>
    <mergeCell ref="A3:A11"/>
    <mergeCell ref="A12:A20"/>
    <mergeCell ref="A21:A29"/>
    <mergeCell ref="A30:A40"/>
    <mergeCell ref="A41:A51"/>
    <mergeCell ref="A52:A59"/>
    <mergeCell ref="A60:A64"/>
    <mergeCell ref="A65:A69"/>
    <mergeCell ref="A70:A77"/>
    <mergeCell ref="D1:K1"/>
  </mergeCells>
  <conditionalFormatting sqref="V98:AK101 V103:AK103">
    <cfRule type="cellIs" dxfId="3" priority="1" operator="lessThan">
      <formula>0.05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3"/>
  <sheetViews>
    <sheetView topLeftCell="A79" workbookViewId="0">
      <selection activeCell="F112" sqref="F112"/>
    </sheetView>
  </sheetViews>
  <sheetFormatPr baseColWidth="10" defaultColWidth="9.140625" defaultRowHeight="15" x14ac:dyDescent="0.25"/>
  <cols>
    <col min="2" max="2" width="24.140625" bestFit="1" customWidth="1"/>
    <col min="10" max="10" width="14.42578125" bestFit="1" customWidth="1"/>
    <col min="22" max="22" width="10.42578125" bestFit="1" customWidth="1"/>
    <col min="23" max="24" width="10.28515625" bestFit="1" customWidth="1"/>
    <col min="25" max="25" width="6.140625" bestFit="1" customWidth="1"/>
    <col min="26" max="27" width="10.140625" customWidth="1"/>
    <col min="28" max="28" width="10" customWidth="1"/>
    <col min="29" max="29" width="7.5703125" customWidth="1"/>
  </cols>
  <sheetData>
    <row r="1" spans="1:37" x14ac:dyDescent="0.25">
      <c r="D1" s="16" t="s">
        <v>68</v>
      </c>
      <c r="E1" s="16"/>
      <c r="F1" s="16"/>
      <c r="G1" s="16"/>
      <c r="H1" s="16"/>
      <c r="I1" s="16"/>
      <c r="J1" s="16"/>
      <c r="K1" s="16"/>
      <c r="L1" s="16" t="s">
        <v>69</v>
      </c>
      <c r="M1" s="16"/>
      <c r="N1" s="16"/>
      <c r="O1" s="16"/>
      <c r="P1" s="16"/>
      <c r="Q1" s="16"/>
      <c r="R1" s="16"/>
      <c r="S1" s="16"/>
      <c r="V1" s="16" t="s">
        <v>68</v>
      </c>
      <c r="W1" s="16"/>
      <c r="X1" s="16"/>
      <c r="Y1" s="16"/>
      <c r="Z1" s="16"/>
      <c r="AA1" s="16"/>
      <c r="AB1" s="16"/>
      <c r="AC1" s="16"/>
      <c r="AD1" s="16" t="s">
        <v>69</v>
      </c>
      <c r="AE1" s="16"/>
      <c r="AF1" s="16"/>
      <c r="AG1" s="16"/>
      <c r="AH1" s="16"/>
      <c r="AI1" s="16"/>
      <c r="AJ1" s="16"/>
      <c r="AK1" s="16"/>
    </row>
    <row r="2" spans="1:37" ht="45" x14ac:dyDescent="0.25">
      <c r="C2" s="6" t="s">
        <v>70</v>
      </c>
      <c r="D2" s="6" t="s">
        <v>71</v>
      </c>
      <c r="E2" s="6" t="s">
        <v>72</v>
      </c>
      <c r="F2" s="6" t="s">
        <v>73</v>
      </c>
      <c r="G2" s="6" t="s">
        <v>74</v>
      </c>
      <c r="H2" s="6" t="s">
        <v>75</v>
      </c>
      <c r="I2" s="6" t="s">
        <v>76</v>
      </c>
      <c r="J2" s="6" t="s">
        <v>77</v>
      </c>
      <c r="K2" s="6" t="s">
        <v>78</v>
      </c>
      <c r="L2" s="6" t="s">
        <v>71</v>
      </c>
      <c r="M2" s="6" t="s">
        <v>72</v>
      </c>
      <c r="N2" s="6" t="s">
        <v>73</v>
      </c>
      <c r="O2" s="6" t="s">
        <v>74</v>
      </c>
      <c r="P2" s="6" t="s">
        <v>75</v>
      </c>
      <c r="Q2" s="6" t="s">
        <v>76</v>
      </c>
      <c r="R2" s="6" t="s">
        <v>77</v>
      </c>
      <c r="S2" s="6" t="s">
        <v>78</v>
      </c>
      <c r="V2" s="6" t="s">
        <v>71</v>
      </c>
      <c r="W2" s="6" t="s">
        <v>72</v>
      </c>
      <c r="X2" s="6" t="s">
        <v>73</v>
      </c>
      <c r="Y2" s="6" t="s">
        <v>74</v>
      </c>
      <c r="Z2" s="6" t="s">
        <v>75</v>
      </c>
      <c r="AA2" s="6" t="s">
        <v>76</v>
      </c>
      <c r="AB2" s="6" t="s">
        <v>77</v>
      </c>
      <c r="AC2" s="6" t="s">
        <v>78</v>
      </c>
      <c r="AD2" s="6" t="s">
        <v>71</v>
      </c>
      <c r="AE2" s="6" t="s">
        <v>72</v>
      </c>
      <c r="AF2" s="6" t="s">
        <v>73</v>
      </c>
      <c r="AG2" s="6" t="s">
        <v>74</v>
      </c>
      <c r="AH2" s="6" t="s">
        <v>75</v>
      </c>
      <c r="AI2" s="6" t="s">
        <v>76</v>
      </c>
      <c r="AJ2" s="6" t="s">
        <v>77</v>
      </c>
      <c r="AK2" s="6" t="s">
        <v>78</v>
      </c>
    </row>
    <row r="3" spans="1:37" x14ac:dyDescent="0.25">
      <c r="A3" s="17" t="s">
        <v>60</v>
      </c>
      <c r="B3" t="s">
        <v>10</v>
      </c>
      <c r="C3" s="1">
        <v>1355</v>
      </c>
      <c r="D3" s="1">
        <v>83</v>
      </c>
      <c r="E3">
        <v>61</v>
      </c>
      <c r="F3" s="1">
        <v>84</v>
      </c>
      <c r="G3" s="1">
        <v>29</v>
      </c>
      <c r="H3" s="5">
        <v>13</v>
      </c>
      <c r="I3">
        <v>8</v>
      </c>
      <c r="J3">
        <v>14</v>
      </c>
      <c r="K3">
        <v>3</v>
      </c>
      <c r="L3">
        <v>85</v>
      </c>
      <c r="M3">
        <v>62</v>
      </c>
      <c r="N3">
        <v>86</v>
      </c>
      <c r="O3">
        <v>101</v>
      </c>
      <c r="P3">
        <v>14</v>
      </c>
      <c r="Q3">
        <v>10</v>
      </c>
      <c r="R3">
        <v>18</v>
      </c>
      <c r="S3">
        <v>4</v>
      </c>
      <c r="V3" s="7">
        <f t="shared" ref="V3:AK18" si="0">(D3/$C3)*100</f>
        <v>6.1254612546125466</v>
      </c>
      <c r="W3" s="7">
        <f t="shared" si="0"/>
        <v>4.5018450184501848</v>
      </c>
      <c r="X3" s="7">
        <f t="shared" si="0"/>
        <v>6.1992619926199266</v>
      </c>
      <c r="Y3" s="7">
        <f t="shared" si="0"/>
        <v>2.1402214022140225</v>
      </c>
      <c r="Z3" s="7">
        <f t="shared" si="0"/>
        <v>0.95940959409594095</v>
      </c>
      <c r="AA3" s="7">
        <f t="shared" si="0"/>
        <v>0.59040590405904059</v>
      </c>
      <c r="AB3" s="7">
        <f t="shared" si="0"/>
        <v>1.033210332103321</v>
      </c>
      <c r="AC3" s="7">
        <f t="shared" si="0"/>
        <v>0.22140221402214022</v>
      </c>
      <c r="AD3" s="7">
        <f t="shared" si="0"/>
        <v>6.2730627306273057</v>
      </c>
      <c r="AE3" s="7">
        <f t="shared" si="0"/>
        <v>4.5756457564575648</v>
      </c>
      <c r="AF3" s="7">
        <f t="shared" si="0"/>
        <v>6.3468634686346865</v>
      </c>
      <c r="AG3" s="7">
        <f t="shared" si="0"/>
        <v>7.4538745387453877</v>
      </c>
      <c r="AH3" s="7">
        <f t="shared" si="0"/>
        <v>1.033210332103321</v>
      </c>
      <c r="AI3" s="7">
        <f t="shared" si="0"/>
        <v>0.73800738007380073</v>
      </c>
      <c r="AJ3" s="7">
        <f t="shared" si="0"/>
        <v>1.3284132841328413</v>
      </c>
      <c r="AK3" s="7">
        <f t="shared" si="0"/>
        <v>0.29520295202952029</v>
      </c>
    </row>
    <row r="4" spans="1:37" x14ac:dyDescent="0.25">
      <c r="A4" s="17"/>
      <c r="B4" t="s">
        <v>11</v>
      </c>
      <c r="C4" s="1">
        <v>2522</v>
      </c>
      <c r="D4" s="1">
        <v>129</v>
      </c>
      <c r="E4">
        <v>76</v>
      </c>
      <c r="F4" s="1">
        <v>158</v>
      </c>
      <c r="G4" s="1">
        <v>43</v>
      </c>
      <c r="H4" s="5">
        <v>17</v>
      </c>
      <c r="I4">
        <v>13</v>
      </c>
      <c r="J4">
        <v>24</v>
      </c>
      <c r="K4">
        <v>5</v>
      </c>
      <c r="L4">
        <v>133</v>
      </c>
      <c r="M4">
        <v>80</v>
      </c>
      <c r="N4">
        <v>163</v>
      </c>
      <c r="O4">
        <v>160</v>
      </c>
      <c r="P4">
        <v>17</v>
      </c>
      <c r="Q4">
        <v>14</v>
      </c>
      <c r="R4">
        <v>25</v>
      </c>
      <c r="S4">
        <v>5</v>
      </c>
      <c r="V4" s="7">
        <f t="shared" si="0"/>
        <v>5.1149881046788259</v>
      </c>
      <c r="W4" s="7">
        <f t="shared" si="0"/>
        <v>3.0134813639968279</v>
      </c>
      <c r="X4" s="7">
        <f t="shared" si="0"/>
        <v>6.2648691514670896</v>
      </c>
      <c r="Y4" s="7">
        <f t="shared" si="0"/>
        <v>1.704996034892942</v>
      </c>
      <c r="Z4" s="7">
        <f t="shared" si="0"/>
        <v>0.67406819984139577</v>
      </c>
      <c r="AA4" s="7">
        <f t="shared" si="0"/>
        <v>0.51546391752577314</v>
      </c>
      <c r="AB4" s="7">
        <f t="shared" si="0"/>
        <v>0.95162569389373508</v>
      </c>
      <c r="AC4" s="7">
        <f t="shared" si="0"/>
        <v>0.19825535289452814</v>
      </c>
      <c r="AD4" s="7">
        <f t="shared" si="0"/>
        <v>5.2735923869944488</v>
      </c>
      <c r="AE4" s="7">
        <f t="shared" si="0"/>
        <v>3.1720856463124503</v>
      </c>
      <c r="AF4" s="7">
        <f t="shared" si="0"/>
        <v>6.4631245043616188</v>
      </c>
      <c r="AG4" s="7">
        <f t="shared" si="0"/>
        <v>6.3441712926249005</v>
      </c>
      <c r="AH4" s="7">
        <f t="shared" si="0"/>
        <v>0.67406819984139577</v>
      </c>
      <c r="AI4" s="7">
        <f t="shared" si="0"/>
        <v>0.55511498810467885</v>
      </c>
      <c r="AJ4" s="7">
        <f t="shared" si="0"/>
        <v>0.99127676447264068</v>
      </c>
      <c r="AK4" s="7">
        <f t="shared" si="0"/>
        <v>0.19825535289452814</v>
      </c>
    </row>
    <row r="5" spans="1:37" x14ac:dyDescent="0.25">
      <c r="A5" s="17"/>
      <c r="B5" t="s">
        <v>12</v>
      </c>
      <c r="C5" s="1">
        <v>6198</v>
      </c>
      <c r="D5" s="1">
        <v>321</v>
      </c>
      <c r="E5">
        <v>224</v>
      </c>
      <c r="F5" s="1">
        <v>292</v>
      </c>
      <c r="G5" s="1">
        <v>105</v>
      </c>
      <c r="H5" s="5">
        <v>49</v>
      </c>
      <c r="I5">
        <v>36</v>
      </c>
      <c r="J5">
        <v>70</v>
      </c>
      <c r="K5">
        <v>19</v>
      </c>
      <c r="L5">
        <v>326</v>
      </c>
      <c r="M5">
        <v>229</v>
      </c>
      <c r="N5">
        <v>298</v>
      </c>
      <c r="O5">
        <v>370</v>
      </c>
      <c r="P5">
        <v>57</v>
      </c>
      <c r="Q5">
        <v>41</v>
      </c>
      <c r="R5">
        <v>88</v>
      </c>
      <c r="S5">
        <v>21</v>
      </c>
      <c r="V5" s="7">
        <f t="shared" si="0"/>
        <v>5.1790900290416264</v>
      </c>
      <c r="W5" s="7">
        <f t="shared" si="0"/>
        <v>3.6140690545337204</v>
      </c>
      <c r="X5" s="7">
        <f t="shared" si="0"/>
        <v>4.7111971603743141</v>
      </c>
      <c r="Y5" s="7">
        <f t="shared" si="0"/>
        <v>1.6940948693126814</v>
      </c>
      <c r="Z5" s="7">
        <f t="shared" si="0"/>
        <v>0.79057760567925128</v>
      </c>
      <c r="AA5" s="7">
        <f t="shared" si="0"/>
        <v>0.58083252662149087</v>
      </c>
      <c r="AB5" s="7">
        <f t="shared" si="0"/>
        <v>1.1293965795417877</v>
      </c>
      <c r="AC5" s="7">
        <f t="shared" si="0"/>
        <v>0.30655050016134239</v>
      </c>
      <c r="AD5" s="7">
        <f t="shared" si="0"/>
        <v>5.2597612132946114</v>
      </c>
      <c r="AE5" s="7">
        <f t="shared" si="0"/>
        <v>3.6947402387867054</v>
      </c>
      <c r="AF5" s="7">
        <f t="shared" si="0"/>
        <v>4.8080025814778962</v>
      </c>
      <c r="AG5" s="7">
        <f t="shared" si="0"/>
        <v>5.9696676347208779</v>
      </c>
      <c r="AH5" s="7">
        <f t="shared" si="0"/>
        <v>0.91965150048402711</v>
      </c>
      <c r="AI5" s="7">
        <f t="shared" si="0"/>
        <v>0.66150371087447557</v>
      </c>
      <c r="AJ5" s="7">
        <f t="shared" si="0"/>
        <v>1.419812842852533</v>
      </c>
      <c r="AK5" s="7">
        <f t="shared" si="0"/>
        <v>0.33881897386253629</v>
      </c>
    </row>
    <row r="6" spans="1:37" x14ac:dyDescent="0.25">
      <c r="A6" s="17"/>
      <c r="B6" t="s">
        <v>13</v>
      </c>
      <c r="C6" s="1">
        <v>5774</v>
      </c>
      <c r="D6" s="1">
        <v>399</v>
      </c>
      <c r="E6">
        <v>299</v>
      </c>
      <c r="F6" s="1">
        <v>608</v>
      </c>
      <c r="G6" s="1">
        <v>207</v>
      </c>
      <c r="H6" s="5">
        <v>68</v>
      </c>
      <c r="I6">
        <v>65</v>
      </c>
      <c r="J6">
        <v>142</v>
      </c>
      <c r="K6">
        <v>46</v>
      </c>
      <c r="L6">
        <v>407</v>
      </c>
      <c r="M6">
        <v>306</v>
      </c>
      <c r="N6">
        <v>621</v>
      </c>
      <c r="O6">
        <v>494</v>
      </c>
      <c r="P6">
        <v>73</v>
      </c>
      <c r="Q6">
        <v>71</v>
      </c>
      <c r="R6">
        <v>157</v>
      </c>
      <c r="S6">
        <v>50</v>
      </c>
      <c r="V6" s="7">
        <f t="shared" si="0"/>
        <v>6.9102874956702465</v>
      </c>
      <c r="W6" s="7">
        <f t="shared" si="0"/>
        <v>5.1783858676827155</v>
      </c>
      <c r="X6" s="7">
        <f t="shared" si="0"/>
        <v>10.529961898164185</v>
      </c>
      <c r="Y6" s="7">
        <f t="shared" si="0"/>
        <v>3.5850363699341878</v>
      </c>
      <c r="Z6" s="7">
        <f t="shared" si="0"/>
        <v>1.1776931070315206</v>
      </c>
      <c r="AA6" s="7">
        <f t="shared" si="0"/>
        <v>1.1257360581918947</v>
      </c>
      <c r="AB6" s="7">
        <f t="shared" si="0"/>
        <v>2.4593003117422931</v>
      </c>
      <c r="AC6" s="7">
        <f t="shared" si="0"/>
        <v>0.79667474887426404</v>
      </c>
      <c r="AD6" s="7">
        <f t="shared" si="0"/>
        <v>7.0488396259092481</v>
      </c>
      <c r="AE6" s="7">
        <f t="shared" si="0"/>
        <v>5.2996189816418422</v>
      </c>
      <c r="AF6" s="7">
        <f t="shared" si="0"/>
        <v>10.755109109802563</v>
      </c>
      <c r="AG6" s="7">
        <f t="shared" si="0"/>
        <v>8.5555940422583987</v>
      </c>
      <c r="AH6" s="7">
        <f t="shared" si="0"/>
        <v>1.2642881884308972</v>
      </c>
      <c r="AI6" s="7">
        <f t="shared" si="0"/>
        <v>1.2296501558711466</v>
      </c>
      <c r="AJ6" s="7">
        <f t="shared" si="0"/>
        <v>2.7190855559404223</v>
      </c>
      <c r="AK6" s="7">
        <f t="shared" si="0"/>
        <v>0.86595081399376517</v>
      </c>
    </row>
    <row r="7" spans="1:37" x14ac:dyDescent="0.25">
      <c r="A7" s="17"/>
      <c r="B7" t="s">
        <v>14</v>
      </c>
      <c r="C7" s="1">
        <v>5812</v>
      </c>
      <c r="D7" s="1">
        <v>291</v>
      </c>
      <c r="E7">
        <v>241</v>
      </c>
      <c r="F7" s="1">
        <v>285</v>
      </c>
      <c r="G7" s="1">
        <v>103</v>
      </c>
      <c r="H7" s="5">
        <v>29</v>
      </c>
      <c r="I7">
        <v>28</v>
      </c>
      <c r="J7">
        <v>24</v>
      </c>
      <c r="K7">
        <v>12</v>
      </c>
      <c r="L7">
        <v>297</v>
      </c>
      <c r="M7">
        <v>243</v>
      </c>
      <c r="N7">
        <v>290</v>
      </c>
      <c r="O7">
        <v>344</v>
      </c>
      <c r="P7">
        <v>31</v>
      </c>
      <c r="Q7">
        <v>28</v>
      </c>
      <c r="R7">
        <v>24</v>
      </c>
      <c r="S7">
        <v>12</v>
      </c>
      <c r="V7" s="7">
        <f t="shared" si="0"/>
        <v>5.0068823124569857</v>
      </c>
      <c r="W7" s="7">
        <f t="shared" si="0"/>
        <v>4.1465932553337925</v>
      </c>
      <c r="X7" s="7">
        <f t="shared" si="0"/>
        <v>4.9036476256022024</v>
      </c>
      <c r="Y7" s="7">
        <f t="shared" si="0"/>
        <v>1.7721954576737784</v>
      </c>
      <c r="Z7" s="7">
        <f t="shared" si="0"/>
        <v>0.49896765313145219</v>
      </c>
      <c r="AA7" s="7">
        <f t="shared" si="0"/>
        <v>0.48176187198898829</v>
      </c>
      <c r="AB7" s="7">
        <f t="shared" si="0"/>
        <v>0.41293874741913283</v>
      </c>
      <c r="AC7" s="7">
        <f t="shared" si="0"/>
        <v>0.20646937370956642</v>
      </c>
      <c r="AD7" s="7">
        <f t="shared" si="0"/>
        <v>5.110116999311769</v>
      </c>
      <c r="AE7" s="7">
        <f t="shared" si="0"/>
        <v>4.18100481761872</v>
      </c>
      <c r="AF7" s="7">
        <f t="shared" si="0"/>
        <v>4.9896765313145215</v>
      </c>
      <c r="AG7" s="7">
        <f t="shared" si="0"/>
        <v>5.9187887130075705</v>
      </c>
      <c r="AH7" s="7">
        <f t="shared" si="0"/>
        <v>0.53337921541637989</v>
      </c>
      <c r="AI7" s="7">
        <f t="shared" si="0"/>
        <v>0.48176187198898829</v>
      </c>
      <c r="AJ7" s="7">
        <f t="shared" si="0"/>
        <v>0.41293874741913283</v>
      </c>
      <c r="AK7" s="7">
        <f t="shared" si="0"/>
        <v>0.20646937370956642</v>
      </c>
    </row>
    <row r="8" spans="1:37" x14ac:dyDescent="0.25">
      <c r="A8" s="17"/>
      <c r="B8" t="s">
        <v>15</v>
      </c>
      <c r="C8" s="1">
        <v>4859</v>
      </c>
      <c r="D8" s="1">
        <v>244</v>
      </c>
      <c r="E8">
        <v>177</v>
      </c>
      <c r="F8" s="1">
        <v>563</v>
      </c>
      <c r="G8" s="1">
        <v>114</v>
      </c>
      <c r="H8" s="5">
        <v>38</v>
      </c>
      <c r="I8">
        <v>18</v>
      </c>
      <c r="J8">
        <v>73</v>
      </c>
      <c r="K8">
        <v>18</v>
      </c>
      <c r="L8">
        <v>250</v>
      </c>
      <c r="M8">
        <v>182</v>
      </c>
      <c r="N8">
        <v>575</v>
      </c>
      <c r="O8">
        <v>295</v>
      </c>
      <c r="P8">
        <v>40</v>
      </c>
      <c r="Q8">
        <v>18</v>
      </c>
      <c r="R8">
        <v>81</v>
      </c>
      <c r="S8">
        <v>18</v>
      </c>
      <c r="V8" s="7">
        <f t="shared" si="0"/>
        <v>5.0216093846470464</v>
      </c>
      <c r="W8" s="7">
        <f t="shared" si="0"/>
        <v>3.6427248405021611</v>
      </c>
      <c r="X8" s="7">
        <f t="shared" si="0"/>
        <v>11.586746244083145</v>
      </c>
      <c r="Y8" s="7">
        <f t="shared" si="0"/>
        <v>2.3461617616793577</v>
      </c>
      <c r="Z8" s="7">
        <f t="shared" si="0"/>
        <v>0.78205392055978595</v>
      </c>
      <c r="AA8" s="7">
        <f t="shared" si="0"/>
        <v>0.37044659394937229</v>
      </c>
      <c r="AB8" s="7">
        <f t="shared" si="0"/>
        <v>1.5023667421280098</v>
      </c>
      <c r="AC8" s="7">
        <f t="shared" si="0"/>
        <v>0.37044659394937229</v>
      </c>
      <c r="AD8" s="7">
        <f t="shared" si="0"/>
        <v>5.1450915826301706</v>
      </c>
      <c r="AE8" s="7">
        <f t="shared" si="0"/>
        <v>3.7456266721547644</v>
      </c>
      <c r="AF8" s="7">
        <f t="shared" si="0"/>
        <v>11.833710640049393</v>
      </c>
      <c r="AG8" s="7">
        <f t="shared" si="0"/>
        <v>6.0712080675036013</v>
      </c>
      <c r="AH8" s="7">
        <f t="shared" si="0"/>
        <v>0.82321465322082732</v>
      </c>
      <c r="AI8" s="7">
        <f t="shared" si="0"/>
        <v>0.37044659394937229</v>
      </c>
      <c r="AJ8" s="7">
        <f t="shared" si="0"/>
        <v>1.6670096727721753</v>
      </c>
      <c r="AK8" s="7">
        <f t="shared" si="0"/>
        <v>0.37044659394937229</v>
      </c>
    </row>
    <row r="9" spans="1:37" x14ac:dyDescent="0.25">
      <c r="A9" s="17"/>
      <c r="B9" t="s">
        <v>16</v>
      </c>
      <c r="C9" s="1">
        <v>4503</v>
      </c>
      <c r="D9" s="1">
        <v>181</v>
      </c>
      <c r="E9">
        <v>132</v>
      </c>
      <c r="F9" s="1">
        <v>343</v>
      </c>
      <c r="G9" s="1">
        <v>64</v>
      </c>
      <c r="H9" s="5">
        <v>22</v>
      </c>
      <c r="I9">
        <v>21</v>
      </c>
      <c r="J9">
        <v>57</v>
      </c>
      <c r="K9">
        <v>9</v>
      </c>
      <c r="L9">
        <v>186</v>
      </c>
      <c r="M9">
        <v>137</v>
      </c>
      <c r="N9">
        <v>351</v>
      </c>
      <c r="O9">
        <v>222</v>
      </c>
      <c r="P9">
        <v>28</v>
      </c>
      <c r="Q9">
        <v>24</v>
      </c>
      <c r="R9">
        <v>64</v>
      </c>
      <c r="S9">
        <v>12</v>
      </c>
      <c r="V9" s="7">
        <f t="shared" si="0"/>
        <v>4.0195425272040861</v>
      </c>
      <c r="W9" s="7">
        <f t="shared" si="0"/>
        <v>2.9313790806129245</v>
      </c>
      <c r="X9" s="7">
        <f t="shared" si="0"/>
        <v>7.6171441261381299</v>
      </c>
      <c r="Y9" s="7">
        <f t="shared" si="0"/>
        <v>1.421274705751721</v>
      </c>
      <c r="Z9" s="7">
        <f t="shared" si="0"/>
        <v>0.4885631801021541</v>
      </c>
      <c r="AA9" s="7">
        <f t="shared" si="0"/>
        <v>0.46635576282478342</v>
      </c>
      <c r="AB9" s="7">
        <f t="shared" si="0"/>
        <v>1.2658227848101267</v>
      </c>
      <c r="AC9" s="7">
        <f t="shared" si="0"/>
        <v>0.19986675549633579</v>
      </c>
      <c r="AD9" s="7">
        <f t="shared" si="0"/>
        <v>4.1305796135909389</v>
      </c>
      <c r="AE9" s="7">
        <f t="shared" si="0"/>
        <v>3.0424161669997778</v>
      </c>
      <c r="AF9" s="7">
        <f t="shared" si="0"/>
        <v>7.7948034643570949</v>
      </c>
      <c r="AG9" s="7">
        <f t="shared" si="0"/>
        <v>4.9300466355762822</v>
      </c>
      <c r="AH9" s="7">
        <f t="shared" si="0"/>
        <v>0.62180768376637796</v>
      </c>
      <c r="AI9" s="7">
        <f t="shared" si="0"/>
        <v>0.53297801465689543</v>
      </c>
      <c r="AJ9" s="7">
        <f t="shared" si="0"/>
        <v>1.421274705751721</v>
      </c>
      <c r="AK9" s="7">
        <f t="shared" si="0"/>
        <v>0.26648900732844771</v>
      </c>
    </row>
    <row r="10" spans="1:37" x14ac:dyDescent="0.25">
      <c r="A10" s="17"/>
      <c r="B10" t="s">
        <v>17</v>
      </c>
      <c r="C10" s="1">
        <v>5396</v>
      </c>
      <c r="D10" s="1">
        <v>204</v>
      </c>
      <c r="E10">
        <v>189</v>
      </c>
      <c r="F10" s="1">
        <v>338</v>
      </c>
      <c r="G10" s="1">
        <v>95</v>
      </c>
      <c r="H10" s="5">
        <v>32</v>
      </c>
      <c r="I10">
        <v>32</v>
      </c>
      <c r="J10">
        <v>70</v>
      </c>
      <c r="K10">
        <v>18</v>
      </c>
      <c r="L10">
        <v>207</v>
      </c>
      <c r="M10">
        <v>192</v>
      </c>
      <c r="N10">
        <v>347</v>
      </c>
      <c r="O10">
        <v>242</v>
      </c>
      <c r="P10">
        <v>39</v>
      </c>
      <c r="Q10">
        <v>38</v>
      </c>
      <c r="R10">
        <v>82</v>
      </c>
      <c r="S10">
        <v>21</v>
      </c>
      <c r="V10" s="7">
        <f t="shared" si="0"/>
        <v>3.7805782060785766</v>
      </c>
      <c r="W10" s="7">
        <f t="shared" si="0"/>
        <v>3.502594514455152</v>
      </c>
      <c r="X10" s="7">
        <f t="shared" si="0"/>
        <v>6.263899184581172</v>
      </c>
      <c r="Y10" s="7">
        <f t="shared" si="0"/>
        <v>1.7605633802816902</v>
      </c>
      <c r="Z10" s="7">
        <f t="shared" si="0"/>
        <v>0.59303187546330616</v>
      </c>
      <c r="AA10" s="7">
        <f t="shared" si="0"/>
        <v>0.59303187546330616</v>
      </c>
      <c r="AB10" s="7">
        <f t="shared" si="0"/>
        <v>1.2972572275759824</v>
      </c>
      <c r="AC10" s="7">
        <f t="shared" si="0"/>
        <v>0.33358042994810971</v>
      </c>
      <c r="AD10" s="7">
        <f t="shared" si="0"/>
        <v>3.8361749444032616</v>
      </c>
      <c r="AE10" s="7">
        <f t="shared" si="0"/>
        <v>3.5581912527798369</v>
      </c>
      <c r="AF10" s="7">
        <f t="shared" si="0"/>
        <v>6.4306893995552254</v>
      </c>
      <c r="AG10" s="7">
        <f t="shared" si="0"/>
        <v>4.4848035581912526</v>
      </c>
      <c r="AH10" s="7">
        <f t="shared" si="0"/>
        <v>0.72275759822090446</v>
      </c>
      <c r="AI10" s="7">
        <f t="shared" si="0"/>
        <v>0.70422535211267612</v>
      </c>
      <c r="AJ10" s="7">
        <f t="shared" si="0"/>
        <v>1.5196441808747221</v>
      </c>
      <c r="AK10" s="7">
        <f t="shared" si="0"/>
        <v>0.38917716827279469</v>
      </c>
    </row>
    <row r="11" spans="1:37" x14ac:dyDescent="0.25">
      <c r="A11" s="17"/>
      <c r="B11" t="s">
        <v>18</v>
      </c>
      <c r="C11" s="1">
        <v>5456</v>
      </c>
      <c r="D11" s="1">
        <v>297</v>
      </c>
      <c r="E11">
        <v>232</v>
      </c>
      <c r="F11" s="1">
        <v>523</v>
      </c>
      <c r="G11" s="1">
        <v>155</v>
      </c>
      <c r="H11" s="5">
        <v>42</v>
      </c>
      <c r="I11">
        <v>41</v>
      </c>
      <c r="J11">
        <v>108</v>
      </c>
      <c r="K11">
        <v>27</v>
      </c>
      <c r="L11">
        <v>304</v>
      </c>
      <c r="M11">
        <v>239</v>
      </c>
      <c r="N11">
        <v>532</v>
      </c>
      <c r="O11">
        <v>365</v>
      </c>
      <c r="P11">
        <v>50</v>
      </c>
      <c r="Q11">
        <v>50</v>
      </c>
      <c r="R11">
        <v>126</v>
      </c>
      <c r="S11">
        <v>32</v>
      </c>
      <c r="V11" s="7">
        <f t="shared" si="0"/>
        <v>5.443548387096774</v>
      </c>
      <c r="W11" s="7">
        <f t="shared" si="0"/>
        <v>4.2521994134897358</v>
      </c>
      <c r="X11" s="7">
        <f t="shared" si="0"/>
        <v>9.5857771260997069</v>
      </c>
      <c r="Y11" s="7">
        <f t="shared" si="0"/>
        <v>2.8409090909090908</v>
      </c>
      <c r="Z11" s="7">
        <f t="shared" si="0"/>
        <v>0.76979472140762462</v>
      </c>
      <c r="AA11" s="7">
        <f t="shared" si="0"/>
        <v>0.75146627565982405</v>
      </c>
      <c r="AB11" s="7">
        <f t="shared" si="0"/>
        <v>1.9794721407624634</v>
      </c>
      <c r="AC11" s="7">
        <f t="shared" si="0"/>
        <v>0.49486803519061584</v>
      </c>
      <c r="AD11" s="7">
        <f t="shared" si="0"/>
        <v>5.5718475073313778</v>
      </c>
      <c r="AE11" s="7">
        <f t="shared" si="0"/>
        <v>4.3804985337243405</v>
      </c>
      <c r="AF11" s="7">
        <f t="shared" si="0"/>
        <v>9.7507331378299114</v>
      </c>
      <c r="AG11" s="7">
        <f t="shared" si="0"/>
        <v>6.6898826979472137</v>
      </c>
      <c r="AH11" s="7">
        <f t="shared" si="0"/>
        <v>0.9164222873900294</v>
      </c>
      <c r="AI11" s="7">
        <f t="shared" si="0"/>
        <v>0.9164222873900294</v>
      </c>
      <c r="AJ11" s="7">
        <f t="shared" si="0"/>
        <v>2.3093841642228741</v>
      </c>
      <c r="AK11" s="7">
        <f t="shared" si="0"/>
        <v>0.5865102639296188</v>
      </c>
    </row>
    <row r="12" spans="1:37" x14ac:dyDescent="0.25">
      <c r="A12" s="17" t="s">
        <v>61</v>
      </c>
      <c r="B12" t="s">
        <v>19</v>
      </c>
      <c r="C12" s="1">
        <v>7485</v>
      </c>
      <c r="D12" s="1">
        <v>300</v>
      </c>
      <c r="E12">
        <v>279</v>
      </c>
      <c r="F12" s="1">
        <v>598</v>
      </c>
      <c r="G12" s="1">
        <v>113</v>
      </c>
      <c r="H12" s="5">
        <v>30</v>
      </c>
      <c r="I12">
        <v>20</v>
      </c>
      <c r="J12">
        <v>69</v>
      </c>
      <c r="K12">
        <v>11</v>
      </c>
      <c r="L12">
        <v>311</v>
      </c>
      <c r="M12">
        <v>287</v>
      </c>
      <c r="N12">
        <v>615</v>
      </c>
      <c r="O12">
        <v>363</v>
      </c>
      <c r="P12">
        <v>41</v>
      </c>
      <c r="Q12">
        <v>23</v>
      </c>
      <c r="R12">
        <v>77</v>
      </c>
      <c r="S12">
        <v>12</v>
      </c>
      <c r="V12" s="8">
        <f t="shared" si="0"/>
        <v>4.0080160320641278</v>
      </c>
      <c r="W12" s="8">
        <f t="shared" si="0"/>
        <v>3.7274549098196395</v>
      </c>
      <c r="X12" s="8">
        <f t="shared" si="0"/>
        <v>7.9893119572478284</v>
      </c>
      <c r="Y12" s="8">
        <f t="shared" si="0"/>
        <v>1.5096860387441549</v>
      </c>
      <c r="Z12" s="8">
        <f t="shared" si="0"/>
        <v>0.40080160320641278</v>
      </c>
      <c r="AA12" s="8">
        <f t="shared" si="0"/>
        <v>0.26720106880427524</v>
      </c>
      <c r="AB12" s="8">
        <f t="shared" si="0"/>
        <v>0.92184368737474942</v>
      </c>
      <c r="AC12" s="8">
        <f t="shared" si="0"/>
        <v>0.14696058784235139</v>
      </c>
      <c r="AD12" s="8">
        <f t="shared" si="0"/>
        <v>4.1549766199064795</v>
      </c>
      <c r="AE12" s="8">
        <f t="shared" si="0"/>
        <v>3.8343353373413489</v>
      </c>
      <c r="AF12" s="8">
        <f t="shared" si="0"/>
        <v>8.2164328657314627</v>
      </c>
      <c r="AG12" s="8">
        <f t="shared" si="0"/>
        <v>4.8496993987975952</v>
      </c>
      <c r="AH12" s="8">
        <f t="shared" si="0"/>
        <v>0.54776219104876422</v>
      </c>
      <c r="AI12" s="8">
        <f t="shared" si="0"/>
        <v>0.30728122912491651</v>
      </c>
      <c r="AJ12" s="8">
        <f t="shared" si="0"/>
        <v>1.0287241148964597</v>
      </c>
      <c r="AK12" s="8">
        <f t="shared" si="0"/>
        <v>0.16032064128256512</v>
      </c>
    </row>
    <row r="13" spans="1:37" x14ac:dyDescent="0.25">
      <c r="A13" s="17"/>
      <c r="B13" t="s">
        <v>20</v>
      </c>
      <c r="C13" s="1">
        <v>6729</v>
      </c>
      <c r="D13" s="1">
        <v>303</v>
      </c>
      <c r="E13">
        <v>214</v>
      </c>
      <c r="F13" s="1">
        <v>360</v>
      </c>
      <c r="G13" s="1">
        <v>91</v>
      </c>
      <c r="H13" s="5">
        <v>46</v>
      </c>
      <c r="I13">
        <v>26</v>
      </c>
      <c r="J13">
        <v>74</v>
      </c>
      <c r="K13">
        <v>19</v>
      </c>
      <c r="L13">
        <v>310</v>
      </c>
      <c r="M13">
        <v>218</v>
      </c>
      <c r="N13">
        <v>364</v>
      </c>
      <c r="O13">
        <v>358</v>
      </c>
      <c r="P13">
        <v>52</v>
      </c>
      <c r="Q13">
        <v>29</v>
      </c>
      <c r="R13">
        <v>84</v>
      </c>
      <c r="S13">
        <v>22</v>
      </c>
      <c r="V13" s="8">
        <f t="shared" si="0"/>
        <v>4.5028979045920643</v>
      </c>
      <c r="W13" s="8">
        <f t="shared" si="0"/>
        <v>3.1802645266755829</v>
      </c>
      <c r="X13" s="8">
        <f t="shared" si="0"/>
        <v>5.3499777084262155</v>
      </c>
      <c r="Y13" s="8">
        <f t="shared" si="0"/>
        <v>1.3523554762966266</v>
      </c>
      <c r="Z13" s="8">
        <f t="shared" si="0"/>
        <v>0.68360826274334974</v>
      </c>
      <c r="AA13" s="8">
        <f t="shared" si="0"/>
        <v>0.38638727894189329</v>
      </c>
      <c r="AB13" s="8">
        <f t="shared" si="0"/>
        <v>1.0997176400653885</v>
      </c>
      <c r="AC13" s="8">
        <f t="shared" si="0"/>
        <v>0.28235993461138353</v>
      </c>
      <c r="AD13" s="8">
        <f t="shared" si="0"/>
        <v>4.6069252489225745</v>
      </c>
      <c r="AE13" s="8">
        <f t="shared" si="0"/>
        <v>3.2397087234358746</v>
      </c>
      <c r="AF13" s="8">
        <f t="shared" si="0"/>
        <v>5.4094219051865062</v>
      </c>
      <c r="AG13" s="8">
        <f t="shared" si="0"/>
        <v>5.3202556100460692</v>
      </c>
      <c r="AH13" s="8">
        <f t="shared" si="0"/>
        <v>0.77277455788378657</v>
      </c>
      <c r="AI13" s="8">
        <f t="shared" si="0"/>
        <v>0.43097042651211181</v>
      </c>
      <c r="AJ13" s="8">
        <f t="shared" si="0"/>
        <v>1.2483281319661168</v>
      </c>
      <c r="AK13" s="8">
        <f t="shared" si="0"/>
        <v>0.32694308218160201</v>
      </c>
    </row>
    <row r="14" spans="1:37" x14ac:dyDescent="0.25">
      <c r="A14" s="17"/>
      <c r="B14" t="s">
        <v>21</v>
      </c>
      <c r="C14" s="1">
        <v>4807</v>
      </c>
      <c r="D14" s="1">
        <v>333</v>
      </c>
      <c r="E14">
        <v>178</v>
      </c>
      <c r="F14" s="1">
        <v>347</v>
      </c>
      <c r="G14" s="1">
        <v>116</v>
      </c>
      <c r="H14" s="5">
        <v>38</v>
      </c>
      <c r="I14">
        <v>17</v>
      </c>
      <c r="J14">
        <v>43</v>
      </c>
      <c r="K14">
        <v>16</v>
      </c>
      <c r="L14">
        <v>342</v>
      </c>
      <c r="M14">
        <v>183</v>
      </c>
      <c r="N14">
        <v>352</v>
      </c>
      <c r="O14">
        <v>407</v>
      </c>
      <c r="P14">
        <v>41</v>
      </c>
      <c r="Q14">
        <v>19</v>
      </c>
      <c r="R14">
        <v>45</v>
      </c>
      <c r="S14">
        <v>18</v>
      </c>
      <c r="V14" s="8">
        <f t="shared" si="0"/>
        <v>6.9273975452465146</v>
      </c>
      <c r="W14" s="8">
        <f t="shared" si="0"/>
        <v>3.7029332223840234</v>
      </c>
      <c r="X14" s="8">
        <f t="shared" si="0"/>
        <v>7.218639484085708</v>
      </c>
      <c r="Y14" s="8">
        <f t="shared" si="0"/>
        <v>2.4131474932390264</v>
      </c>
      <c r="Z14" s="8">
        <f t="shared" si="0"/>
        <v>0.79051383399209485</v>
      </c>
      <c r="AA14" s="8">
        <f t="shared" si="0"/>
        <v>0.35365092573330559</v>
      </c>
      <c r="AB14" s="8">
        <f t="shared" si="0"/>
        <v>0.89452881214894941</v>
      </c>
      <c r="AC14" s="8">
        <f t="shared" si="0"/>
        <v>0.33284793010193464</v>
      </c>
      <c r="AD14" s="8">
        <f t="shared" si="0"/>
        <v>7.1146245059288544</v>
      </c>
      <c r="AE14" s="8">
        <f t="shared" si="0"/>
        <v>3.8069482005408779</v>
      </c>
      <c r="AF14" s="8">
        <f t="shared" si="0"/>
        <v>7.3226544622425633</v>
      </c>
      <c r="AG14" s="8">
        <f t="shared" si="0"/>
        <v>8.4668192219679632</v>
      </c>
      <c r="AH14" s="8">
        <f t="shared" si="0"/>
        <v>0.85292282088620763</v>
      </c>
      <c r="AI14" s="8">
        <f t="shared" si="0"/>
        <v>0.39525691699604742</v>
      </c>
      <c r="AJ14" s="8">
        <f t="shared" si="0"/>
        <v>0.93613480341169131</v>
      </c>
      <c r="AK14" s="8">
        <f t="shared" si="0"/>
        <v>0.37445392136467648</v>
      </c>
    </row>
    <row r="15" spans="1:37" x14ac:dyDescent="0.25">
      <c r="A15" s="17"/>
      <c r="B15" t="s">
        <v>22</v>
      </c>
      <c r="C15" s="1">
        <v>7599</v>
      </c>
      <c r="D15" s="1">
        <v>427</v>
      </c>
      <c r="E15">
        <v>246</v>
      </c>
      <c r="F15" s="1">
        <v>576</v>
      </c>
      <c r="G15" s="1">
        <v>135</v>
      </c>
      <c r="H15" s="5">
        <v>57</v>
      </c>
      <c r="I15">
        <v>25</v>
      </c>
      <c r="J15">
        <v>103</v>
      </c>
      <c r="K15">
        <v>16</v>
      </c>
      <c r="L15">
        <v>433</v>
      </c>
      <c r="M15">
        <v>253</v>
      </c>
      <c r="N15">
        <v>591</v>
      </c>
      <c r="O15">
        <v>494</v>
      </c>
      <c r="P15">
        <v>66</v>
      </c>
      <c r="Q15">
        <v>30</v>
      </c>
      <c r="R15">
        <v>120</v>
      </c>
      <c r="S15">
        <v>19</v>
      </c>
      <c r="V15" s="8">
        <f t="shared" si="0"/>
        <v>5.6191604158441901</v>
      </c>
      <c r="W15" s="8">
        <f t="shared" si="0"/>
        <v>3.2372680615870508</v>
      </c>
      <c r="X15" s="8">
        <f t="shared" si="0"/>
        <v>7.5799447295696805</v>
      </c>
      <c r="Y15" s="8">
        <f t="shared" si="0"/>
        <v>1.7765495459928937</v>
      </c>
      <c r="Z15" s="8">
        <f t="shared" si="0"/>
        <v>0.75009869719699962</v>
      </c>
      <c r="AA15" s="8">
        <f t="shared" si="0"/>
        <v>0.32899065666535071</v>
      </c>
      <c r="AB15" s="8">
        <f t="shared" si="0"/>
        <v>1.3554415054612448</v>
      </c>
      <c r="AC15" s="8">
        <f t="shared" si="0"/>
        <v>0.21055402026582448</v>
      </c>
      <c r="AD15" s="8">
        <f t="shared" si="0"/>
        <v>5.6981181734438744</v>
      </c>
      <c r="AE15" s="8">
        <f t="shared" si="0"/>
        <v>3.3293854454533491</v>
      </c>
      <c r="AF15" s="8">
        <f t="shared" si="0"/>
        <v>7.7773391235688907</v>
      </c>
      <c r="AG15" s="8">
        <f t="shared" si="0"/>
        <v>6.5008553757073306</v>
      </c>
      <c r="AH15" s="8">
        <f t="shared" si="0"/>
        <v>0.8685353335965259</v>
      </c>
      <c r="AI15" s="8">
        <f t="shared" si="0"/>
        <v>0.39478878799842088</v>
      </c>
      <c r="AJ15" s="8">
        <f t="shared" si="0"/>
        <v>1.5791551519936835</v>
      </c>
      <c r="AK15" s="8">
        <f t="shared" si="0"/>
        <v>0.2500328990656665</v>
      </c>
    </row>
    <row r="16" spans="1:37" x14ac:dyDescent="0.25">
      <c r="A16" s="17"/>
      <c r="B16" t="s">
        <v>23</v>
      </c>
      <c r="C16" s="1">
        <v>5345</v>
      </c>
      <c r="D16" s="1">
        <v>349</v>
      </c>
      <c r="E16">
        <v>353</v>
      </c>
      <c r="F16" s="1">
        <v>469</v>
      </c>
      <c r="G16" s="1">
        <v>195</v>
      </c>
      <c r="H16" s="5">
        <v>51</v>
      </c>
      <c r="I16">
        <v>40</v>
      </c>
      <c r="J16">
        <v>65</v>
      </c>
      <c r="K16">
        <v>25</v>
      </c>
      <c r="L16">
        <v>357</v>
      </c>
      <c r="M16">
        <v>364</v>
      </c>
      <c r="N16">
        <v>484</v>
      </c>
      <c r="O16">
        <v>428</v>
      </c>
      <c r="P16">
        <v>57</v>
      </c>
      <c r="Q16">
        <v>40</v>
      </c>
      <c r="R16">
        <v>68</v>
      </c>
      <c r="S16">
        <v>25</v>
      </c>
      <c r="V16" s="8">
        <f t="shared" si="0"/>
        <v>6.5294667913938262</v>
      </c>
      <c r="W16" s="8">
        <f t="shared" si="0"/>
        <v>6.6043030869971933</v>
      </c>
      <c r="X16" s="8">
        <f t="shared" si="0"/>
        <v>8.7745556594948546</v>
      </c>
      <c r="Y16" s="8">
        <f t="shared" si="0"/>
        <v>3.648269410664172</v>
      </c>
      <c r="Z16" s="8">
        <f t="shared" si="0"/>
        <v>0.95416276894293739</v>
      </c>
      <c r="AA16" s="8">
        <f t="shared" si="0"/>
        <v>0.74836295603367631</v>
      </c>
      <c r="AB16" s="8">
        <f t="shared" si="0"/>
        <v>1.2160898035547241</v>
      </c>
      <c r="AC16" s="8">
        <f t="shared" si="0"/>
        <v>0.46772684752104771</v>
      </c>
      <c r="AD16" s="8">
        <f t="shared" si="0"/>
        <v>6.6791393826005612</v>
      </c>
      <c r="AE16" s="8">
        <f t="shared" si="0"/>
        <v>6.8101028999064548</v>
      </c>
      <c r="AF16" s="8">
        <f t="shared" si="0"/>
        <v>9.055191768007484</v>
      </c>
      <c r="AG16" s="8">
        <f t="shared" si="0"/>
        <v>8.0074836295603369</v>
      </c>
      <c r="AH16" s="8">
        <f t="shared" si="0"/>
        <v>1.0664172123479887</v>
      </c>
      <c r="AI16" s="8">
        <f t="shared" si="0"/>
        <v>0.74836295603367631</v>
      </c>
      <c r="AJ16" s="8">
        <f t="shared" si="0"/>
        <v>1.2722170252572498</v>
      </c>
      <c r="AK16" s="8">
        <f t="shared" si="0"/>
        <v>0.46772684752104771</v>
      </c>
    </row>
    <row r="17" spans="1:37" x14ac:dyDescent="0.25">
      <c r="A17" s="17"/>
      <c r="B17" t="s">
        <v>24</v>
      </c>
      <c r="C17" s="1">
        <v>5307</v>
      </c>
      <c r="D17" s="1">
        <v>237</v>
      </c>
      <c r="E17">
        <v>191</v>
      </c>
      <c r="F17" s="1">
        <v>602</v>
      </c>
      <c r="G17" s="1">
        <v>131</v>
      </c>
      <c r="H17" s="5">
        <v>23</v>
      </c>
      <c r="I17">
        <v>22</v>
      </c>
      <c r="J17">
        <v>88</v>
      </c>
      <c r="K17">
        <v>18</v>
      </c>
      <c r="L17">
        <v>243</v>
      </c>
      <c r="M17">
        <v>201</v>
      </c>
      <c r="N17">
        <v>614</v>
      </c>
      <c r="O17">
        <v>282</v>
      </c>
      <c r="P17">
        <v>23</v>
      </c>
      <c r="Q17">
        <v>22</v>
      </c>
      <c r="R17">
        <v>96</v>
      </c>
      <c r="S17">
        <v>18</v>
      </c>
      <c r="V17" s="8">
        <f t="shared" si="0"/>
        <v>4.4657998869417748</v>
      </c>
      <c r="W17" s="8">
        <f t="shared" si="0"/>
        <v>3.5990201620501225</v>
      </c>
      <c r="X17" s="8">
        <f t="shared" si="0"/>
        <v>11.343508573582062</v>
      </c>
      <c r="Y17" s="8">
        <f t="shared" si="0"/>
        <v>2.4684379121914453</v>
      </c>
      <c r="Z17" s="8">
        <f t="shared" si="0"/>
        <v>0.43338986244582628</v>
      </c>
      <c r="AA17" s="8">
        <f t="shared" si="0"/>
        <v>0.41454682494818162</v>
      </c>
      <c r="AB17" s="8">
        <f t="shared" si="0"/>
        <v>1.6581872997927265</v>
      </c>
      <c r="AC17" s="8">
        <f t="shared" si="0"/>
        <v>0.33917467495760317</v>
      </c>
      <c r="AD17" s="8">
        <f t="shared" si="0"/>
        <v>4.5788581119276435</v>
      </c>
      <c r="AE17" s="8">
        <f t="shared" si="0"/>
        <v>3.7874505370265688</v>
      </c>
      <c r="AF17" s="8">
        <f t="shared" si="0"/>
        <v>11.569625023553796</v>
      </c>
      <c r="AG17" s="8">
        <f t="shared" si="0"/>
        <v>5.3137365743357829</v>
      </c>
      <c r="AH17" s="8">
        <f t="shared" si="0"/>
        <v>0.43338986244582628</v>
      </c>
      <c r="AI17" s="8">
        <f t="shared" si="0"/>
        <v>0.41454682494818162</v>
      </c>
      <c r="AJ17" s="8">
        <f t="shared" si="0"/>
        <v>1.8089315997738835</v>
      </c>
      <c r="AK17" s="8">
        <f t="shared" si="0"/>
        <v>0.33917467495760317</v>
      </c>
    </row>
    <row r="18" spans="1:37" x14ac:dyDescent="0.25">
      <c r="A18" s="17"/>
      <c r="B18" t="s">
        <v>25</v>
      </c>
      <c r="C18" s="1">
        <v>6792</v>
      </c>
      <c r="D18" s="1">
        <v>360</v>
      </c>
      <c r="E18">
        <v>237</v>
      </c>
      <c r="F18" s="1">
        <v>608</v>
      </c>
      <c r="G18" s="1">
        <v>156</v>
      </c>
      <c r="H18" s="5">
        <v>57</v>
      </c>
      <c r="I18">
        <v>31</v>
      </c>
      <c r="J18">
        <v>110</v>
      </c>
      <c r="K18">
        <v>24</v>
      </c>
      <c r="L18">
        <v>368</v>
      </c>
      <c r="M18">
        <v>244</v>
      </c>
      <c r="N18">
        <v>617</v>
      </c>
      <c r="O18">
        <v>433</v>
      </c>
      <c r="P18">
        <v>70</v>
      </c>
      <c r="Q18">
        <v>35</v>
      </c>
      <c r="R18">
        <v>132</v>
      </c>
      <c r="S18">
        <v>28</v>
      </c>
      <c r="V18" s="8">
        <f t="shared" si="0"/>
        <v>5.3003533568904597</v>
      </c>
      <c r="W18" s="8">
        <f t="shared" si="0"/>
        <v>3.489399293286219</v>
      </c>
      <c r="X18" s="8">
        <f t="shared" si="0"/>
        <v>8.9517078916372199</v>
      </c>
      <c r="Y18" s="8">
        <f t="shared" si="0"/>
        <v>2.2968197879858656</v>
      </c>
      <c r="Z18" s="8">
        <f t="shared" si="0"/>
        <v>0.83922261484098948</v>
      </c>
      <c r="AA18" s="8">
        <f t="shared" si="0"/>
        <v>0.45641931684334514</v>
      </c>
      <c r="AB18" s="8">
        <f t="shared" si="0"/>
        <v>1.6195524146054181</v>
      </c>
      <c r="AC18" s="8">
        <f t="shared" si="0"/>
        <v>0.35335689045936397</v>
      </c>
      <c r="AD18" s="8">
        <f t="shared" si="0"/>
        <v>5.418138987043581</v>
      </c>
      <c r="AE18" s="8">
        <f t="shared" si="0"/>
        <v>3.5924617196702</v>
      </c>
      <c r="AF18" s="8">
        <f t="shared" si="0"/>
        <v>9.0842167255594806</v>
      </c>
      <c r="AG18" s="8">
        <f t="shared" si="0"/>
        <v>6.3751472320376905</v>
      </c>
      <c r="AH18" s="8">
        <f t="shared" si="0"/>
        <v>1.0306242638398115</v>
      </c>
      <c r="AI18" s="8">
        <f t="shared" si="0"/>
        <v>0.51531213191990577</v>
      </c>
      <c r="AJ18" s="8">
        <f t="shared" si="0"/>
        <v>1.9434628975265018</v>
      </c>
      <c r="AK18" s="8">
        <f t="shared" ref="AK18:AK81" si="1">(S18/$C18)*100</f>
        <v>0.4122497055359246</v>
      </c>
    </row>
    <row r="19" spans="1:37" x14ac:dyDescent="0.25">
      <c r="A19" s="17"/>
      <c r="B19" t="s">
        <v>26</v>
      </c>
      <c r="C19" s="1">
        <v>5877</v>
      </c>
      <c r="D19" s="1">
        <v>225</v>
      </c>
      <c r="E19">
        <v>209</v>
      </c>
      <c r="F19" s="1">
        <v>956</v>
      </c>
      <c r="G19" s="1">
        <v>188</v>
      </c>
      <c r="H19" s="5">
        <v>15</v>
      </c>
      <c r="I19">
        <v>13</v>
      </c>
      <c r="J19">
        <v>97</v>
      </c>
      <c r="K19">
        <v>12</v>
      </c>
      <c r="L19">
        <v>228</v>
      </c>
      <c r="M19">
        <v>213</v>
      </c>
      <c r="N19">
        <v>972</v>
      </c>
      <c r="O19">
        <v>283</v>
      </c>
      <c r="P19">
        <v>22</v>
      </c>
      <c r="Q19">
        <v>20</v>
      </c>
      <c r="R19">
        <v>145</v>
      </c>
      <c r="S19">
        <v>19</v>
      </c>
      <c r="V19" s="8">
        <f t="shared" ref="V19:AJ35" si="2">(D19/$C19)*100</f>
        <v>3.828483920367534</v>
      </c>
      <c r="W19" s="8">
        <f t="shared" si="2"/>
        <v>3.5562361749191767</v>
      </c>
      <c r="X19" s="8">
        <f t="shared" si="2"/>
        <v>16.266802790539391</v>
      </c>
      <c r="Y19" s="8">
        <f t="shared" si="2"/>
        <v>3.1989110090182065</v>
      </c>
      <c r="Z19" s="8">
        <f t="shared" si="2"/>
        <v>0.25523226135783561</v>
      </c>
      <c r="AA19" s="8">
        <f t="shared" si="2"/>
        <v>0.22120129317679088</v>
      </c>
      <c r="AB19" s="8">
        <f t="shared" si="2"/>
        <v>1.6505019567806705</v>
      </c>
      <c r="AC19" s="8">
        <f t="shared" si="2"/>
        <v>0.20418580908626852</v>
      </c>
      <c r="AD19" s="8">
        <f t="shared" si="2"/>
        <v>3.8795303726391013</v>
      </c>
      <c r="AE19" s="8">
        <f t="shared" si="2"/>
        <v>3.6242981112812664</v>
      </c>
      <c r="AF19" s="8">
        <f t="shared" si="2"/>
        <v>16.539050535987748</v>
      </c>
      <c r="AG19" s="8">
        <f t="shared" si="2"/>
        <v>4.8153819976178323</v>
      </c>
      <c r="AH19" s="8">
        <f t="shared" si="2"/>
        <v>0.37434064999149225</v>
      </c>
      <c r="AI19" s="8">
        <f t="shared" si="2"/>
        <v>0.34030968181044752</v>
      </c>
      <c r="AJ19" s="8">
        <f t="shared" si="2"/>
        <v>2.4672451931257444</v>
      </c>
      <c r="AK19" s="8">
        <f t="shared" si="1"/>
        <v>0.32329419771992512</v>
      </c>
    </row>
    <row r="20" spans="1:37" x14ac:dyDescent="0.25">
      <c r="A20" s="17"/>
      <c r="B20" t="s">
        <v>27</v>
      </c>
      <c r="C20" s="1">
        <v>5709</v>
      </c>
      <c r="D20" s="1">
        <v>293</v>
      </c>
      <c r="E20">
        <v>177</v>
      </c>
      <c r="F20" s="1">
        <v>421</v>
      </c>
      <c r="G20" s="1">
        <v>93</v>
      </c>
      <c r="H20" s="5">
        <v>40</v>
      </c>
      <c r="I20">
        <v>23</v>
      </c>
      <c r="J20">
        <v>79</v>
      </c>
      <c r="K20">
        <v>10</v>
      </c>
      <c r="L20">
        <v>305</v>
      </c>
      <c r="M20">
        <v>184</v>
      </c>
      <c r="N20">
        <v>429</v>
      </c>
      <c r="O20">
        <v>342</v>
      </c>
      <c r="P20">
        <v>44</v>
      </c>
      <c r="Q20">
        <v>25</v>
      </c>
      <c r="R20">
        <v>85</v>
      </c>
      <c r="S20">
        <v>11</v>
      </c>
      <c r="V20" s="8">
        <f t="shared" si="2"/>
        <v>5.1322473287791208</v>
      </c>
      <c r="W20" s="8">
        <f t="shared" si="2"/>
        <v>3.1003678402522334</v>
      </c>
      <c r="X20" s="8">
        <f t="shared" si="2"/>
        <v>7.3743212471536177</v>
      </c>
      <c r="Y20" s="8">
        <f t="shared" si="2"/>
        <v>1.6290068313189701</v>
      </c>
      <c r="Z20" s="8">
        <f t="shared" si="2"/>
        <v>0.70064809949203011</v>
      </c>
      <c r="AA20" s="8">
        <f t="shared" si="2"/>
        <v>0.40287265720791732</v>
      </c>
      <c r="AB20" s="8">
        <f t="shared" si="2"/>
        <v>1.3837799964967594</v>
      </c>
      <c r="AC20" s="8">
        <f t="shared" si="2"/>
        <v>0.17516202487300753</v>
      </c>
      <c r="AD20" s="8">
        <f t="shared" si="2"/>
        <v>5.3424417586267303</v>
      </c>
      <c r="AE20" s="8">
        <f t="shared" si="2"/>
        <v>3.2229812576633385</v>
      </c>
      <c r="AF20" s="8">
        <f t="shared" si="2"/>
        <v>7.5144508670520231</v>
      </c>
      <c r="AG20" s="8">
        <f t="shared" si="2"/>
        <v>5.9905412506568574</v>
      </c>
      <c r="AH20" s="8">
        <f t="shared" si="2"/>
        <v>0.77071290944123316</v>
      </c>
      <c r="AI20" s="8">
        <f t="shared" si="2"/>
        <v>0.43790506218251884</v>
      </c>
      <c r="AJ20" s="8">
        <f t="shared" si="2"/>
        <v>1.488877211420564</v>
      </c>
      <c r="AK20" s="8">
        <f t="shared" si="1"/>
        <v>0.19267822736030829</v>
      </c>
    </row>
    <row r="21" spans="1:37" x14ac:dyDescent="0.25">
      <c r="A21" s="17" t="s">
        <v>62</v>
      </c>
      <c r="B21" t="s">
        <v>19</v>
      </c>
      <c r="C21" s="1">
        <v>7485</v>
      </c>
      <c r="D21" s="1">
        <v>300</v>
      </c>
      <c r="E21">
        <v>279</v>
      </c>
      <c r="F21" s="1">
        <v>598</v>
      </c>
      <c r="G21" s="1">
        <v>113</v>
      </c>
      <c r="H21" s="5">
        <v>30</v>
      </c>
      <c r="I21">
        <v>20</v>
      </c>
      <c r="J21">
        <v>69</v>
      </c>
      <c r="K21">
        <v>11</v>
      </c>
      <c r="L21">
        <v>311</v>
      </c>
      <c r="M21">
        <v>287</v>
      </c>
      <c r="N21">
        <v>615</v>
      </c>
      <c r="O21">
        <v>363</v>
      </c>
      <c r="P21">
        <v>41</v>
      </c>
      <c r="Q21">
        <v>23</v>
      </c>
      <c r="R21">
        <v>77</v>
      </c>
      <c r="S21">
        <v>12</v>
      </c>
      <c r="V21" s="9">
        <f t="shared" si="2"/>
        <v>4.0080160320641278</v>
      </c>
      <c r="W21" s="9">
        <f t="shared" si="2"/>
        <v>3.7274549098196395</v>
      </c>
      <c r="X21" s="9">
        <f t="shared" si="2"/>
        <v>7.9893119572478284</v>
      </c>
      <c r="Y21" s="9">
        <f t="shared" si="2"/>
        <v>1.5096860387441549</v>
      </c>
      <c r="Z21" s="9">
        <f t="shared" si="2"/>
        <v>0.40080160320641278</v>
      </c>
      <c r="AA21" s="9">
        <f t="shared" si="2"/>
        <v>0.26720106880427524</v>
      </c>
      <c r="AB21" s="9">
        <f t="shared" si="2"/>
        <v>0.92184368737474942</v>
      </c>
      <c r="AC21" s="9">
        <f t="shared" si="2"/>
        <v>0.14696058784235139</v>
      </c>
      <c r="AD21" s="9">
        <f t="shared" si="2"/>
        <v>4.1549766199064795</v>
      </c>
      <c r="AE21" s="9">
        <f t="shared" si="2"/>
        <v>3.8343353373413489</v>
      </c>
      <c r="AF21" s="9">
        <f t="shared" si="2"/>
        <v>8.2164328657314627</v>
      </c>
      <c r="AG21" s="9">
        <f t="shared" si="2"/>
        <v>4.8496993987975952</v>
      </c>
      <c r="AH21" s="9">
        <f t="shared" si="2"/>
        <v>0.54776219104876422</v>
      </c>
      <c r="AI21" s="9">
        <f t="shared" si="2"/>
        <v>0.30728122912491651</v>
      </c>
      <c r="AJ21" s="9">
        <f t="shared" si="2"/>
        <v>1.0287241148964597</v>
      </c>
      <c r="AK21" s="9">
        <f t="shared" si="1"/>
        <v>0.16032064128256512</v>
      </c>
    </row>
    <row r="22" spans="1:37" x14ac:dyDescent="0.25">
      <c r="A22" s="17"/>
      <c r="B22" t="s">
        <v>20</v>
      </c>
      <c r="C22" s="1">
        <v>6729</v>
      </c>
      <c r="D22" s="1">
        <v>303</v>
      </c>
      <c r="E22">
        <v>214</v>
      </c>
      <c r="F22" s="1">
        <v>360</v>
      </c>
      <c r="G22" s="1">
        <v>91</v>
      </c>
      <c r="H22" s="5">
        <v>46</v>
      </c>
      <c r="I22">
        <v>26</v>
      </c>
      <c r="J22">
        <v>74</v>
      </c>
      <c r="K22">
        <v>19</v>
      </c>
      <c r="L22">
        <v>310</v>
      </c>
      <c r="M22">
        <v>218</v>
      </c>
      <c r="N22">
        <v>364</v>
      </c>
      <c r="O22">
        <v>358</v>
      </c>
      <c r="P22">
        <v>52</v>
      </c>
      <c r="Q22">
        <v>29</v>
      </c>
      <c r="R22">
        <v>84</v>
      </c>
      <c r="S22">
        <v>22</v>
      </c>
      <c r="V22" s="9">
        <f t="shared" si="2"/>
        <v>4.5028979045920643</v>
      </c>
      <c r="W22" s="9">
        <f t="shared" si="2"/>
        <v>3.1802645266755829</v>
      </c>
      <c r="X22" s="9">
        <f t="shared" si="2"/>
        <v>5.3499777084262155</v>
      </c>
      <c r="Y22" s="9">
        <f t="shared" si="2"/>
        <v>1.3523554762966266</v>
      </c>
      <c r="Z22" s="9">
        <f t="shared" si="2"/>
        <v>0.68360826274334974</v>
      </c>
      <c r="AA22" s="9">
        <f t="shared" si="2"/>
        <v>0.38638727894189329</v>
      </c>
      <c r="AB22" s="9">
        <f t="shared" si="2"/>
        <v>1.0997176400653885</v>
      </c>
      <c r="AC22" s="9">
        <f t="shared" si="2"/>
        <v>0.28235993461138353</v>
      </c>
      <c r="AD22" s="9">
        <f t="shared" si="2"/>
        <v>4.6069252489225745</v>
      </c>
      <c r="AE22" s="9">
        <f t="shared" si="2"/>
        <v>3.2397087234358746</v>
      </c>
      <c r="AF22" s="9">
        <f t="shared" si="2"/>
        <v>5.4094219051865062</v>
      </c>
      <c r="AG22" s="9">
        <f t="shared" si="2"/>
        <v>5.3202556100460692</v>
      </c>
      <c r="AH22" s="9">
        <f t="shared" si="2"/>
        <v>0.77277455788378657</v>
      </c>
      <c r="AI22" s="9">
        <f t="shared" si="2"/>
        <v>0.43097042651211181</v>
      </c>
      <c r="AJ22" s="9">
        <f t="shared" si="2"/>
        <v>1.2483281319661168</v>
      </c>
      <c r="AK22" s="9">
        <f t="shared" si="1"/>
        <v>0.32694308218160201</v>
      </c>
    </row>
    <row r="23" spans="1:37" x14ac:dyDescent="0.25">
      <c r="A23" s="17"/>
      <c r="B23" t="s">
        <v>21</v>
      </c>
      <c r="C23" s="1">
        <v>4807</v>
      </c>
      <c r="D23" s="1">
        <v>333</v>
      </c>
      <c r="E23">
        <v>178</v>
      </c>
      <c r="F23" s="1">
        <v>347</v>
      </c>
      <c r="G23" s="1">
        <v>116</v>
      </c>
      <c r="H23" s="5">
        <v>38</v>
      </c>
      <c r="I23">
        <v>17</v>
      </c>
      <c r="J23">
        <v>43</v>
      </c>
      <c r="K23">
        <v>16</v>
      </c>
      <c r="L23">
        <v>342</v>
      </c>
      <c r="M23">
        <v>183</v>
      </c>
      <c r="N23">
        <v>352</v>
      </c>
      <c r="O23">
        <v>407</v>
      </c>
      <c r="P23">
        <v>41</v>
      </c>
      <c r="Q23">
        <v>19</v>
      </c>
      <c r="R23">
        <v>45</v>
      </c>
      <c r="S23">
        <v>18</v>
      </c>
      <c r="V23" s="9">
        <f t="shared" si="2"/>
        <v>6.9273975452465146</v>
      </c>
      <c r="W23" s="9">
        <f t="shared" si="2"/>
        <v>3.7029332223840234</v>
      </c>
      <c r="X23" s="9">
        <f t="shared" si="2"/>
        <v>7.218639484085708</v>
      </c>
      <c r="Y23" s="9">
        <f t="shared" si="2"/>
        <v>2.4131474932390264</v>
      </c>
      <c r="Z23" s="9">
        <f t="shared" si="2"/>
        <v>0.79051383399209485</v>
      </c>
      <c r="AA23" s="9">
        <f t="shared" si="2"/>
        <v>0.35365092573330559</v>
      </c>
      <c r="AB23" s="9">
        <f t="shared" si="2"/>
        <v>0.89452881214894941</v>
      </c>
      <c r="AC23" s="9">
        <f t="shared" si="2"/>
        <v>0.33284793010193464</v>
      </c>
      <c r="AD23" s="9">
        <f t="shared" si="2"/>
        <v>7.1146245059288544</v>
      </c>
      <c r="AE23" s="9">
        <f t="shared" si="2"/>
        <v>3.8069482005408779</v>
      </c>
      <c r="AF23" s="9">
        <f t="shared" si="2"/>
        <v>7.3226544622425633</v>
      </c>
      <c r="AG23" s="9">
        <f t="shared" si="2"/>
        <v>8.4668192219679632</v>
      </c>
      <c r="AH23" s="9">
        <f t="shared" si="2"/>
        <v>0.85292282088620763</v>
      </c>
      <c r="AI23" s="9">
        <f t="shared" si="2"/>
        <v>0.39525691699604742</v>
      </c>
      <c r="AJ23" s="9">
        <f t="shared" si="2"/>
        <v>0.93613480341169131</v>
      </c>
      <c r="AK23" s="9">
        <f t="shared" si="1"/>
        <v>0.37445392136467648</v>
      </c>
    </row>
    <row r="24" spans="1:37" x14ac:dyDescent="0.25">
      <c r="A24" s="17"/>
      <c r="B24" t="s">
        <v>22</v>
      </c>
      <c r="C24" s="1">
        <v>7599</v>
      </c>
      <c r="D24" s="1">
        <v>427</v>
      </c>
      <c r="E24">
        <v>246</v>
      </c>
      <c r="F24" s="1">
        <v>576</v>
      </c>
      <c r="G24" s="1">
        <v>135</v>
      </c>
      <c r="H24" s="5">
        <v>57</v>
      </c>
      <c r="I24">
        <v>25</v>
      </c>
      <c r="J24">
        <v>103</v>
      </c>
      <c r="K24">
        <v>16</v>
      </c>
      <c r="L24">
        <v>433</v>
      </c>
      <c r="M24">
        <v>253</v>
      </c>
      <c r="N24">
        <v>591</v>
      </c>
      <c r="O24">
        <v>494</v>
      </c>
      <c r="P24">
        <v>66</v>
      </c>
      <c r="Q24">
        <v>30</v>
      </c>
      <c r="R24">
        <v>120</v>
      </c>
      <c r="S24">
        <v>19</v>
      </c>
      <c r="V24" s="9">
        <f t="shared" si="2"/>
        <v>5.6191604158441901</v>
      </c>
      <c r="W24" s="9">
        <f t="shared" si="2"/>
        <v>3.2372680615870508</v>
      </c>
      <c r="X24" s="9">
        <f t="shared" si="2"/>
        <v>7.5799447295696805</v>
      </c>
      <c r="Y24" s="9">
        <f t="shared" si="2"/>
        <v>1.7765495459928937</v>
      </c>
      <c r="Z24" s="9">
        <f t="shared" si="2"/>
        <v>0.75009869719699962</v>
      </c>
      <c r="AA24" s="9">
        <f t="shared" si="2"/>
        <v>0.32899065666535071</v>
      </c>
      <c r="AB24" s="9">
        <f t="shared" si="2"/>
        <v>1.3554415054612448</v>
      </c>
      <c r="AC24" s="9">
        <f t="shared" si="2"/>
        <v>0.21055402026582448</v>
      </c>
      <c r="AD24" s="9">
        <f t="shared" si="2"/>
        <v>5.6981181734438744</v>
      </c>
      <c r="AE24" s="9">
        <f t="shared" si="2"/>
        <v>3.3293854454533491</v>
      </c>
      <c r="AF24" s="9">
        <f t="shared" si="2"/>
        <v>7.7773391235688907</v>
      </c>
      <c r="AG24" s="9">
        <f t="shared" si="2"/>
        <v>6.5008553757073306</v>
      </c>
      <c r="AH24" s="9">
        <f t="shared" si="2"/>
        <v>0.8685353335965259</v>
      </c>
      <c r="AI24" s="9">
        <f t="shared" si="2"/>
        <v>0.39478878799842088</v>
      </c>
      <c r="AJ24" s="9">
        <f t="shared" si="2"/>
        <v>1.5791551519936835</v>
      </c>
      <c r="AK24" s="9">
        <f t="shared" si="1"/>
        <v>0.2500328990656665</v>
      </c>
    </row>
    <row r="25" spans="1:37" x14ac:dyDescent="0.25">
      <c r="A25" s="17"/>
      <c r="B25" t="s">
        <v>23</v>
      </c>
      <c r="C25" s="1">
        <v>5345</v>
      </c>
      <c r="D25" s="1">
        <v>349</v>
      </c>
      <c r="E25">
        <v>353</v>
      </c>
      <c r="F25" s="1">
        <v>469</v>
      </c>
      <c r="G25" s="1">
        <v>195</v>
      </c>
      <c r="H25" s="5">
        <v>51</v>
      </c>
      <c r="I25">
        <v>40</v>
      </c>
      <c r="J25">
        <v>65</v>
      </c>
      <c r="K25">
        <v>25</v>
      </c>
      <c r="L25">
        <v>357</v>
      </c>
      <c r="M25">
        <v>364</v>
      </c>
      <c r="N25">
        <v>484</v>
      </c>
      <c r="O25">
        <v>428</v>
      </c>
      <c r="P25">
        <v>57</v>
      </c>
      <c r="Q25">
        <v>40</v>
      </c>
      <c r="R25">
        <v>68</v>
      </c>
      <c r="S25">
        <v>25</v>
      </c>
      <c r="V25" s="9">
        <f t="shared" si="2"/>
        <v>6.5294667913938262</v>
      </c>
      <c r="W25" s="9">
        <f t="shared" si="2"/>
        <v>6.6043030869971933</v>
      </c>
      <c r="X25" s="9">
        <f t="shared" si="2"/>
        <v>8.7745556594948546</v>
      </c>
      <c r="Y25" s="9">
        <f t="shared" si="2"/>
        <v>3.648269410664172</v>
      </c>
      <c r="Z25" s="9">
        <f t="shared" si="2"/>
        <v>0.95416276894293739</v>
      </c>
      <c r="AA25" s="9">
        <f t="shared" si="2"/>
        <v>0.74836295603367631</v>
      </c>
      <c r="AB25" s="9">
        <f t="shared" si="2"/>
        <v>1.2160898035547241</v>
      </c>
      <c r="AC25" s="9">
        <f t="shared" si="2"/>
        <v>0.46772684752104771</v>
      </c>
      <c r="AD25" s="9">
        <f t="shared" si="2"/>
        <v>6.6791393826005612</v>
      </c>
      <c r="AE25" s="9">
        <f t="shared" si="2"/>
        <v>6.8101028999064548</v>
      </c>
      <c r="AF25" s="9">
        <f t="shared" si="2"/>
        <v>9.055191768007484</v>
      </c>
      <c r="AG25" s="9">
        <f t="shared" si="2"/>
        <v>8.0074836295603369</v>
      </c>
      <c r="AH25" s="9">
        <f t="shared" si="2"/>
        <v>1.0664172123479887</v>
      </c>
      <c r="AI25" s="9">
        <f t="shared" si="2"/>
        <v>0.74836295603367631</v>
      </c>
      <c r="AJ25" s="9">
        <f t="shared" si="2"/>
        <v>1.2722170252572498</v>
      </c>
      <c r="AK25" s="9">
        <f t="shared" si="1"/>
        <v>0.46772684752104771</v>
      </c>
    </row>
    <row r="26" spans="1:37" x14ac:dyDescent="0.25">
      <c r="A26" s="17"/>
      <c r="B26" t="s">
        <v>24</v>
      </c>
      <c r="C26" s="1">
        <v>5307</v>
      </c>
      <c r="D26" s="1">
        <v>237</v>
      </c>
      <c r="E26">
        <v>191</v>
      </c>
      <c r="F26" s="1">
        <v>602</v>
      </c>
      <c r="G26" s="1">
        <v>131</v>
      </c>
      <c r="H26" s="5">
        <v>23</v>
      </c>
      <c r="I26">
        <v>22</v>
      </c>
      <c r="J26">
        <v>88</v>
      </c>
      <c r="K26">
        <v>18</v>
      </c>
      <c r="L26">
        <v>243</v>
      </c>
      <c r="M26">
        <v>201</v>
      </c>
      <c r="N26">
        <v>614</v>
      </c>
      <c r="O26">
        <v>282</v>
      </c>
      <c r="P26">
        <v>23</v>
      </c>
      <c r="Q26">
        <v>22</v>
      </c>
      <c r="R26">
        <v>96</v>
      </c>
      <c r="S26">
        <v>18</v>
      </c>
      <c r="V26" s="9">
        <f t="shared" si="2"/>
        <v>4.4657998869417748</v>
      </c>
      <c r="W26" s="9">
        <f t="shared" si="2"/>
        <v>3.5990201620501225</v>
      </c>
      <c r="X26" s="9">
        <f t="shared" si="2"/>
        <v>11.343508573582062</v>
      </c>
      <c r="Y26" s="9">
        <f t="shared" si="2"/>
        <v>2.4684379121914453</v>
      </c>
      <c r="Z26" s="9">
        <f t="shared" si="2"/>
        <v>0.43338986244582628</v>
      </c>
      <c r="AA26" s="9">
        <f t="shared" si="2"/>
        <v>0.41454682494818162</v>
      </c>
      <c r="AB26" s="9">
        <f t="shared" si="2"/>
        <v>1.6581872997927265</v>
      </c>
      <c r="AC26" s="9">
        <f t="shared" si="2"/>
        <v>0.33917467495760317</v>
      </c>
      <c r="AD26" s="9">
        <f t="shared" si="2"/>
        <v>4.5788581119276435</v>
      </c>
      <c r="AE26" s="9">
        <f t="shared" si="2"/>
        <v>3.7874505370265688</v>
      </c>
      <c r="AF26" s="9">
        <f t="shared" si="2"/>
        <v>11.569625023553796</v>
      </c>
      <c r="AG26" s="9">
        <f t="shared" si="2"/>
        <v>5.3137365743357829</v>
      </c>
      <c r="AH26" s="9">
        <f t="shared" si="2"/>
        <v>0.43338986244582628</v>
      </c>
      <c r="AI26" s="9">
        <f t="shared" si="2"/>
        <v>0.41454682494818162</v>
      </c>
      <c r="AJ26" s="9">
        <f t="shared" si="2"/>
        <v>1.8089315997738835</v>
      </c>
      <c r="AK26" s="9">
        <f t="shared" si="1"/>
        <v>0.33917467495760317</v>
      </c>
    </row>
    <row r="27" spans="1:37" x14ac:dyDescent="0.25">
      <c r="A27" s="17"/>
      <c r="B27" t="s">
        <v>25</v>
      </c>
      <c r="C27" s="1">
        <v>6792</v>
      </c>
      <c r="D27" s="1">
        <v>360</v>
      </c>
      <c r="E27">
        <v>237</v>
      </c>
      <c r="F27" s="1">
        <v>608</v>
      </c>
      <c r="G27" s="1">
        <v>156</v>
      </c>
      <c r="H27" s="5">
        <v>57</v>
      </c>
      <c r="I27">
        <v>31</v>
      </c>
      <c r="J27">
        <v>110</v>
      </c>
      <c r="K27">
        <v>24</v>
      </c>
      <c r="L27">
        <v>368</v>
      </c>
      <c r="M27">
        <v>244</v>
      </c>
      <c r="N27">
        <v>617</v>
      </c>
      <c r="O27">
        <v>433</v>
      </c>
      <c r="P27">
        <v>70</v>
      </c>
      <c r="Q27">
        <v>35</v>
      </c>
      <c r="R27">
        <v>132</v>
      </c>
      <c r="S27">
        <v>28</v>
      </c>
      <c r="V27" s="9">
        <f t="shared" si="2"/>
        <v>5.3003533568904597</v>
      </c>
      <c r="W27" s="9">
        <f t="shared" si="2"/>
        <v>3.489399293286219</v>
      </c>
      <c r="X27" s="9">
        <f t="shared" si="2"/>
        <v>8.9517078916372199</v>
      </c>
      <c r="Y27" s="9">
        <f t="shared" si="2"/>
        <v>2.2968197879858656</v>
      </c>
      <c r="Z27" s="9">
        <f t="shared" si="2"/>
        <v>0.83922261484098948</v>
      </c>
      <c r="AA27" s="9">
        <f t="shared" si="2"/>
        <v>0.45641931684334514</v>
      </c>
      <c r="AB27" s="9">
        <f t="shared" si="2"/>
        <v>1.6195524146054181</v>
      </c>
      <c r="AC27" s="9">
        <f t="shared" si="2"/>
        <v>0.35335689045936397</v>
      </c>
      <c r="AD27" s="9">
        <f t="shared" si="2"/>
        <v>5.418138987043581</v>
      </c>
      <c r="AE27" s="9">
        <f t="shared" si="2"/>
        <v>3.5924617196702</v>
      </c>
      <c r="AF27" s="9">
        <f t="shared" si="2"/>
        <v>9.0842167255594806</v>
      </c>
      <c r="AG27" s="9">
        <f t="shared" si="2"/>
        <v>6.3751472320376905</v>
      </c>
      <c r="AH27" s="9">
        <f t="shared" si="2"/>
        <v>1.0306242638398115</v>
      </c>
      <c r="AI27" s="9">
        <f t="shared" si="2"/>
        <v>0.51531213191990577</v>
      </c>
      <c r="AJ27" s="9">
        <f t="shared" si="2"/>
        <v>1.9434628975265018</v>
      </c>
      <c r="AK27" s="9">
        <f t="shared" si="1"/>
        <v>0.4122497055359246</v>
      </c>
    </row>
    <row r="28" spans="1:37" x14ac:dyDescent="0.25">
      <c r="A28" s="17"/>
      <c r="B28" t="s">
        <v>26</v>
      </c>
      <c r="C28" s="1">
        <v>5877</v>
      </c>
      <c r="D28" s="1">
        <v>225</v>
      </c>
      <c r="E28">
        <v>209</v>
      </c>
      <c r="F28" s="1">
        <v>956</v>
      </c>
      <c r="G28" s="1">
        <v>188</v>
      </c>
      <c r="H28" s="5">
        <v>15</v>
      </c>
      <c r="I28">
        <v>13</v>
      </c>
      <c r="J28">
        <v>97</v>
      </c>
      <c r="K28">
        <v>12</v>
      </c>
      <c r="L28">
        <v>228</v>
      </c>
      <c r="M28">
        <v>213</v>
      </c>
      <c r="N28">
        <v>972</v>
      </c>
      <c r="O28">
        <v>283</v>
      </c>
      <c r="P28">
        <v>22</v>
      </c>
      <c r="Q28">
        <v>20</v>
      </c>
      <c r="R28">
        <v>145</v>
      </c>
      <c r="S28">
        <v>19</v>
      </c>
      <c r="V28" s="9">
        <f t="shared" si="2"/>
        <v>3.828483920367534</v>
      </c>
      <c r="W28" s="9">
        <f t="shared" si="2"/>
        <v>3.5562361749191767</v>
      </c>
      <c r="X28" s="9">
        <f t="shared" si="2"/>
        <v>16.266802790539391</v>
      </c>
      <c r="Y28" s="9">
        <f t="shared" si="2"/>
        <v>3.1989110090182065</v>
      </c>
      <c r="Z28" s="9">
        <f t="shared" si="2"/>
        <v>0.25523226135783561</v>
      </c>
      <c r="AA28" s="9">
        <f t="shared" si="2"/>
        <v>0.22120129317679088</v>
      </c>
      <c r="AB28" s="9">
        <f t="shared" si="2"/>
        <v>1.6505019567806705</v>
      </c>
      <c r="AC28" s="9">
        <f t="shared" si="2"/>
        <v>0.20418580908626852</v>
      </c>
      <c r="AD28" s="9">
        <f t="shared" si="2"/>
        <v>3.8795303726391013</v>
      </c>
      <c r="AE28" s="9">
        <f t="shared" si="2"/>
        <v>3.6242981112812664</v>
      </c>
      <c r="AF28" s="9">
        <f t="shared" si="2"/>
        <v>16.539050535987748</v>
      </c>
      <c r="AG28" s="9">
        <f t="shared" si="2"/>
        <v>4.8153819976178323</v>
      </c>
      <c r="AH28" s="9">
        <f t="shared" si="2"/>
        <v>0.37434064999149225</v>
      </c>
      <c r="AI28" s="9">
        <f t="shared" si="2"/>
        <v>0.34030968181044752</v>
      </c>
      <c r="AJ28" s="9">
        <f t="shared" si="2"/>
        <v>2.4672451931257444</v>
      </c>
      <c r="AK28" s="9">
        <f t="shared" si="1"/>
        <v>0.32329419771992512</v>
      </c>
    </row>
    <row r="29" spans="1:37" x14ac:dyDescent="0.25">
      <c r="A29" s="17"/>
      <c r="B29" t="s">
        <v>27</v>
      </c>
      <c r="C29" s="1">
        <v>5709</v>
      </c>
      <c r="D29" s="1">
        <v>293</v>
      </c>
      <c r="E29">
        <v>177</v>
      </c>
      <c r="F29" s="1">
        <v>421</v>
      </c>
      <c r="G29" s="1">
        <v>93</v>
      </c>
      <c r="H29" s="5">
        <v>40</v>
      </c>
      <c r="I29">
        <v>23</v>
      </c>
      <c r="J29">
        <v>79</v>
      </c>
      <c r="K29">
        <v>10</v>
      </c>
      <c r="L29">
        <v>305</v>
      </c>
      <c r="M29">
        <v>184</v>
      </c>
      <c r="N29">
        <v>429</v>
      </c>
      <c r="O29">
        <v>342</v>
      </c>
      <c r="P29">
        <v>44</v>
      </c>
      <c r="Q29">
        <v>25</v>
      </c>
      <c r="R29">
        <v>85</v>
      </c>
      <c r="S29">
        <v>11</v>
      </c>
      <c r="V29" s="9">
        <f t="shared" si="2"/>
        <v>5.1322473287791208</v>
      </c>
      <c r="W29" s="9">
        <f t="shared" si="2"/>
        <v>3.1003678402522334</v>
      </c>
      <c r="X29" s="9">
        <f t="shared" si="2"/>
        <v>7.3743212471536177</v>
      </c>
      <c r="Y29" s="9">
        <f t="shared" si="2"/>
        <v>1.6290068313189701</v>
      </c>
      <c r="Z29" s="9">
        <f t="shared" si="2"/>
        <v>0.70064809949203011</v>
      </c>
      <c r="AA29" s="9">
        <f t="shared" si="2"/>
        <v>0.40287265720791732</v>
      </c>
      <c r="AB29" s="9">
        <f t="shared" si="2"/>
        <v>1.3837799964967594</v>
      </c>
      <c r="AC29" s="9">
        <f t="shared" si="2"/>
        <v>0.17516202487300753</v>
      </c>
      <c r="AD29" s="9">
        <f t="shared" si="2"/>
        <v>5.3424417586267303</v>
      </c>
      <c r="AE29" s="9">
        <f t="shared" si="2"/>
        <v>3.2229812576633385</v>
      </c>
      <c r="AF29" s="9">
        <f t="shared" si="2"/>
        <v>7.5144508670520231</v>
      </c>
      <c r="AG29" s="9">
        <f t="shared" si="2"/>
        <v>5.9905412506568574</v>
      </c>
      <c r="AH29" s="9">
        <f t="shared" si="2"/>
        <v>0.77071290944123316</v>
      </c>
      <c r="AI29" s="9">
        <f t="shared" si="2"/>
        <v>0.43790506218251884</v>
      </c>
      <c r="AJ29" s="9">
        <f t="shared" si="2"/>
        <v>1.488877211420564</v>
      </c>
      <c r="AK29" s="9">
        <f t="shared" si="1"/>
        <v>0.19267822736030829</v>
      </c>
    </row>
    <row r="30" spans="1:37" x14ac:dyDescent="0.25">
      <c r="A30" s="17" t="s">
        <v>0</v>
      </c>
      <c r="B30" t="s">
        <v>28</v>
      </c>
      <c r="C30" s="1">
        <v>6160</v>
      </c>
      <c r="D30" s="1">
        <v>222</v>
      </c>
      <c r="E30">
        <v>219</v>
      </c>
      <c r="F30" s="1">
        <v>725</v>
      </c>
      <c r="G30" s="1">
        <v>133</v>
      </c>
      <c r="H30" s="5">
        <v>47</v>
      </c>
      <c r="I30">
        <v>55</v>
      </c>
      <c r="J30">
        <v>202</v>
      </c>
      <c r="K30">
        <v>34</v>
      </c>
      <c r="L30">
        <v>227</v>
      </c>
      <c r="M30">
        <v>223</v>
      </c>
      <c r="N30">
        <v>738</v>
      </c>
      <c r="O30">
        <v>268</v>
      </c>
      <c r="P30">
        <v>53</v>
      </c>
      <c r="Q30">
        <v>64</v>
      </c>
      <c r="R30">
        <v>232</v>
      </c>
      <c r="S30">
        <v>39</v>
      </c>
      <c r="V30" s="10">
        <f t="shared" si="2"/>
        <v>3.6038961038961039</v>
      </c>
      <c r="W30" s="10">
        <f t="shared" si="2"/>
        <v>3.5551948051948048</v>
      </c>
      <c r="X30" s="10">
        <f t="shared" si="2"/>
        <v>11.769480519480521</v>
      </c>
      <c r="Y30" s="10">
        <f t="shared" si="2"/>
        <v>2.1590909090909092</v>
      </c>
      <c r="Z30" s="10">
        <f t="shared" si="2"/>
        <v>0.76298701298701299</v>
      </c>
      <c r="AA30" s="10">
        <f t="shared" si="2"/>
        <v>0.89285714285714279</v>
      </c>
      <c r="AB30" s="10">
        <f t="shared" si="2"/>
        <v>3.279220779220779</v>
      </c>
      <c r="AC30" s="10">
        <f t="shared" si="2"/>
        <v>0.55194805194805197</v>
      </c>
      <c r="AD30" s="10">
        <f t="shared" si="2"/>
        <v>3.6850649350649349</v>
      </c>
      <c r="AE30" s="10">
        <f t="shared" si="2"/>
        <v>3.6201298701298699</v>
      </c>
      <c r="AF30" s="10">
        <f t="shared" si="2"/>
        <v>11.980519480519479</v>
      </c>
      <c r="AG30" s="10">
        <f t="shared" si="2"/>
        <v>4.3506493506493511</v>
      </c>
      <c r="AH30" s="10">
        <f t="shared" si="2"/>
        <v>0.86038961038961037</v>
      </c>
      <c r="AI30" s="10">
        <f t="shared" si="2"/>
        <v>1.0389610389610389</v>
      </c>
      <c r="AJ30" s="10">
        <f t="shared" si="2"/>
        <v>3.7662337662337659</v>
      </c>
      <c r="AK30" s="10">
        <f t="shared" si="1"/>
        <v>0.63311688311688319</v>
      </c>
    </row>
    <row r="31" spans="1:37" x14ac:dyDescent="0.25">
      <c r="A31" s="17"/>
      <c r="B31" t="s">
        <v>29</v>
      </c>
      <c r="C31" s="1">
        <v>4760</v>
      </c>
      <c r="D31" s="1">
        <v>180</v>
      </c>
      <c r="E31">
        <v>134</v>
      </c>
      <c r="F31" s="1">
        <v>335</v>
      </c>
      <c r="G31" s="1">
        <v>67</v>
      </c>
      <c r="H31" s="5">
        <v>25</v>
      </c>
      <c r="I31">
        <v>17</v>
      </c>
      <c r="J31">
        <v>36</v>
      </c>
      <c r="K31">
        <v>5</v>
      </c>
      <c r="L31">
        <v>193</v>
      </c>
      <c r="M31">
        <v>138</v>
      </c>
      <c r="N31">
        <v>346</v>
      </c>
      <c r="O31">
        <v>214</v>
      </c>
      <c r="P31">
        <v>28</v>
      </c>
      <c r="Q31">
        <v>21</v>
      </c>
      <c r="R31">
        <v>40</v>
      </c>
      <c r="S31">
        <v>7</v>
      </c>
      <c r="V31" s="10">
        <f t="shared" si="2"/>
        <v>3.7815126050420167</v>
      </c>
      <c r="W31" s="10">
        <f t="shared" si="2"/>
        <v>2.8151260504201683</v>
      </c>
      <c r="X31" s="10">
        <f t="shared" si="2"/>
        <v>7.03781512605042</v>
      </c>
      <c r="Y31" s="10">
        <f t="shared" si="2"/>
        <v>1.4075630252100841</v>
      </c>
      <c r="Z31" s="10">
        <f t="shared" si="2"/>
        <v>0.52521008403361347</v>
      </c>
      <c r="AA31" s="10">
        <f t="shared" si="2"/>
        <v>0.35714285714285715</v>
      </c>
      <c r="AB31" s="10">
        <f t="shared" si="2"/>
        <v>0.75630252100840334</v>
      </c>
      <c r="AC31" s="10">
        <f t="shared" si="2"/>
        <v>0.10504201680672269</v>
      </c>
      <c r="AD31" s="10">
        <f t="shared" si="2"/>
        <v>4.0546218487394956</v>
      </c>
      <c r="AE31" s="10">
        <f t="shared" si="2"/>
        <v>2.8991596638655461</v>
      </c>
      <c r="AF31" s="10">
        <f t="shared" si="2"/>
        <v>7.2689075630252109</v>
      </c>
      <c r="AG31" s="10">
        <f t="shared" si="2"/>
        <v>4.4957983193277311</v>
      </c>
      <c r="AH31" s="10">
        <f t="shared" si="2"/>
        <v>0.58823529411764708</v>
      </c>
      <c r="AI31" s="10">
        <f t="shared" si="2"/>
        <v>0.44117647058823528</v>
      </c>
      <c r="AJ31" s="10">
        <f t="shared" si="2"/>
        <v>0.84033613445378152</v>
      </c>
      <c r="AK31" s="10">
        <f t="shared" si="1"/>
        <v>0.14705882352941177</v>
      </c>
    </row>
    <row r="32" spans="1:37" x14ac:dyDescent="0.25">
      <c r="A32" s="17"/>
      <c r="B32" t="s">
        <v>30</v>
      </c>
      <c r="C32" s="1">
        <v>6681</v>
      </c>
      <c r="D32" s="1">
        <v>293</v>
      </c>
      <c r="E32">
        <v>521</v>
      </c>
      <c r="F32" s="1">
        <v>492</v>
      </c>
      <c r="G32" s="1">
        <v>202</v>
      </c>
      <c r="H32" s="5">
        <v>20</v>
      </c>
      <c r="I32">
        <v>54</v>
      </c>
      <c r="J32">
        <v>49</v>
      </c>
      <c r="K32">
        <v>14</v>
      </c>
      <c r="L32">
        <v>304</v>
      </c>
      <c r="M32">
        <v>537</v>
      </c>
      <c r="N32">
        <v>502</v>
      </c>
      <c r="O32">
        <v>365</v>
      </c>
      <c r="P32">
        <v>21</v>
      </c>
      <c r="Q32">
        <v>60</v>
      </c>
      <c r="R32">
        <v>54</v>
      </c>
      <c r="S32">
        <v>15</v>
      </c>
      <c r="V32" s="10">
        <f t="shared" si="2"/>
        <v>4.3855710223020505</v>
      </c>
      <c r="W32" s="10">
        <f t="shared" si="2"/>
        <v>7.7982337973357279</v>
      </c>
      <c r="X32" s="10">
        <f t="shared" si="2"/>
        <v>7.3641670408621458</v>
      </c>
      <c r="Y32" s="10">
        <f t="shared" si="2"/>
        <v>3.0234994761263283</v>
      </c>
      <c r="Z32" s="10">
        <f t="shared" si="2"/>
        <v>0.29935638377488399</v>
      </c>
      <c r="AA32" s="10">
        <f t="shared" si="2"/>
        <v>0.80826223619218684</v>
      </c>
      <c r="AB32" s="10">
        <f t="shared" si="2"/>
        <v>0.73342314024846578</v>
      </c>
      <c r="AC32" s="10">
        <f t="shared" si="2"/>
        <v>0.2095494686424188</v>
      </c>
      <c r="AD32" s="10">
        <f t="shared" si="2"/>
        <v>4.550217033378237</v>
      </c>
      <c r="AE32" s="10">
        <f t="shared" si="2"/>
        <v>8.0377189043556356</v>
      </c>
      <c r="AF32" s="10">
        <f t="shared" si="2"/>
        <v>7.5138452327495884</v>
      </c>
      <c r="AG32" s="10">
        <f t="shared" si="2"/>
        <v>5.4632540038916328</v>
      </c>
      <c r="AH32" s="10">
        <f t="shared" si="2"/>
        <v>0.31432420296362817</v>
      </c>
      <c r="AI32" s="10">
        <f t="shared" si="2"/>
        <v>0.89806915132465204</v>
      </c>
      <c r="AJ32" s="10">
        <f t="shared" si="2"/>
        <v>0.80826223619218684</v>
      </c>
      <c r="AK32" s="10">
        <f t="shared" si="1"/>
        <v>0.22451728783116301</v>
      </c>
    </row>
    <row r="33" spans="1:37" x14ac:dyDescent="0.25">
      <c r="A33" s="17"/>
      <c r="B33" t="s">
        <v>31</v>
      </c>
      <c r="C33" s="1">
        <v>4208</v>
      </c>
      <c r="D33" s="1">
        <v>231</v>
      </c>
      <c r="E33">
        <v>39</v>
      </c>
      <c r="F33" s="1">
        <v>31</v>
      </c>
      <c r="G33" s="1">
        <v>18</v>
      </c>
      <c r="H33" s="5">
        <v>14</v>
      </c>
      <c r="I33">
        <v>1</v>
      </c>
      <c r="J33">
        <v>1</v>
      </c>
      <c r="K33">
        <v>0</v>
      </c>
      <c r="L33">
        <v>233</v>
      </c>
      <c r="M33">
        <v>42</v>
      </c>
      <c r="N33">
        <v>33</v>
      </c>
      <c r="O33">
        <v>244</v>
      </c>
      <c r="P33">
        <v>14</v>
      </c>
      <c r="Q33">
        <v>1</v>
      </c>
      <c r="R33">
        <v>1</v>
      </c>
      <c r="S33">
        <v>0</v>
      </c>
      <c r="V33" s="10">
        <f t="shared" si="2"/>
        <v>5.4895437262357412</v>
      </c>
      <c r="W33" s="10">
        <f t="shared" si="2"/>
        <v>0.92680608365019002</v>
      </c>
      <c r="X33" s="10">
        <f t="shared" si="2"/>
        <v>0.73669201520912542</v>
      </c>
      <c r="Y33" s="10">
        <f t="shared" si="2"/>
        <v>0.42775665399239543</v>
      </c>
      <c r="Z33" s="10">
        <f t="shared" si="2"/>
        <v>0.33269961977186308</v>
      </c>
      <c r="AA33" s="10">
        <f t="shared" si="2"/>
        <v>2.3764258555133078E-2</v>
      </c>
      <c r="AB33" s="10">
        <f t="shared" si="2"/>
        <v>2.3764258555133078E-2</v>
      </c>
      <c r="AC33" s="10">
        <f t="shared" si="2"/>
        <v>0</v>
      </c>
      <c r="AD33" s="10">
        <f t="shared" si="2"/>
        <v>5.5370722433460076</v>
      </c>
      <c r="AE33" s="10">
        <f t="shared" si="2"/>
        <v>0.99809885931558939</v>
      </c>
      <c r="AF33" s="10">
        <f t="shared" si="2"/>
        <v>0.78422053231939159</v>
      </c>
      <c r="AG33" s="10">
        <f t="shared" si="2"/>
        <v>5.7984790874524714</v>
      </c>
      <c r="AH33" s="10">
        <f t="shared" si="2"/>
        <v>0.33269961977186308</v>
      </c>
      <c r="AI33" s="10">
        <f t="shared" si="2"/>
        <v>2.3764258555133078E-2</v>
      </c>
      <c r="AJ33" s="10">
        <f t="shared" si="2"/>
        <v>2.3764258555133078E-2</v>
      </c>
      <c r="AK33" s="10">
        <f t="shared" si="1"/>
        <v>0</v>
      </c>
    </row>
    <row r="34" spans="1:37" x14ac:dyDescent="0.25">
      <c r="A34" s="17"/>
      <c r="B34" t="s">
        <v>32</v>
      </c>
      <c r="C34" s="1">
        <v>6766</v>
      </c>
      <c r="D34" s="1">
        <v>304</v>
      </c>
      <c r="E34">
        <v>205</v>
      </c>
      <c r="F34" s="1">
        <v>601</v>
      </c>
      <c r="G34" s="1">
        <v>146</v>
      </c>
      <c r="H34" s="5">
        <v>48</v>
      </c>
      <c r="I34">
        <v>31</v>
      </c>
      <c r="J34">
        <v>128</v>
      </c>
      <c r="K34">
        <v>21</v>
      </c>
      <c r="L34">
        <v>314</v>
      </c>
      <c r="M34">
        <v>210</v>
      </c>
      <c r="N34">
        <v>604</v>
      </c>
      <c r="O34">
        <v>380</v>
      </c>
      <c r="P34">
        <v>61</v>
      </c>
      <c r="Q34">
        <v>39</v>
      </c>
      <c r="R34">
        <v>158</v>
      </c>
      <c r="S34">
        <v>28</v>
      </c>
      <c r="V34" s="10">
        <f t="shared" si="2"/>
        <v>4.4930535028081584</v>
      </c>
      <c r="W34" s="10">
        <f t="shared" si="2"/>
        <v>3.0298551581436595</v>
      </c>
      <c r="X34" s="10">
        <f t="shared" si="2"/>
        <v>8.8826485368016552</v>
      </c>
      <c r="Y34" s="10">
        <f t="shared" si="2"/>
        <v>2.1578480638486548</v>
      </c>
      <c r="Z34" s="10">
        <f t="shared" si="2"/>
        <v>0.70942950044339348</v>
      </c>
      <c r="AA34" s="10">
        <f t="shared" si="2"/>
        <v>0.45817321903635821</v>
      </c>
      <c r="AB34" s="10">
        <f t="shared" si="2"/>
        <v>1.8918120011823827</v>
      </c>
      <c r="AC34" s="10">
        <f t="shared" si="2"/>
        <v>0.31037540644398465</v>
      </c>
      <c r="AD34" s="10">
        <f t="shared" si="2"/>
        <v>4.640851315400532</v>
      </c>
      <c r="AE34" s="10">
        <f t="shared" si="2"/>
        <v>3.1037540644398462</v>
      </c>
      <c r="AF34" s="10">
        <f t="shared" si="2"/>
        <v>8.9269878805793681</v>
      </c>
      <c r="AG34" s="10">
        <f t="shared" si="2"/>
        <v>5.6163168785101982</v>
      </c>
      <c r="AH34" s="10">
        <f t="shared" si="2"/>
        <v>0.90156665681347914</v>
      </c>
      <c r="AI34" s="10">
        <f t="shared" si="2"/>
        <v>0.5764114691102572</v>
      </c>
      <c r="AJ34" s="10">
        <f t="shared" si="2"/>
        <v>2.3352054389595036</v>
      </c>
      <c r="AK34" s="10">
        <f t="shared" si="1"/>
        <v>0.41383387525864618</v>
      </c>
    </row>
    <row r="35" spans="1:37" x14ac:dyDescent="0.25">
      <c r="A35" s="17"/>
      <c r="B35" t="s">
        <v>33</v>
      </c>
      <c r="C35" s="1">
        <v>5320</v>
      </c>
      <c r="D35" s="1">
        <v>157</v>
      </c>
      <c r="E35">
        <v>164</v>
      </c>
      <c r="F35" s="1">
        <v>288</v>
      </c>
      <c r="G35" s="1">
        <v>51</v>
      </c>
      <c r="H35" s="5">
        <v>19</v>
      </c>
      <c r="I35">
        <v>23</v>
      </c>
      <c r="J35">
        <v>63</v>
      </c>
      <c r="K35">
        <v>5</v>
      </c>
      <c r="L35">
        <v>168</v>
      </c>
      <c r="M35">
        <v>169</v>
      </c>
      <c r="N35">
        <v>293</v>
      </c>
      <c r="O35">
        <v>189</v>
      </c>
      <c r="P35">
        <v>19</v>
      </c>
      <c r="Q35">
        <v>24</v>
      </c>
      <c r="R35">
        <v>74</v>
      </c>
      <c r="S35">
        <v>5</v>
      </c>
      <c r="V35" s="10">
        <f t="shared" si="2"/>
        <v>2.9511278195488719</v>
      </c>
      <c r="W35" s="10">
        <f t="shared" si="2"/>
        <v>3.0827067669172932</v>
      </c>
      <c r="X35" s="10">
        <f t="shared" si="2"/>
        <v>5.4135338345864659</v>
      </c>
      <c r="Y35" s="10">
        <f t="shared" si="2"/>
        <v>0.95864661654135341</v>
      </c>
      <c r="Z35" s="10">
        <f t="shared" si="2"/>
        <v>0.35714285714285715</v>
      </c>
      <c r="AA35" s="10">
        <f t="shared" si="2"/>
        <v>0.43233082706766918</v>
      </c>
      <c r="AB35" s="10">
        <f t="shared" si="2"/>
        <v>1.1842105263157896</v>
      </c>
      <c r="AC35" s="10">
        <f t="shared" si="2"/>
        <v>9.3984962406015032E-2</v>
      </c>
      <c r="AD35" s="10">
        <f t="shared" si="2"/>
        <v>3.1578947368421053</v>
      </c>
      <c r="AE35" s="10">
        <f t="shared" si="2"/>
        <v>3.1766917293233083</v>
      </c>
      <c r="AF35" s="10">
        <f t="shared" si="2"/>
        <v>5.507518796992481</v>
      </c>
      <c r="AG35" s="10">
        <f t="shared" si="2"/>
        <v>3.5526315789473681</v>
      </c>
      <c r="AH35" s="10">
        <f t="shared" si="2"/>
        <v>0.35714285714285715</v>
      </c>
      <c r="AI35" s="10">
        <f t="shared" si="2"/>
        <v>0.45112781954887221</v>
      </c>
      <c r="AJ35" s="10">
        <f t="shared" si="2"/>
        <v>1.3909774436090225</v>
      </c>
      <c r="AK35" s="10">
        <f t="shared" si="1"/>
        <v>9.3984962406015032E-2</v>
      </c>
    </row>
    <row r="36" spans="1:37" x14ac:dyDescent="0.25">
      <c r="A36" s="17"/>
      <c r="B36" t="s">
        <v>34</v>
      </c>
      <c r="C36" s="1">
        <v>5845</v>
      </c>
      <c r="D36" s="1">
        <v>277</v>
      </c>
      <c r="E36">
        <v>130</v>
      </c>
      <c r="F36" s="1">
        <v>258</v>
      </c>
      <c r="G36" s="1">
        <v>66</v>
      </c>
      <c r="H36" s="5">
        <v>31</v>
      </c>
      <c r="I36">
        <v>28</v>
      </c>
      <c r="J36">
        <v>85</v>
      </c>
      <c r="K36">
        <v>13</v>
      </c>
      <c r="L36">
        <v>287</v>
      </c>
      <c r="M36">
        <v>132</v>
      </c>
      <c r="N36">
        <v>260</v>
      </c>
      <c r="O36">
        <v>316</v>
      </c>
      <c r="P36">
        <v>35</v>
      </c>
      <c r="Q36">
        <v>35</v>
      </c>
      <c r="R36">
        <v>102</v>
      </c>
      <c r="S36">
        <v>16</v>
      </c>
      <c r="V36" s="10">
        <f t="shared" ref="V36:AJ52" si="3">(D36/$C36)*100</f>
        <v>4.7390932420872538</v>
      </c>
      <c r="W36" s="10">
        <f t="shared" si="3"/>
        <v>2.2241231822070144</v>
      </c>
      <c r="X36" s="10">
        <f t="shared" si="3"/>
        <v>4.4140290846877672</v>
      </c>
      <c r="Y36" s="10">
        <f t="shared" si="3"/>
        <v>1.1291702309666383</v>
      </c>
      <c r="Z36" s="10">
        <f t="shared" si="3"/>
        <v>0.53036783575705726</v>
      </c>
      <c r="AA36" s="10">
        <f t="shared" si="3"/>
        <v>0.47904191616766467</v>
      </c>
      <c r="AB36" s="10">
        <f t="shared" si="3"/>
        <v>1.4542343883661248</v>
      </c>
      <c r="AC36" s="10">
        <f t="shared" si="3"/>
        <v>0.22241231822070143</v>
      </c>
      <c r="AD36" s="10">
        <f t="shared" si="3"/>
        <v>4.9101796407185629</v>
      </c>
      <c r="AE36" s="10">
        <f t="shared" si="3"/>
        <v>2.2583404619332765</v>
      </c>
      <c r="AF36" s="10">
        <f t="shared" si="3"/>
        <v>4.4482463644140289</v>
      </c>
      <c r="AG36" s="10">
        <f t="shared" si="3"/>
        <v>5.4063301967493587</v>
      </c>
      <c r="AH36" s="10">
        <f t="shared" si="3"/>
        <v>0.5988023952095809</v>
      </c>
      <c r="AI36" s="10">
        <f t="shared" si="3"/>
        <v>0.5988023952095809</v>
      </c>
      <c r="AJ36" s="10">
        <f t="shared" si="3"/>
        <v>1.74508126603935</v>
      </c>
      <c r="AK36" s="10">
        <f t="shared" si="1"/>
        <v>0.2737382378100941</v>
      </c>
    </row>
    <row r="37" spans="1:37" x14ac:dyDescent="0.25">
      <c r="A37" s="17"/>
      <c r="B37" t="s">
        <v>35</v>
      </c>
      <c r="C37" s="1">
        <v>5730</v>
      </c>
      <c r="D37" s="1">
        <v>234</v>
      </c>
      <c r="E37">
        <v>231</v>
      </c>
      <c r="F37" s="1">
        <v>572</v>
      </c>
      <c r="G37" s="1">
        <v>119</v>
      </c>
      <c r="H37" s="5">
        <v>12</v>
      </c>
      <c r="I37">
        <v>10</v>
      </c>
      <c r="J37">
        <v>58</v>
      </c>
      <c r="K37">
        <v>4</v>
      </c>
      <c r="L37">
        <v>239</v>
      </c>
      <c r="M37">
        <v>235</v>
      </c>
      <c r="N37">
        <v>581</v>
      </c>
      <c r="O37">
        <v>287</v>
      </c>
      <c r="P37">
        <v>13</v>
      </c>
      <c r="Q37">
        <v>11</v>
      </c>
      <c r="R37">
        <v>65</v>
      </c>
      <c r="S37">
        <v>4</v>
      </c>
      <c r="V37" s="10">
        <f t="shared" si="3"/>
        <v>4.0837696335078535</v>
      </c>
      <c r="W37" s="10">
        <f t="shared" si="3"/>
        <v>4.0314136125654452</v>
      </c>
      <c r="X37" s="10">
        <f t="shared" si="3"/>
        <v>9.9825479930191978</v>
      </c>
      <c r="Y37" s="10">
        <f t="shared" si="3"/>
        <v>2.0767888307155324</v>
      </c>
      <c r="Z37" s="10">
        <f t="shared" si="3"/>
        <v>0.20942408376963353</v>
      </c>
      <c r="AA37" s="10">
        <f t="shared" si="3"/>
        <v>0.17452006980802792</v>
      </c>
      <c r="AB37" s="10">
        <f t="shared" si="3"/>
        <v>1.0122164048865618</v>
      </c>
      <c r="AC37" s="10">
        <f t="shared" si="3"/>
        <v>6.9808027923211169E-2</v>
      </c>
      <c r="AD37" s="10">
        <f t="shared" si="3"/>
        <v>4.1710296684118671</v>
      </c>
      <c r="AE37" s="10">
        <f t="shared" si="3"/>
        <v>4.1012216404886557</v>
      </c>
      <c r="AF37" s="10">
        <f t="shared" si="3"/>
        <v>10.139616055846421</v>
      </c>
      <c r="AG37" s="10">
        <f t="shared" si="3"/>
        <v>5.0087260034904011</v>
      </c>
      <c r="AH37" s="10">
        <f t="shared" si="3"/>
        <v>0.22687609075043633</v>
      </c>
      <c r="AI37" s="10">
        <f t="shared" si="3"/>
        <v>0.19197207678883071</v>
      </c>
      <c r="AJ37" s="10">
        <f t="shared" si="3"/>
        <v>1.1343804537521813</v>
      </c>
      <c r="AK37" s="10">
        <f t="shared" si="1"/>
        <v>6.9808027923211169E-2</v>
      </c>
    </row>
    <row r="38" spans="1:37" x14ac:dyDescent="0.25">
      <c r="A38" s="17"/>
      <c r="B38" t="s">
        <v>36</v>
      </c>
      <c r="C38" s="1">
        <v>5363</v>
      </c>
      <c r="D38" s="1">
        <v>180</v>
      </c>
      <c r="E38">
        <v>179</v>
      </c>
      <c r="F38" s="1">
        <v>499</v>
      </c>
      <c r="G38" s="1">
        <v>90</v>
      </c>
      <c r="H38" s="5">
        <v>23</v>
      </c>
      <c r="I38">
        <v>22</v>
      </c>
      <c r="J38">
        <v>106</v>
      </c>
      <c r="K38">
        <v>9</v>
      </c>
      <c r="L38">
        <v>184</v>
      </c>
      <c r="M38">
        <v>185</v>
      </c>
      <c r="N38">
        <v>518</v>
      </c>
      <c r="O38">
        <v>219</v>
      </c>
      <c r="P38">
        <v>25</v>
      </c>
      <c r="Q38">
        <v>26</v>
      </c>
      <c r="R38">
        <v>129</v>
      </c>
      <c r="S38">
        <v>11</v>
      </c>
      <c r="V38" s="10">
        <f t="shared" si="3"/>
        <v>3.356330412082789</v>
      </c>
      <c r="W38" s="10">
        <f t="shared" si="3"/>
        <v>3.3376841320156627</v>
      </c>
      <c r="X38" s="10">
        <f t="shared" si="3"/>
        <v>9.3044937534961782</v>
      </c>
      <c r="Y38" s="10">
        <f t="shared" si="3"/>
        <v>1.6781652060413945</v>
      </c>
      <c r="Z38" s="10">
        <f t="shared" si="3"/>
        <v>0.42886444154391201</v>
      </c>
      <c r="AA38" s="10">
        <f t="shared" si="3"/>
        <v>0.41021816147678536</v>
      </c>
      <c r="AB38" s="10">
        <f t="shared" si="3"/>
        <v>1.9765056871154203</v>
      </c>
      <c r="AC38" s="10">
        <f t="shared" si="3"/>
        <v>0.16781652060413949</v>
      </c>
      <c r="AD38" s="10">
        <f t="shared" si="3"/>
        <v>3.4309155323512961</v>
      </c>
      <c r="AE38" s="10">
        <f t="shared" si="3"/>
        <v>3.4495618124184224</v>
      </c>
      <c r="AF38" s="10">
        <f t="shared" si="3"/>
        <v>9.6587730747715828</v>
      </c>
      <c r="AG38" s="10">
        <f t="shared" si="3"/>
        <v>4.083535334700727</v>
      </c>
      <c r="AH38" s="10">
        <f t="shared" si="3"/>
        <v>0.46615700167816521</v>
      </c>
      <c r="AI38" s="10">
        <f t="shared" si="3"/>
        <v>0.4848032817452918</v>
      </c>
      <c r="AJ38" s="10">
        <f t="shared" si="3"/>
        <v>2.4053701286593325</v>
      </c>
      <c r="AK38" s="10">
        <f t="shared" si="1"/>
        <v>0.20510908073839268</v>
      </c>
    </row>
    <row r="39" spans="1:37" x14ac:dyDescent="0.25">
      <c r="A39" s="17"/>
      <c r="B39" t="s">
        <v>37</v>
      </c>
      <c r="C39" s="1">
        <v>6044</v>
      </c>
      <c r="D39" s="1">
        <v>298</v>
      </c>
      <c r="E39">
        <v>191</v>
      </c>
      <c r="F39" s="1">
        <v>330</v>
      </c>
      <c r="G39" s="1">
        <v>86</v>
      </c>
      <c r="H39" s="5">
        <v>32</v>
      </c>
      <c r="I39">
        <v>17</v>
      </c>
      <c r="J39">
        <v>62</v>
      </c>
      <c r="K39">
        <v>9</v>
      </c>
      <c r="L39">
        <v>303</v>
      </c>
      <c r="M39">
        <v>198</v>
      </c>
      <c r="N39">
        <v>336</v>
      </c>
      <c r="O39">
        <v>341</v>
      </c>
      <c r="P39">
        <v>37</v>
      </c>
      <c r="Q39">
        <v>18</v>
      </c>
      <c r="R39">
        <v>73</v>
      </c>
      <c r="S39">
        <v>9</v>
      </c>
      <c r="V39" s="10">
        <f t="shared" si="3"/>
        <v>4.9305095962938452</v>
      </c>
      <c r="W39" s="10">
        <f t="shared" si="3"/>
        <v>3.1601588352084717</v>
      </c>
      <c r="X39" s="10">
        <f t="shared" si="3"/>
        <v>5.4599602911978824</v>
      </c>
      <c r="Y39" s="10">
        <f t="shared" si="3"/>
        <v>1.4228987425545996</v>
      </c>
      <c r="Z39" s="10">
        <f t="shared" si="3"/>
        <v>0.52945069490403707</v>
      </c>
      <c r="AA39" s="10">
        <f t="shared" si="3"/>
        <v>0.2812706816677697</v>
      </c>
      <c r="AB39" s="10">
        <f t="shared" si="3"/>
        <v>1.0258107213765717</v>
      </c>
      <c r="AC39" s="10">
        <f t="shared" si="3"/>
        <v>0.14890800794176043</v>
      </c>
      <c r="AD39" s="10">
        <f t="shared" si="3"/>
        <v>5.0132362673726014</v>
      </c>
      <c r="AE39" s="10">
        <f t="shared" si="3"/>
        <v>3.2759761747187297</v>
      </c>
      <c r="AF39" s="10">
        <f t="shared" si="3"/>
        <v>5.5592322964923895</v>
      </c>
      <c r="AG39" s="10">
        <f t="shared" si="3"/>
        <v>5.6419589675711448</v>
      </c>
      <c r="AH39" s="10">
        <f t="shared" si="3"/>
        <v>0.61217736598279293</v>
      </c>
      <c r="AI39" s="10">
        <f t="shared" si="3"/>
        <v>0.29781601588352086</v>
      </c>
      <c r="AJ39" s="10">
        <f t="shared" si="3"/>
        <v>1.2078093977498345</v>
      </c>
      <c r="AK39" s="10">
        <f t="shared" si="1"/>
        <v>0.14890800794176043</v>
      </c>
    </row>
    <row r="40" spans="1:37" x14ac:dyDescent="0.25">
      <c r="A40" s="17"/>
      <c r="B40" t="s">
        <v>38</v>
      </c>
      <c r="C40" s="1">
        <v>6895</v>
      </c>
      <c r="D40" s="1">
        <v>256</v>
      </c>
      <c r="E40">
        <v>259</v>
      </c>
      <c r="F40" s="1">
        <v>608</v>
      </c>
      <c r="G40" s="1">
        <v>147</v>
      </c>
      <c r="H40" s="5">
        <v>31</v>
      </c>
      <c r="I40">
        <v>36</v>
      </c>
      <c r="J40">
        <v>125</v>
      </c>
      <c r="K40">
        <v>24</v>
      </c>
      <c r="L40">
        <v>263</v>
      </c>
      <c r="M40">
        <v>273</v>
      </c>
      <c r="N40">
        <v>627</v>
      </c>
      <c r="O40">
        <v>311</v>
      </c>
      <c r="P40">
        <v>38</v>
      </c>
      <c r="Q40">
        <v>42</v>
      </c>
      <c r="R40">
        <v>152</v>
      </c>
      <c r="S40">
        <v>29</v>
      </c>
      <c r="V40" s="10">
        <f t="shared" si="3"/>
        <v>3.7128353879622913</v>
      </c>
      <c r="W40" s="10">
        <f t="shared" si="3"/>
        <v>3.7563451776649748</v>
      </c>
      <c r="X40" s="10">
        <f t="shared" si="3"/>
        <v>8.8179840464104409</v>
      </c>
      <c r="Y40" s="10">
        <f t="shared" si="3"/>
        <v>2.1319796954314718</v>
      </c>
      <c r="Z40" s="10">
        <f t="shared" si="3"/>
        <v>0.44960116026105879</v>
      </c>
      <c r="AA40" s="10">
        <f t="shared" si="3"/>
        <v>0.52211747643219719</v>
      </c>
      <c r="AB40" s="10">
        <f t="shared" si="3"/>
        <v>1.8129079042784626</v>
      </c>
      <c r="AC40" s="10">
        <f t="shared" si="3"/>
        <v>0.34807831762146479</v>
      </c>
      <c r="AD40" s="10">
        <f t="shared" si="3"/>
        <v>3.8143582306018851</v>
      </c>
      <c r="AE40" s="10">
        <f t="shared" si="3"/>
        <v>3.9593908629441623</v>
      </c>
      <c r="AF40" s="10">
        <f t="shared" si="3"/>
        <v>9.0935460478607695</v>
      </c>
      <c r="AG40" s="10">
        <f t="shared" si="3"/>
        <v>4.5105148658448151</v>
      </c>
      <c r="AH40" s="10">
        <f t="shared" si="3"/>
        <v>0.55112400290065255</v>
      </c>
      <c r="AI40" s="10">
        <f t="shared" si="3"/>
        <v>0.60913705583756339</v>
      </c>
      <c r="AJ40" s="10">
        <f t="shared" si="3"/>
        <v>2.2044960116026102</v>
      </c>
      <c r="AK40" s="10">
        <f t="shared" si="1"/>
        <v>0.42059463379260331</v>
      </c>
    </row>
    <row r="41" spans="1:37" x14ac:dyDescent="0.25">
      <c r="A41" s="17" t="s">
        <v>1</v>
      </c>
      <c r="B41" t="s">
        <v>28</v>
      </c>
      <c r="C41" s="1">
        <v>6160</v>
      </c>
      <c r="D41" s="1">
        <v>222</v>
      </c>
      <c r="E41">
        <v>219</v>
      </c>
      <c r="F41" s="1">
        <v>725</v>
      </c>
      <c r="G41" s="1">
        <v>133</v>
      </c>
      <c r="H41" s="5">
        <v>47</v>
      </c>
      <c r="I41">
        <v>55</v>
      </c>
      <c r="J41">
        <v>202</v>
      </c>
      <c r="K41">
        <v>34</v>
      </c>
      <c r="L41">
        <v>227</v>
      </c>
      <c r="M41">
        <v>223</v>
      </c>
      <c r="N41">
        <v>738</v>
      </c>
      <c r="O41">
        <v>268</v>
      </c>
      <c r="P41">
        <v>53</v>
      </c>
      <c r="Q41">
        <v>64</v>
      </c>
      <c r="R41">
        <v>232</v>
      </c>
      <c r="S41">
        <v>39</v>
      </c>
      <c r="V41" s="11">
        <f t="shared" si="3"/>
        <v>3.6038961038961039</v>
      </c>
      <c r="W41" s="11">
        <f t="shared" si="3"/>
        <v>3.5551948051948048</v>
      </c>
      <c r="X41" s="11">
        <f t="shared" si="3"/>
        <v>11.769480519480521</v>
      </c>
      <c r="Y41" s="11">
        <f t="shared" si="3"/>
        <v>2.1590909090909092</v>
      </c>
      <c r="Z41" s="11">
        <f t="shared" si="3"/>
        <v>0.76298701298701299</v>
      </c>
      <c r="AA41" s="11">
        <f t="shared" si="3"/>
        <v>0.89285714285714279</v>
      </c>
      <c r="AB41" s="11">
        <f t="shared" si="3"/>
        <v>3.279220779220779</v>
      </c>
      <c r="AC41" s="11">
        <f t="shared" si="3"/>
        <v>0.55194805194805197</v>
      </c>
      <c r="AD41" s="11">
        <f t="shared" si="3"/>
        <v>3.6850649350649349</v>
      </c>
      <c r="AE41" s="11">
        <f t="shared" si="3"/>
        <v>3.6201298701298699</v>
      </c>
      <c r="AF41" s="11">
        <f t="shared" si="3"/>
        <v>11.980519480519479</v>
      </c>
      <c r="AG41" s="11">
        <f t="shared" si="3"/>
        <v>4.3506493506493511</v>
      </c>
      <c r="AH41" s="11">
        <f t="shared" si="3"/>
        <v>0.86038961038961037</v>
      </c>
      <c r="AI41" s="11">
        <f t="shared" si="3"/>
        <v>1.0389610389610389</v>
      </c>
      <c r="AJ41" s="11">
        <f t="shared" si="3"/>
        <v>3.7662337662337659</v>
      </c>
      <c r="AK41" s="11">
        <f t="shared" si="1"/>
        <v>0.63311688311688319</v>
      </c>
    </row>
    <row r="42" spans="1:37" x14ac:dyDescent="0.25">
      <c r="A42" s="17"/>
      <c r="B42" t="s">
        <v>29</v>
      </c>
      <c r="C42" s="1">
        <v>4760</v>
      </c>
      <c r="D42" s="1">
        <v>180</v>
      </c>
      <c r="E42">
        <v>134</v>
      </c>
      <c r="F42" s="1">
        <v>335</v>
      </c>
      <c r="G42" s="1">
        <v>67</v>
      </c>
      <c r="H42" s="5">
        <v>25</v>
      </c>
      <c r="I42">
        <v>17</v>
      </c>
      <c r="J42">
        <v>36</v>
      </c>
      <c r="K42">
        <v>5</v>
      </c>
      <c r="L42">
        <v>193</v>
      </c>
      <c r="M42">
        <v>138</v>
      </c>
      <c r="N42">
        <v>346</v>
      </c>
      <c r="O42">
        <v>214</v>
      </c>
      <c r="P42">
        <v>28</v>
      </c>
      <c r="Q42">
        <v>21</v>
      </c>
      <c r="R42">
        <v>40</v>
      </c>
      <c r="S42">
        <v>7</v>
      </c>
      <c r="V42" s="11">
        <f t="shared" si="3"/>
        <v>3.7815126050420167</v>
      </c>
      <c r="W42" s="11">
        <f t="shared" si="3"/>
        <v>2.8151260504201683</v>
      </c>
      <c r="X42" s="11">
        <f t="shared" si="3"/>
        <v>7.03781512605042</v>
      </c>
      <c r="Y42" s="11">
        <f t="shared" si="3"/>
        <v>1.4075630252100841</v>
      </c>
      <c r="Z42" s="11">
        <f t="shared" si="3"/>
        <v>0.52521008403361347</v>
      </c>
      <c r="AA42" s="11">
        <f t="shared" si="3"/>
        <v>0.35714285714285715</v>
      </c>
      <c r="AB42" s="11">
        <f t="shared" si="3"/>
        <v>0.75630252100840334</v>
      </c>
      <c r="AC42" s="11">
        <f t="shared" si="3"/>
        <v>0.10504201680672269</v>
      </c>
      <c r="AD42" s="11">
        <f t="shared" si="3"/>
        <v>4.0546218487394956</v>
      </c>
      <c r="AE42" s="11">
        <f t="shared" si="3"/>
        <v>2.8991596638655461</v>
      </c>
      <c r="AF42" s="11">
        <f t="shared" si="3"/>
        <v>7.2689075630252109</v>
      </c>
      <c r="AG42" s="11">
        <f t="shared" si="3"/>
        <v>4.4957983193277311</v>
      </c>
      <c r="AH42" s="11">
        <f t="shared" si="3"/>
        <v>0.58823529411764708</v>
      </c>
      <c r="AI42" s="11">
        <f t="shared" si="3"/>
        <v>0.44117647058823528</v>
      </c>
      <c r="AJ42" s="11">
        <f t="shared" si="3"/>
        <v>0.84033613445378152</v>
      </c>
      <c r="AK42" s="11">
        <f t="shared" si="1"/>
        <v>0.14705882352941177</v>
      </c>
    </row>
    <row r="43" spans="1:37" x14ac:dyDescent="0.25">
      <c r="A43" s="17"/>
      <c r="B43" t="s">
        <v>30</v>
      </c>
      <c r="C43" s="1">
        <v>6681</v>
      </c>
      <c r="D43" s="1">
        <v>293</v>
      </c>
      <c r="E43">
        <v>521</v>
      </c>
      <c r="F43" s="1">
        <v>492</v>
      </c>
      <c r="G43" s="1">
        <v>202</v>
      </c>
      <c r="H43" s="5">
        <v>20</v>
      </c>
      <c r="I43">
        <v>54</v>
      </c>
      <c r="J43">
        <v>49</v>
      </c>
      <c r="K43">
        <v>14</v>
      </c>
      <c r="L43">
        <v>304</v>
      </c>
      <c r="M43">
        <v>537</v>
      </c>
      <c r="N43">
        <v>502</v>
      </c>
      <c r="O43">
        <v>365</v>
      </c>
      <c r="P43">
        <v>21</v>
      </c>
      <c r="Q43">
        <v>60</v>
      </c>
      <c r="R43">
        <v>54</v>
      </c>
      <c r="S43">
        <v>15</v>
      </c>
      <c r="V43" s="11">
        <f t="shared" si="3"/>
        <v>4.3855710223020505</v>
      </c>
      <c r="W43" s="11">
        <f t="shared" si="3"/>
        <v>7.7982337973357279</v>
      </c>
      <c r="X43" s="11">
        <f t="shared" si="3"/>
        <v>7.3641670408621458</v>
      </c>
      <c r="Y43" s="11">
        <f t="shared" si="3"/>
        <v>3.0234994761263283</v>
      </c>
      <c r="Z43" s="11">
        <f t="shared" si="3"/>
        <v>0.29935638377488399</v>
      </c>
      <c r="AA43" s="11">
        <f t="shared" si="3"/>
        <v>0.80826223619218684</v>
      </c>
      <c r="AB43" s="11">
        <f t="shared" si="3"/>
        <v>0.73342314024846578</v>
      </c>
      <c r="AC43" s="11">
        <f t="shared" si="3"/>
        <v>0.2095494686424188</v>
      </c>
      <c r="AD43" s="11">
        <f t="shared" si="3"/>
        <v>4.550217033378237</v>
      </c>
      <c r="AE43" s="11">
        <f t="shared" si="3"/>
        <v>8.0377189043556356</v>
      </c>
      <c r="AF43" s="11">
        <f t="shared" si="3"/>
        <v>7.5138452327495884</v>
      </c>
      <c r="AG43" s="11">
        <f t="shared" si="3"/>
        <v>5.4632540038916328</v>
      </c>
      <c r="AH43" s="11">
        <f t="shared" si="3"/>
        <v>0.31432420296362817</v>
      </c>
      <c r="AI43" s="11">
        <f t="shared" si="3"/>
        <v>0.89806915132465204</v>
      </c>
      <c r="AJ43" s="11">
        <f t="shared" si="3"/>
        <v>0.80826223619218684</v>
      </c>
      <c r="AK43" s="11">
        <f t="shared" si="1"/>
        <v>0.22451728783116301</v>
      </c>
    </row>
    <row r="44" spans="1:37" x14ac:dyDescent="0.25">
      <c r="A44" s="17"/>
      <c r="B44" t="s">
        <v>31</v>
      </c>
      <c r="C44" s="1">
        <v>4208</v>
      </c>
      <c r="D44" s="1">
        <v>231</v>
      </c>
      <c r="E44">
        <v>39</v>
      </c>
      <c r="F44" s="1">
        <v>31</v>
      </c>
      <c r="G44" s="1">
        <v>18</v>
      </c>
      <c r="H44" s="5">
        <v>14</v>
      </c>
      <c r="I44">
        <v>1</v>
      </c>
      <c r="J44">
        <v>1</v>
      </c>
      <c r="K44">
        <v>0</v>
      </c>
      <c r="L44">
        <v>233</v>
      </c>
      <c r="M44">
        <v>42</v>
      </c>
      <c r="N44">
        <v>33</v>
      </c>
      <c r="O44">
        <v>244</v>
      </c>
      <c r="P44">
        <v>14</v>
      </c>
      <c r="Q44">
        <v>1</v>
      </c>
      <c r="R44">
        <v>1</v>
      </c>
      <c r="S44">
        <v>0</v>
      </c>
      <c r="V44" s="11">
        <f t="shared" si="3"/>
        <v>5.4895437262357412</v>
      </c>
      <c r="W44" s="11">
        <f t="shared" si="3"/>
        <v>0.92680608365019002</v>
      </c>
      <c r="X44" s="11">
        <f t="shared" si="3"/>
        <v>0.73669201520912542</v>
      </c>
      <c r="Y44" s="11">
        <f t="shared" si="3"/>
        <v>0.42775665399239543</v>
      </c>
      <c r="Z44" s="11">
        <f t="shared" si="3"/>
        <v>0.33269961977186308</v>
      </c>
      <c r="AA44" s="11">
        <f t="shared" si="3"/>
        <v>2.3764258555133078E-2</v>
      </c>
      <c r="AB44" s="11">
        <f t="shared" si="3"/>
        <v>2.3764258555133078E-2</v>
      </c>
      <c r="AC44" s="11">
        <f t="shared" si="3"/>
        <v>0</v>
      </c>
      <c r="AD44" s="11">
        <f t="shared" si="3"/>
        <v>5.5370722433460076</v>
      </c>
      <c r="AE44" s="11">
        <f t="shared" si="3"/>
        <v>0.99809885931558939</v>
      </c>
      <c r="AF44" s="11">
        <f t="shared" si="3"/>
        <v>0.78422053231939159</v>
      </c>
      <c r="AG44" s="11">
        <f t="shared" si="3"/>
        <v>5.7984790874524714</v>
      </c>
      <c r="AH44" s="11">
        <f t="shared" si="3"/>
        <v>0.33269961977186308</v>
      </c>
      <c r="AI44" s="11">
        <f t="shared" si="3"/>
        <v>2.3764258555133078E-2</v>
      </c>
      <c r="AJ44" s="11">
        <f t="shared" si="3"/>
        <v>2.3764258555133078E-2</v>
      </c>
      <c r="AK44" s="11">
        <f t="shared" si="1"/>
        <v>0</v>
      </c>
    </row>
    <row r="45" spans="1:37" x14ac:dyDescent="0.25">
      <c r="A45" s="17"/>
      <c r="B45" t="s">
        <v>32</v>
      </c>
      <c r="C45" s="1">
        <v>6766</v>
      </c>
      <c r="D45" s="1">
        <v>304</v>
      </c>
      <c r="E45">
        <v>205</v>
      </c>
      <c r="F45" s="1">
        <v>601</v>
      </c>
      <c r="G45" s="1">
        <v>146</v>
      </c>
      <c r="H45" s="5">
        <v>48</v>
      </c>
      <c r="I45">
        <v>31</v>
      </c>
      <c r="J45">
        <v>128</v>
      </c>
      <c r="K45">
        <v>21</v>
      </c>
      <c r="L45">
        <v>314</v>
      </c>
      <c r="M45">
        <v>210</v>
      </c>
      <c r="N45">
        <v>604</v>
      </c>
      <c r="O45">
        <v>380</v>
      </c>
      <c r="P45">
        <v>61</v>
      </c>
      <c r="Q45">
        <v>39</v>
      </c>
      <c r="R45">
        <v>158</v>
      </c>
      <c r="S45">
        <v>28</v>
      </c>
      <c r="V45" s="11">
        <f t="shared" si="3"/>
        <v>4.4930535028081584</v>
      </c>
      <c r="W45" s="11">
        <f t="shared" si="3"/>
        <v>3.0298551581436595</v>
      </c>
      <c r="X45" s="11">
        <f t="shared" si="3"/>
        <v>8.8826485368016552</v>
      </c>
      <c r="Y45" s="11">
        <f t="shared" si="3"/>
        <v>2.1578480638486548</v>
      </c>
      <c r="Z45" s="11">
        <f t="shared" si="3"/>
        <v>0.70942950044339348</v>
      </c>
      <c r="AA45" s="11">
        <f t="shared" si="3"/>
        <v>0.45817321903635821</v>
      </c>
      <c r="AB45" s="11">
        <f t="shared" si="3"/>
        <v>1.8918120011823827</v>
      </c>
      <c r="AC45" s="11">
        <f t="shared" si="3"/>
        <v>0.31037540644398465</v>
      </c>
      <c r="AD45" s="11">
        <f t="shared" si="3"/>
        <v>4.640851315400532</v>
      </c>
      <c r="AE45" s="11">
        <f t="shared" si="3"/>
        <v>3.1037540644398462</v>
      </c>
      <c r="AF45" s="11">
        <f t="shared" si="3"/>
        <v>8.9269878805793681</v>
      </c>
      <c r="AG45" s="11">
        <f t="shared" si="3"/>
        <v>5.6163168785101982</v>
      </c>
      <c r="AH45" s="11">
        <f t="shared" si="3"/>
        <v>0.90156665681347914</v>
      </c>
      <c r="AI45" s="11">
        <f t="shared" si="3"/>
        <v>0.5764114691102572</v>
      </c>
      <c r="AJ45" s="11">
        <f t="shared" si="3"/>
        <v>2.3352054389595036</v>
      </c>
      <c r="AK45" s="11">
        <f t="shared" si="1"/>
        <v>0.41383387525864618</v>
      </c>
    </row>
    <row r="46" spans="1:37" x14ac:dyDescent="0.25">
      <c r="A46" s="17"/>
      <c r="B46" t="s">
        <v>33</v>
      </c>
      <c r="C46" s="1">
        <v>5320</v>
      </c>
      <c r="D46" s="1">
        <v>157</v>
      </c>
      <c r="E46">
        <v>164</v>
      </c>
      <c r="F46" s="1">
        <v>288</v>
      </c>
      <c r="G46" s="1">
        <v>51</v>
      </c>
      <c r="H46" s="5">
        <v>19</v>
      </c>
      <c r="I46">
        <v>23</v>
      </c>
      <c r="J46">
        <v>63</v>
      </c>
      <c r="K46">
        <v>5</v>
      </c>
      <c r="L46">
        <v>168</v>
      </c>
      <c r="M46">
        <v>169</v>
      </c>
      <c r="N46">
        <v>293</v>
      </c>
      <c r="O46">
        <v>189</v>
      </c>
      <c r="P46">
        <v>19</v>
      </c>
      <c r="Q46">
        <v>24</v>
      </c>
      <c r="R46">
        <v>74</v>
      </c>
      <c r="S46">
        <v>5</v>
      </c>
      <c r="V46" s="11">
        <f t="shared" si="3"/>
        <v>2.9511278195488719</v>
      </c>
      <c r="W46" s="11">
        <f t="shared" si="3"/>
        <v>3.0827067669172932</v>
      </c>
      <c r="X46" s="11">
        <f t="shared" si="3"/>
        <v>5.4135338345864659</v>
      </c>
      <c r="Y46" s="11">
        <f t="shared" si="3"/>
        <v>0.95864661654135341</v>
      </c>
      <c r="Z46" s="11">
        <f t="shared" si="3"/>
        <v>0.35714285714285715</v>
      </c>
      <c r="AA46" s="11">
        <f t="shared" si="3"/>
        <v>0.43233082706766918</v>
      </c>
      <c r="AB46" s="11">
        <f t="shared" si="3"/>
        <v>1.1842105263157896</v>
      </c>
      <c r="AC46" s="11">
        <f t="shared" si="3"/>
        <v>9.3984962406015032E-2</v>
      </c>
      <c r="AD46" s="11">
        <f t="shared" si="3"/>
        <v>3.1578947368421053</v>
      </c>
      <c r="AE46" s="11">
        <f t="shared" si="3"/>
        <v>3.1766917293233083</v>
      </c>
      <c r="AF46" s="11">
        <f t="shared" si="3"/>
        <v>5.507518796992481</v>
      </c>
      <c r="AG46" s="11">
        <f t="shared" si="3"/>
        <v>3.5526315789473681</v>
      </c>
      <c r="AH46" s="11">
        <f t="shared" si="3"/>
        <v>0.35714285714285715</v>
      </c>
      <c r="AI46" s="11">
        <f t="shared" si="3"/>
        <v>0.45112781954887221</v>
      </c>
      <c r="AJ46" s="11">
        <f t="shared" si="3"/>
        <v>1.3909774436090225</v>
      </c>
      <c r="AK46" s="11">
        <f t="shared" si="1"/>
        <v>9.3984962406015032E-2</v>
      </c>
    </row>
    <row r="47" spans="1:37" x14ac:dyDescent="0.25">
      <c r="A47" s="17"/>
      <c r="B47" t="s">
        <v>34</v>
      </c>
      <c r="C47" s="1">
        <v>5845</v>
      </c>
      <c r="D47" s="1">
        <v>277</v>
      </c>
      <c r="E47">
        <v>130</v>
      </c>
      <c r="F47" s="1">
        <v>258</v>
      </c>
      <c r="G47" s="1">
        <v>66</v>
      </c>
      <c r="H47" s="5">
        <v>31</v>
      </c>
      <c r="I47">
        <v>28</v>
      </c>
      <c r="J47">
        <v>85</v>
      </c>
      <c r="K47">
        <v>13</v>
      </c>
      <c r="L47">
        <v>287</v>
      </c>
      <c r="M47">
        <v>132</v>
      </c>
      <c r="N47">
        <v>260</v>
      </c>
      <c r="O47">
        <v>316</v>
      </c>
      <c r="P47">
        <v>35</v>
      </c>
      <c r="Q47">
        <v>35</v>
      </c>
      <c r="R47">
        <v>102</v>
      </c>
      <c r="S47">
        <v>16</v>
      </c>
      <c r="V47" s="11">
        <f t="shared" si="3"/>
        <v>4.7390932420872538</v>
      </c>
      <c r="W47" s="11">
        <f t="shared" si="3"/>
        <v>2.2241231822070144</v>
      </c>
      <c r="X47" s="11">
        <f t="shared" si="3"/>
        <v>4.4140290846877672</v>
      </c>
      <c r="Y47" s="11">
        <f t="shared" si="3"/>
        <v>1.1291702309666383</v>
      </c>
      <c r="Z47" s="11">
        <f t="shared" si="3"/>
        <v>0.53036783575705726</v>
      </c>
      <c r="AA47" s="11">
        <f t="shared" si="3"/>
        <v>0.47904191616766467</v>
      </c>
      <c r="AB47" s="11">
        <f t="shared" si="3"/>
        <v>1.4542343883661248</v>
      </c>
      <c r="AC47" s="11">
        <f t="shared" si="3"/>
        <v>0.22241231822070143</v>
      </c>
      <c r="AD47" s="11">
        <f t="shared" si="3"/>
        <v>4.9101796407185629</v>
      </c>
      <c r="AE47" s="11">
        <f t="shared" si="3"/>
        <v>2.2583404619332765</v>
      </c>
      <c r="AF47" s="11">
        <f t="shared" si="3"/>
        <v>4.4482463644140289</v>
      </c>
      <c r="AG47" s="11">
        <f t="shared" si="3"/>
        <v>5.4063301967493587</v>
      </c>
      <c r="AH47" s="11">
        <f t="shared" si="3"/>
        <v>0.5988023952095809</v>
      </c>
      <c r="AI47" s="11">
        <f t="shared" si="3"/>
        <v>0.5988023952095809</v>
      </c>
      <c r="AJ47" s="11">
        <f t="shared" si="3"/>
        <v>1.74508126603935</v>
      </c>
      <c r="AK47" s="11">
        <f t="shared" si="1"/>
        <v>0.2737382378100941</v>
      </c>
    </row>
    <row r="48" spans="1:37" x14ac:dyDescent="0.25">
      <c r="A48" s="17"/>
      <c r="B48" t="s">
        <v>35</v>
      </c>
      <c r="C48" s="1">
        <v>5730</v>
      </c>
      <c r="D48" s="1">
        <v>234</v>
      </c>
      <c r="E48">
        <v>231</v>
      </c>
      <c r="F48" s="1">
        <v>572</v>
      </c>
      <c r="G48" s="1">
        <v>119</v>
      </c>
      <c r="H48" s="5">
        <v>12</v>
      </c>
      <c r="I48">
        <v>10</v>
      </c>
      <c r="J48">
        <v>58</v>
      </c>
      <c r="K48">
        <v>4</v>
      </c>
      <c r="L48">
        <v>239</v>
      </c>
      <c r="M48">
        <v>235</v>
      </c>
      <c r="N48">
        <v>581</v>
      </c>
      <c r="O48">
        <v>287</v>
      </c>
      <c r="P48">
        <v>13</v>
      </c>
      <c r="Q48">
        <v>11</v>
      </c>
      <c r="R48">
        <v>65</v>
      </c>
      <c r="S48">
        <v>4</v>
      </c>
      <c r="V48" s="11">
        <f t="shared" si="3"/>
        <v>4.0837696335078535</v>
      </c>
      <c r="W48" s="11">
        <f t="shared" si="3"/>
        <v>4.0314136125654452</v>
      </c>
      <c r="X48" s="11">
        <f t="shared" si="3"/>
        <v>9.9825479930191978</v>
      </c>
      <c r="Y48" s="11">
        <f t="shared" si="3"/>
        <v>2.0767888307155324</v>
      </c>
      <c r="Z48" s="11">
        <f t="shared" si="3"/>
        <v>0.20942408376963353</v>
      </c>
      <c r="AA48" s="11">
        <f t="shared" si="3"/>
        <v>0.17452006980802792</v>
      </c>
      <c r="AB48" s="11">
        <f t="shared" si="3"/>
        <v>1.0122164048865618</v>
      </c>
      <c r="AC48" s="11">
        <f t="shared" si="3"/>
        <v>6.9808027923211169E-2</v>
      </c>
      <c r="AD48" s="11">
        <f t="shared" si="3"/>
        <v>4.1710296684118671</v>
      </c>
      <c r="AE48" s="11">
        <f t="shared" si="3"/>
        <v>4.1012216404886557</v>
      </c>
      <c r="AF48" s="11">
        <f t="shared" si="3"/>
        <v>10.139616055846421</v>
      </c>
      <c r="AG48" s="11">
        <f t="shared" si="3"/>
        <v>5.0087260034904011</v>
      </c>
      <c r="AH48" s="11">
        <f t="shared" si="3"/>
        <v>0.22687609075043633</v>
      </c>
      <c r="AI48" s="11">
        <f t="shared" si="3"/>
        <v>0.19197207678883071</v>
      </c>
      <c r="AJ48" s="11">
        <f t="shared" si="3"/>
        <v>1.1343804537521813</v>
      </c>
      <c r="AK48" s="11">
        <f t="shared" si="1"/>
        <v>6.9808027923211169E-2</v>
      </c>
    </row>
    <row r="49" spans="1:37" x14ac:dyDescent="0.25">
      <c r="A49" s="17"/>
      <c r="B49" t="s">
        <v>36</v>
      </c>
      <c r="C49" s="1">
        <v>5363</v>
      </c>
      <c r="D49" s="1">
        <v>180</v>
      </c>
      <c r="E49">
        <v>179</v>
      </c>
      <c r="F49" s="1">
        <v>499</v>
      </c>
      <c r="G49" s="1">
        <v>90</v>
      </c>
      <c r="H49" s="5">
        <v>23</v>
      </c>
      <c r="I49">
        <v>22</v>
      </c>
      <c r="J49">
        <v>106</v>
      </c>
      <c r="K49">
        <v>9</v>
      </c>
      <c r="L49">
        <v>184</v>
      </c>
      <c r="M49">
        <v>185</v>
      </c>
      <c r="N49">
        <v>518</v>
      </c>
      <c r="O49">
        <v>219</v>
      </c>
      <c r="P49">
        <v>25</v>
      </c>
      <c r="Q49">
        <v>26</v>
      </c>
      <c r="R49">
        <v>129</v>
      </c>
      <c r="S49">
        <v>11</v>
      </c>
      <c r="V49" s="11">
        <f t="shared" si="3"/>
        <v>3.356330412082789</v>
      </c>
      <c r="W49" s="11">
        <f t="shared" si="3"/>
        <v>3.3376841320156627</v>
      </c>
      <c r="X49" s="11">
        <f t="shared" si="3"/>
        <v>9.3044937534961782</v>
      </c>
      <c r="Y49" s="11">
        <f t="shared" si="3"/>
        <v>1.6781652060413945</v>
      </c>
      <c r="Z49" s="11">
        <f t="shared" si="3"/>
        <v>0.42886444154391201</v>
      </c>
      <c r="AA49" s="11">
        <f t="shared" si="3"/>
        <v>0.41021816147678536</v>
      </c>
      <c r="AB49" s="11">
        <f t="shared" si="3"/>
        <v>1.9765056871154203</v>
      </c>
      <c r="AC49" s="11">
        <f t="shared" si="3"/>
        <v>0.16781652060413949</v>
      </c>
      <c r="AD49" s="11">
        <f t="shared" si="3"/>
        <v>3.4309155323512961</v>
      </c>
      <c r="AE49" s="11">
        <f t="shared" si="3"/>
        <v>3.4495618124184224</v>
      </c>
      <c r="AF49" s="11">
        <f t="shared" si="3"/>
        <v>9.6587730747715828</v>
      </c>
      <c r="AG49" s="11">
        <f t="shared" si="3"/>
        <v>4.083535334700727</v>
      </c>
      <c r="AH49" s="11">
        <f t="shared" si="3"/>
        <v>0.46615700167816521</v>
      </c>
      <c r="AI49" s="11">
        <f t="shared" si="3"/>
        <v>0.4848032817452918</v>
      </c>
      <c r="AJ49" s="11">
        <f t="shared" si="3"/>
        <v>2.4053701286593325</v>
      </c>
      <c r="AK49" s="11">
        <f t="shared" si="1"/>
        <v>0.20510908073839268</v>
      </c>
    </row>
    <row r="50" spans="1:37" x14ac:dyDescent="0.25">
      <c r="A50" s="17"/>
      <c r="B50" t="s">
        <v>37</v>
      </c>
      <c r="C50" s="1">
        <v>6044</v>
      </c>
      <c r="D50" s="1">
        <v>298</v>
      </c>
      <c r="E50">
        <v>191</v>
      </c>
      <c r="F50" s="1">
        <v>330</v>
      </c>
      <c r="G50" s="1">
        <v>86</v>
      </c>
      <c r="H50" s="5">
        <v>32</v>
      </c>
      <c r="I50">
        <v>17</v>
      </c>
      <c r="J50">
        <v>62</v>
      </c>
      <c r="K50">
        <v>9</v>
      </c>
      <c r="L50">
        <v>303</v>
      </c>
      <c r="M50">
        <v>198</v>
      </c>
      <c r="N50">
        <v>336</v>
      </c>
      <c r="O50">
        <v>341</v>
      </c>
      <c r="P50">
        <v>37</v>
      </c>
      <c r="Q50">
        <v>18</v>
      </c>
      <c r="R50">
        <v>73</v>
      </c>
      <c r="S50">
        <v>9</v>
      </c>
      <c r="V50" s="11">
        <f t="shared" si="3"/>
        <v>4.9305095962938452</v>
      </c>
      <c r="W50" s="11">
        <f t="shared" si="3"/>
        <v>3.1601588352084717</v>
      </c>
      <c r="X50" s="11">
        <f t="shared" si="3"/>
        <v>5.4599602911978824</v>
      </c>
      <c r="Y50" s="11">
        <f t="shared" si="3"/>
        <v>1.4228987425545996</v>
      </c>
      <c r="Z50" s="11">
        <f t="shared" si="3"/>
        <v>0.52945069490403707</v>
      </c>
      <c r="AA50" s="11">
        <f t="shared" si="3"/>
        <v>0.2812706816677697</v>
      </c>
      <c r="AB50" s="11">
        <f t="shared" si="3"/>
        <v>1.0258107213765717</v>
      </c>
      <c r="AC50" s="11">
        <f t="shared" si="3"/>
        <v>0.14890800794176043</v>
      </c>
      <c r="AD50" s="11">
        <f t="shared" si="3"/>
        <v>5.0132362673726014</v>
      </c>
      <c r="AE50" s="11">
        <f t="shared" si="3"/>
        <v>3.2759761747187297</v>
      </c>
      <c r="AF50" s="11">
        <f t="shared" si="3"/>
        <v>5.5592322964923895</v>
      </c>
      <c r="AG50" s="11">
        <f t="shared" si="3"/>
        <v>5.6419589675711448</v>
      </c>
      <c r="AH50" s="11">
        <f t="shared" si="3"/>
        <v>0.61217736598279293</v>
      </c>
      <c r="AI50" s="11">
        <f t="shared" si="3"/>
        <v>0.29781601588352086</v>
      </c>
      <c r="AJ50" s="11">
        <f t="shared" si="3"/>
        <v>1.2078093977498345</v>
      </c>
      <c r="AK50" s="11">
        <f t="shared" si="1"/>
        <v>0.14890800794176043</v>
      </c>
    </row>
    <row r="51" spans="1:37" x14ac:dyDescent="0.25">
      <c r="A51" s="17"/>
      <c r="B51" t="s">
        <v>38</v>
      </c>
      <c r="C51" s="1">
        <v>6895</v>
      </c>
      <c r="D51" s="1">
        <v>256</v>
      </c>
      <c r="E51">
        <v>259</v>
      </c>
      <c r="F51" s="1">
        <v>608</v>
      </c>
      <c r="G51" s="1">
        <v>147</v>
      </c>
      <c r="H51" s="5">
        <v>31</v>
      </c>
      <c r="I51">
        <v>36</v>
      </c>
      <c r="J51">
        <v>125</v>
      </c>
      <c r="K51">
        <v>24</v>
      </c>
      <c r="L51">
        <v>263</v>
      </c>
      <c r="M51">
        <v>273</v>
      </c>
      <c r="N51">
        <v>627</v>
      </c>
      <c r="O51">
        <v>311</v>
      </c>
      <c r="P51">
        <v>38</v>
      </c>
      <c r="Q51">
        <v>42</v>
      </c>
      <c r="R51">
        <v>152</v>
      </c>
      <c r="S51">
        <v>29</v>
      </c>
      <c r="V51" s="11">
        <f t="shared" si="3"/>
        <v>3.7128353879622913</v>
      </c>
      <c r="W51" s="11">
        <f t="shared" si="3"/>
        <v>3.7563451776649748</v>
      </c>
      <c r="X51" s="11">
        <f t="shared" si="3"/>
        <v>8.8179840464104409</v>
      </c>
      <c r="Y51" s="11">
        <f t="shared" si="3"/>
        <v>2.1319796954314718</v>
      </c>
      <c r="Z51" s="11">
        <f t="shared" si="3"/>
        <v>0.44960116026105879</v>
      </c>
      <c r="AA51" s="11">
        <f t="shared" si="3"/>
        <v>0.52211747643219719</v>
      </c>
      <c r="AB51" s="11">
        <f t="shared" si="3"/>
        <v>1.8129079042784626</v>
      </c>
      <c r="AC51" s="11">
        <f t="shared" si="3"/>
        <v>0.34807831762146479</v>
      </c>
      <c r="AD51" s="11">
        <f t="shared" si="3"/>
        <v>3.8143582306018851</v>
      </c>
      <c r="AE51" s="11">
        <f t="shared" si="3"/>
        <v>3.9593908629441623</v>
      </c>
      <c r="AF51" s="11">
        <f t="shared" si="3"/>
        <v>9.0935460478607695</v>
      </c>
      <c r="AG51" s="11">
        <f t="shared" si="3"/>
        <v>4.5105148658448151</v>
      </c>
      <c r="AH51" s="11">
        <f t="shared" si="3"/>
        <v>0.55112400290065255</v>
      </c>
      <c r="AI51" s="11">
        <f t="shared" si="3"/>
        <v>0.60913705583756339</v>
      </c>
      <c r="AJ51" s="11">
        <f t="shared" si="3"/>
        <v>2.2044960116026102</v>
      </c>
      <c r="AK51" s="11">
        <f t="shared" si="1"/>
        <v>0.42059463379260331</v>
      </c>
    </row>
    <row r="52" spans="1:37" x14ac:dyDescent="0.25">
      <c r="A52" s="17" t="s">
        <v>63</v>
      </c>
      <c r="B52" t="s">
        <v>39</v>
      </c>
      <c r="C52" s="1">
        <v>6033</v>
      </c>
      <c r="D52" s="1">
        <v>149</v>
      </c>
      <c r="E52">
        <v>147</v>
      </c>
      <c r="F52" s="1">
        <v>281</v>
      </c>
      <c r="G52" s="1">
        <v>44</v>
      </c>
      <c r="H52" s="5">
        <v>31</v>
      </c>
      <c r="I52">
        <v>33</v>
      </c>
      <c r="J52">
        <v>105</v>
      </c>
      <c r="K52">
        <v>12</v>
      </c>
      <c r="L52">
        <v>151</v>
      </c>
      <c r="M52">
        <v>150</v>
      </c>
      <c r="N52">
        <v>287</v>
      </c>
      <c r="O52">
        <v>169</v>
      </c>
      <c r="P52">
        <v>39</v>
      </c>
      <c r="Q52">
        <v>39</v>
      </c>
      <c r="R52">
        <v>140</v>
      </c>
      <c r="S52">
        <v>16</v>
      </c>
      <c r="V52" s="7">
        <f t="shared" si="3"/>
        <v>2.4697497099287253</v>
      </c>
      <c r="W52" s="7">
        <f t="shared" si="3"/>
        <v>2.4365987071108903</v>
      </c>
      <c r="X52" s="7">
        <f t="shared" si="3"/>
        <v>4.6577158959058513</v>
      </c>
      <c r="Y52" s="7">
        <f t="shared" si="3"/>
        <v>0.72932206199237526</v>
      </c>
      <c r="Z52" s="7">
        <f t="shared" si="3"/>
        <v>0.51384054367644616</v>
      </c>
      <c r="AA52" s="7">
        <f t="shared" si="3"/>
        <v>0.5469915464942815</v>
      </c>
      <c r="AB52" s="7">
        <f t="shared" si="3"/>
        <v>1.7404276479363501</v>
      </c>
      <c r="AC52" s="7">
        <f t="shared" si="3"/>
        <v>0.19890601690701143</v>
      </c>
      <c r="AD52" s="7">
        <f t="shared" si="3"/>
        <v>2.5029007127465608</v>
      </c>
      <c r="AE52" s="7">
        <f t="shared" si="3"/>
        <v>2.4863252113376428</v>
      </c>
      <c r="AF52" s="7">
        <f t="shared" si="3"/>
        <v>4.7571689043593564</v>
      </c>
      <c r="AG52" s="7">
        <f t="shared" si="3"/>
        <v>2.8012597381070776</v>
      </c>
      <c r="AH52" s="7">
        <f t="shared" si="3"/>
        <v>0.64644455494778708</v>
      </c>
      <c r="AI52" s="7">
        <f t="shared" si="3"/>
        <v>0.64644455494778708</v>
      </c>
      <c r="AJ52" s="7">
        <f t="shared" si="3"/>
        <v>2.3205701972484669</v>
      </c>
      <c r="AK52" s="7">
        <f t="shared" si="1"/>
        <v>0.26520802254268194</v>
      </c>
    </row>
    <row r="53" spans="1:37" x14ac:dyDescent="0.25">
      <c r="A53" s="17"/>
      <c r="B53" t="s">
        <v>40</v>
      </c>
      <c r="C53" s="1">
        <v>5363</v>
      </c>
      <c r="D53" s="1">
        <v>160</v>
      </c>
      <c r="E53">
        <v>130</v>
      </c>
      <c r="F53" s="1">
        <v>376</v>
      </c>
      <c r="G53" s="1">
        <v>76</v>
      </c>
      <c r="H53" s="5">
        <v>18</v>
      </c>
      <c r="I53">
        <v>16</v>
      </c>
      <c r="J53">
        <v>70</v>
      </c>
      <c r="K53">
        <v>9</v>
      </c>
      <c r="L53">
        <v>166</v>
      </c>
      <c r="M53">
        <v>133</v>
      </c>
      <c r="N53">
        <v>377</v>
      </c>
      <c r="O53">
        <v>196</v>
      </c>
      <c r="P53">
        <v>20</v>
      </c>
      <c r="Q53">
        <v>18</v>
      </c>
      <c r="R53">
        <v>80</v>
      </c>
      <c r="S53">
        <v>11</v>
      </c>
      <c r="V53" s="7">
        <f t="shared" ref="V53:AJ69" si="4">(D53/$C53)*100</f>
        <v>2.9834048107402573</v>
      </c>
      <c r="W53" s="7">
        <f t="shared" si="4"/>
        <v>2.4240164087264588</v>
      </c>
      <c r="X53" s="7">
        <f t="shared" si="4"/>
        <v>7.0110013052396045</v>
      </c>
      <c r="Y53" s="7">
        <f t="shared" si="4"/>
        <v>1.4171172851016223</v>
      </c>
      <c r="Z53" s="7">
        <f t="shared" si="4"/>
        <v>0.33563304120827897</v>
      </c>
      <c r="AA53" s="7">
        <f t="shared" si="4"/>
        <v>0.29834048107402572</v>
      </c>
      <c r="AB53" s="7">
        <f t="shared" si="4"/>
        <v>1.3052396046988626</v>
      </c>
      <c r="AC53" s="7">
        <f t="shared" si="4"/>
        <v>0.16781652060413949</v>
      </c>
      <c r="AD53" s="7">
        <f t="shared" si="4"/>
        <v>3.095282491143017</v>
      </c>
      <c r="AE53" s="7">
        <f t="shared" si="4"/>
        <v>2.4799552489278387</v>
      </c>
      <c r="AF53" s="7">
        <f t="shared" si="4"/>
        <v>7.0296475853067308</v>
      </c>
      <c r="AG53" s="7">
        <f t="shared" si="4"/>
        <v>3.6546708931568155</v>
      </c>
      <c r="AH53" s="7">
        <f t="shared" si="4"/>
        <v>0.37292560134253216</v>
      </c>
      <c r="AI53" s="7">
        <f t="shared" si="4"/>
        <v>0.33563304120827897</v>
      </c>
      <c r="AJ53" s="7">
        <f t="shared" si="4"/>
        <v>1.4917024053701287</v>
      </c>
      <c r="AK53" s="7">
        <f t="shared" si="1"/>
        <v>0.20510908073839268</v>
      </c>
    </row>
    <row r="54" spans="1:37" x14ac:dyDescent="0.25">
      <c r="A54" s="17"/>
      <c r="B54" t="s">
        <v>41</v>
      </c>
      <c r="C54" s="1">
        <v>6956</v>
      </c>
      <c r="D54" s="1">
        <v>192</v>
      </c>
      <c r="E54">
        <v>248</v>
      </c>
      <c r="F54" s="1">
        <v>466</v>
      </c>
      <c r="G54" s="1">
        <v>90</v>
      </c>
      <c r="H54" s="5">
        <v>32</v>
      </c>
      <c r="I54">
        <v>44</v>
      </c>
      <c r="J54">
        <v>105</v>
      </c>
      <c r="K54">
        <v>19</v>
      </c>
      <c r="L54">
        <v>199</v>
      </c>
      <c r="M54">
        <v>259</v>
      </c>
      <c r="N54">
        <v>473</v>
      </c>
      <c r="O54">
        <v>241</v>
      </c>
      <c r="P54">
        <v>37</v>
      </c>
      <c r="Q54">
        <v>49</v>
      </c>
      <c r="R54">
        <v>123</v>
      </c>
      <c r="S54">
        <v>23</v>
      </c>
      <c r="V54" s="7">
        <f t="shared" si="4"/>
        <v>2.7602070155261642</v>
      </c>
      <c r="W54" s="7">
        <f t="shared" si="4"/>
        <v>3.565267395054629</v>
      </c>
      <c r="X54" s="7">
        <f t="shared" si="4"/>
        <v>6.6992524439332959</v>
      </c>
      <c r="Y54" s="7">
        <f t="shared" si="4"/>
        <v>1.2938470385278895</v>
      </c>
      <c r="Z54" s="7">
        <f t="shared" si="4"/>
        <v>0.46003450258769407</v>
      </c>
      <c r="AA54" s="7">
        <f t="shared" si="4"/>
        <v>0.63254744105807936</v>
      </c>
      <c r="AB54" s="7">
        <f t="shared" si="4"/>
        <v>1.5094882116158712</v>
      </c>
      <c r="AC54" s="7">
        <f t="shared" si="4"/>
        <v>0.27314548591144339</v>
      </c>
      <c r="AD54" s="7">
        <f t="shared" si="4"/>
        <v>2.8608395629672225</v>
      </c>
      <c r="AE54" s="7">
        <f t="shared" si="4"/>
        <v>3.7234042553191489</v>
      </c>
      <c r="AF54" s="7">
        <f t="shared" si="4"/>
        <v>6.7998849913743529</v>
      </c>
      <c r="AG54" s="7">
        <f t="shared" si="4"/>
        <v>3.4646348476135707</v>
      </c>
      <c r="AH54" s="7">
        <f t="shared" si="4"/>
        <v>0.53191489361702127</v>
      </c>
      <c r="AI54" s="7">
        <f t="shared" si="4"/>
        <v>0.70442783208740656</v>
      </c>
      <c r="AJ54" s="7">
        <f t="shared" si="4"/>
        <v>1.7682576193214492</v>
      </c>
      <c r="AK54" s="7">
        <f t="shared" si="1"/>
        <v>0.33064979873490513</v>
      </c>
    </row>
    <row r="55" spans="1:37" x14ac:dyDescent="0.25">
      <c r="A55" s="17"/>
      <c r="B55" t="s">
        <v>42</v>
      </c>
      <c r="C55" s="1">
        <v>7565</v>
      </c>
      <c r="D55" s="1">
        <v>214</v>
      </c>
      <c r="E55">
        <v>253</v>
      </c>
      <c r="F55" s="1">
        <v>607</v>
      </c>
      <c r="G55" s="1">
        <v>137</v>
      </c>
      <c r="H55" s="5">
        <v>34</v>
      </c>
      <c r="I55">
        <v>49</v>
      </c>
      <c r="J55">
        <v>127</v>
      </c>
      <c r="K55">
        <v>23</v>
      </c>
      <c r="L55">
        <v>220</v>
      </c>
      <c r="M55">
        <v>256</v>
      </c>
      <c r="N55">
        <v>616</v>
      </c>
      <c r="O55">
        <v>267</v>
      </c>
      <c r="P55">
        <v>35</v>
      </c>
      <c r="Q55">
        <v>54</v>
      </c>
      <c r="R55">
        <v>143</v>
      </c>
      <c r="S55">
        <v>23</v>
      </c>
      <c r="V55" s="7">
        <f t="shared" si="4"/>
        <v>2.8288169200264375</v>
      </c>
      <c r="W55" s="7">
        <f t="shared" si="4"/>
        <v>3.344348975545274</v>
      </c>
      <c r="X55" s="7">
        <f t="shared" si="4"/>
        <v>8.0237937871777927</v>
      </c>
      <c r="Y55" s="7">
        <f t="shared" si="4"/>
        <v>1.8109715796430934</v>
      </c>
      <c r="Z55" s="7">
        <f t="shared" si="4"/>
        <v>0.44943820224719105</v>
      </c>
      <c r="AA55" s="7">
        <f t="shared" si="4"/>
        <v>0.64771976206212822</v>
      </c>
      <c r="AB55" s="7">
        <f t="shared" si="4"/>
        <v>1.6787838730998019</v>
      </c>
      <c r="AC55" s="7">
        <f t="shared" si="4"/>
        <v>0.30403172504957038</v>
      </c>
      <c r="AD55" s="7">
        <f t="shared" si="4"/>
        <v>2.9081295439524126</v>
      </c>
      <c r="AE55" s="7">
        <f t="shared" si="4"/>
        <v>3.3840052875082618</v>
      </c>
      <c r="AF55" s="7">
        <f t="shared" si="4"/>
        <v>8.1427627230667543</v>
      </c>
      <c r="AG55" s="7">
        <f t="shared" si="4"/>
        <v>3.5294117647058822</v>
      </c>
      <c r="AH55" s="7">
        <f t="shared" si="4"/>
        <v>0.46265697290152019</v>
      </c>
      <c r="AI55" s="7">
        <f t="shared" si="4"/>
        <v>0.71381361533377397</v>
      </c>
      <c r="AJ55" s="7">
        <f t="shared" si="4"/>
        <v>1.8902842035690679</v>
      </c>
      <c r="AK55" s="7">
        <f t="shared" si="1"/>
        <v>0.30403172504957038</v>
      </c>
    </row>
    <row r="56" spans="1:37" x14ac:dyDescent="0.25">
      <c r="A56" s="17"/>
      <c r="B56" t="s">
        <v>43</v>
      </c>
      <c r="C56" s="1">
        <v>4238</v>
      </c>
      <c r="D56" s="1">
        <v>136</v>
      </c>
      <c r="E56">
        <v>109</v>
      </c>
      <c r="F56" s="1">
        <v>243</v>
      </c>
      <c r="G56" s="1">
        <v>39</v>
      </c>
      <c r="H56" s="5">
        <v>26</v>
      </c>
      <c r="I56">
        <v>24</v>
      </c>
      <c r="J56">
        <v>67</v>
      </c>
      <c r="K56">
        <v>9</v>
      </c>
      <c r="L56">
        <v>138</v>
      </c>
      <c r="M56">
        <v>111</v>
      </c>
      <c r="N56">
        <v>247</v>
      </c>
      <c r="O56">
        <v>159</v>
      </c>
      <c r="P56">
        <v>29</v>
      </c>
      <c r="Q56">
        <v>28</v>
      </c>
      <c r="R56">
        <v>84</v>
      </c>
      <c r="S56">
        <v>10</v>
      </c>
      <c r="V56" s="7">
        <f t="shared" si="4"/>
        <v>3.2090608777725342</v>
      </c>
      <c r="W56" s="7">
        <f t="shared" si="4"/>
        <v>2.5719679093912222</v>
      </c>
      <c r="X56" s="7">
        <f t="shared" si="4"/>
        <v>5.7338367154318073</v>
      </c>
      <c r="Y56" s="7">
        <f t="shared" si="4"/>
        <v>0.92024539877300615</v>
      </c>
      <c r="Z56" s="7">
        <f t="shared" si="4"/>
        <v>0.61349693251533743</v>
      </c>
      <c r="AA56" s="7">
        <f t="shared" si="4"/>
        <v>0.56630486078338849</v>
      </c>
      <c r="AB56" s="7">
        <f t="shared" si="4"/>
        <v>1.5809344030202928</v>
      </c>
      <c r="AC56" s="7">
        <f t="shared" si="4"/>
        <v>0.21236432279377065</v>
      </c>
      <c r="AD56" s="7">
        <f t="shared" si="4"/>
        <v>3.256252949504483</v>
      </c>
      <c r="AE56" s="7">
        <f t="shared" si="4"/>
        <v>2.6191599811231714</v>
      </c>
      <c r="AF56" s="7">
        <f t="shared" si="4"/>
        <v>5.8282208588957047</v>
      </c>
      <c r="AG56" s="7">
        <f t="shared" si="4"/>
        <v>3.7517697026899479</v>
      </c>
      <c r="AH56" s="7">
        <f t="shared" si="4"/>
        <v>0.68428504011326097</v>
      </c>
      <c r="AI56" s="7">
        <f t="shared" si="4"/>
        <v>0.66068900424728649</v>
      </c>
      <c r="AJ56" s="7">
        <f t="shared" si="4"/>
        <v>1.9820670127418596</v>
      </c>
      <c r="AK56" s="7">
        <f t="shared" si="1"/>
        <v>0.23596035865974516</v>
      </c>
    </row>
    <row r="57" spans="1:37" x14ac:dyDescent="0.25">
      <c r="A57" s="17"/>
      <c r="B57" t="s">
        <v>44</v>
      </c>
      <c r="C57" s="1">
        <v>7373</v>
      </c>
      <c r="D57" s="1">
        <v>203</v>
      </c>
      <c r="E57">
        <v>152</v>
      </c>
      <c r="F57" s="1">
        <v>448</v>
      </c>
      <c r="G57" s="1">
        <v>69</v>
      </c>
      <c r="H57" s="5">
        <v>19</v>
      </c>
      <c r="I57">
        <v>21</v>
      </c>
      <c r="J57">
        <v>97</v>
      </c>
      <c r="K57">
        <v>8</v>
      </c>
      <c r="L57">
        <v>214</v>
      </c>
      <c r="M57">
        <v>156</v>
      </c>
      <c r="N57">
        <v>458</v>
      </c>
      <c r="O57">
        <v>237</v>
      </c>
      <c r="P57">
        <v>19</v>
      </c>
      <c r="Q57">
        <v>22</v>
      </c>
      <c r="R57">
        <v>114</v>
      </c>
      <c r="S57">
        <v>8</v>
      </c>
      <c r="V57" s="7">
        <f t="shared" si="4"/>
        <v>2.7532890275328903</v>
      </c>
      <c r="W57" s="7">
        <f t="shared" si="4"/>
        <v>2.0615760206157603</v>
      </c>
      <c r="X57" s="7">
        <f t="shared" si="4"/>
        <v>6.0762240607622404</v>
      </c>
      <c r="Y57" s="7">
        <f t="shared" si="4"/>
        <v>0.93584700935847009</v>
      </c>
      <c r="Z57" s="7">
        <f t="shared" si="4"/>
        <v>0.25769700257697004</v>
      </c>
      <c r="AA57" s="7">
        <f t="shared" si="4"/>
        <v>0.28482300284823003</v>
      </c>
      <c r="AB57" s="7">
        <f t="shared" si="4"/>
        <v>1.3156110131561101</v>
      </c>
      <c r="AC57" s="7">
        <f t="shared" si="4"/>
        <v>0.10850400108504001</v>
      </c>
      <c r="AD57" s="7">
        <f t="shared" si="4"/>
        <v>2.9024820290248203</v>
      </c>
      <c r="AE57" s="7">
        <f t="shared" si="4"/>
        <v>2.1158280211582801</v>
      </c>
      <c r="AF57" s="7">
        <f t="shared" si="4"/>
        <v>6.2118540621185412</v>
      </c>
      <c r="AG57" s="7">
        <f t="shared" si="4"/>
        <v>3.2144310321443106</v>
      </c>
      <c r="AH57" s="7">
        <f t="shared" si="4"/>
        <v>0.25769700257697004</v>
      </c>
      <c r="AI57" s="7">
        <f t="shared" si="4"/>
        <v>0.29838600298386003</v>
      </c>
      <c r="AJ57" s="7">
        <f t="shared" si="4"/>
        <v>1.5461820154618202</v>
      </c>
      <c r="AK57" s="7">
        <f t="shared" si="1"/>
        <v>0.10850400108504001</v>
      </c>
    </row>
    <row r="58" spans="1:37" x14ac:dyDescent="0.25">
      <c r="A58" s="17"/>
      <c r="B58" t="s">
        <v>45</v>
      </c>
      <c r="C58" s="1">
        <v>7842</v>
      </c>
      <c r="D58" s="1">
        <v>206</v>
      </c>
      <c r="E58">
        <v>254</v>
      </c>
      <c r="F58" s="1">
        <v>579</v>
      </c>
      <c r="G58" s="1">
        <v>77</v>
      </c>
      <c r="H58" s="5">
        <v>31</v>
      </c>
      <c r="I58">
        <v>19</v>
      </c>
      <c r="J58">
        <v>109</v>
      </c>
      <c r="K58">
        <v>10</v>
      </c>
      <c r="L58">
        <v>214</v>
      </c>
      <c r="M58">
        <v>261</v>
      </c>
      <c r="N58">
        <v>595</v>
      </c>
      <c r="O58">
        <v>251</v>
      </c>
      <c r="P58">
        <v>36</v>
      </c>
      <c r="Q58">
        <v>21</v>
      </c>
      <c r="R58">
        <v>121</v>
      </c>
      <c r="S58">
        <v>12</v>
      </c>
      <c r="V58" s="7">
        <f t="shared" si="4"/>
        <v>2.626880897730171</v>
      </c>
      <c r="W58" s="7">
        <f t="shared" si="4"/>
        <v>3.2389696505993366</v>
      </c>
      <c r="X58" s="7">
        <f t="shared" si="4"/>
        <v>7.3833205814843152</v>
      </c>
      <c r="Y58" s="7">
        <f t="shared" si="4"/>
        <v>0.98189237439428712</v>
      </c>
      <c r="Z58" s="7">
        <f t="shared" si="4"/>
        <v>0.39530731956133636</v>
      </c>
      <c r="AA58" s="7">
        <f t="shared" si="4"/>
        <v>0.24228513134404486</v>
      </c>
      <c r="AB58" s="7">
        <f t="shared" si="4"/>
        <v>1.389951542973731</v>
      </c>
      <c r="AC58" s="7">
        <f t="shared" si="4"/>
        <v>0.12751849018107625</v>
      </c>
      <c r="AD58" s="7">
        <f t="shared" si="4"/>
        <v>2.7288956898750318</v>
      </c>
      <c r="AE58" s="7">
        <f t="shared" si="4"/>
        <v>3.3282325937260904</v>
      </c>
      <c r="AF58" s="7">
        <f t="shared" si="4"/>
        <v>7.587350165774037</v>
      </c>
      <c r="AG58" s="7">
        <f t="shared" si="4"/>
        <v>3.200714103545014</v>
      </c>
      <c r="AH58" s="7">
        <f t="shared" si="4"/>
        <v>0.45906656465187456</v>
      </c>
      <c r="AI58" s="7">
        <f t="shared" si="4"/>
        <v>0.26778882938026016</v>
      </c>
      <c r="AJ58" s="7">
        <f t="shared" si="4"/>
        <v>1.5429737311910228</v>
      </c>
      <c r="AK58" s="7">
        <f t="shared" si="1"/>
        <v>0.15302218821729149</v>
      </c>
    </row>
    <row r="59" spans="1:37" x14ac:dyDescent="0.25">
      <c r="A59" s="17"/>
      <c r="B59" t="s">
        <v>46</v>
      </c>
      <c r="C59" s="1">
        <v>6142</v>
      </c>
      <c r="D59" s="1">
        <v>213</v>
      </c>
      <c r="E59">
        <v>123</v>
      </c>
      <c r="F59" s="1">
        <v>450</v>
      </c>
      <c r="G59" s="1">
        <v>62</v>
      </c>
      <c r="H59" s="5">
        <v>31</v>
      </c>
      <c r="I59">
        <v>23</v>
      </c>
      <c r="J59">
        <v>116</v>
      </c>
      <c r="K59">
        <v>14</v>
      </c>
      <c r="L59">
        <v>217</v>
      </c>
      <c r="M59">
        <v>129</v>
      </c>
      <c r="N59">
        <v>458</v>
      </c>
      <c r="O59">
        <v>244</v>
      </c>
      <c r="P59">
        <v>33</v>
      </c>
      <c r="Q59">
        <v>24</v>
      </c>
      <c r="R59">
        <v>140</v>
      </c>
      <c r="S59">
        <v>15</v>
      </c>
      <c r="V59" s="7">
        <f t="shared" si="4"/>
        <v>3.4679257570823836</v>
      </c>
      <c r="W59" s="7">
        <f t="shared" si="4"/>
        <v>2.0026050146532075</v>
      </c>
      <c r="X59" s="7">
        <f t="shared" si="4"/>
        <v>7.3266037121458805</v>
      </c>
      <c r="Y59" s="7">
        <f t="shared" si="4"/>
        <v>1.0094431781178768</v>
      </c>
      <c r="Z59" s="7">
        <f t="shared" si="4"/>
        <v>0.50472158905893838</v>
      </c>
      <c r="AA59" s="7">
        <f t="shared" si="4"/>
        <v>0.3744708563985672</v>
      </c>
      <c r="AB59" s="7">
        <f t="shared" si="4"/>
        <v>1.8886356235753827</v>
      </c>
      <c r="AC59" s="7">
        <f t="shared" si="4"/>
        <v>0.22793878215564964</v>
      </c>
      <c r="AD59" s="7">
        <f t="shared" si="4"/>
        <v>3.5330511234125694</v>
      </c>
      <c r="AE59" s="7">
        <f t="shared" si="4"/>
        <v>2.1002930641484858</v>
      </c>
      <c r="AF59" s="7">
        <f t="shared" si="4"/>
        <v>7.4568544448062521</v>
      </c>
      <c r="AG59" s="7">
        <f t="shared" si="4"/>
        <v>3.9726473461413216</v>
      </c>
      <c r="AH59" s="7">
        <f t="shared" si="4"/>
        <v>0.5372842722240313</v>
      </c>
      <c r="AI59" s="7">
        <f t="shared" si="4"/>
        <v>0.39075219798111366</v>
      </c>
      <c r="AJ59" s="7">
        <f t="shared" si="4"/>
        <v>2.279387821556496</v>
      </c>
      <c r="AK59" s="7">
        <f t="shared" si="1"/>
        <v>0.24422012373819602</v>
      </c>
    </row>
    <row r="60" spans="1:37" x14ac:dyDescent="0.25">
      <c r="A60" s="17" t="s">
        <v>64</v>
      </c>
      <c r="B60" t="s">
        <v>47</v>
      </c>
      <c r="C60" s="1">
        <v>5859</v>
      </c>
      <c r="D60" s="1">
        <v>151</v>
      </c>
      <c r="E60">
        <v>172</v>
      </c>
      <c r="F60" s="1">
        <v>329</v>
      </c>
      <c r="G60" s="1">
        <v>44</v>
      </c>
      <c r="H60" s="5">
        <v>13</v>
      </c>
      <c r="I60">
        <v>13</v>
      </c>
      <c r="J60">
        <v>63</v>
      </c>
      <c r="K60">
        <v>5</v>
      </c>
      <c r="L60">
        <v>152</v>
      </c>
      <c r="M60">
        <v>182</v>
      </c>
      <c r="N60">
        <v>333</v>
      </c>
      <c r="O60">
        <v>170</v>
      </c>
      <c r="P60">
        <v>14</v>
      </c>
      <c r="Q60">
        <v>14</v>
      </c>
      <c r="R60">
        <v>71</v>
      </c>
      <c r="S60">
        <v>5</v>
      </c>
      <c r="V60" s="8">
        <f t="shared" si="4"/>
        <v>2.5772316094896741</v>
      </c>
      <c r="W60" s="8">
        <f t="shared" si="4"/>
        <v>2.9356545485577743</v>
      </c>
      <c r="X60" s="8">
        <f t="shared" si="4"/>
        <v>5.6152927120669061</v>
      </c>
      <c r="Y60" s="8">
        <f t="shared" si="4"/>
        <v>0.75098139614268644</v>
      </c>
      <c r="Z60" s="8">
        <f t="shared" si="4"/>
        <v>0.22188086704215737</v>
      </c>
      <c r="AA60" s="8">
        <f t="shared" si="4"/>
        <v>0.22188086704215737</v>
      </c>
      <c r="AB60" s="8">
        <f t="shared" si="4"/>
        <v>1.0752688172043012</v>
      </c>
      <c r="AC60" s="8">
        <f t="shared" si="4"/>
        <v>8.5338795016214372E-2</v>
      </c>
      <c r="AD60" s="8">
        <f t="shared" si="4"/>
        <v>2.594299368492917</v>
      </c>
      <c r="AE60" s="8">
        <f t="shared" si="4"/>
        <v>3.106332138590203</v>
      </c>
      <c r="AF60" s="8">
        <f t="shared" si="4"/>
        <v>5.6835637480798766</v>
      </c>
      <c r="AG60" s="8">
        <f t="shared" si="4"/>
        <v>2.9015190305512886</v>
      </c>
      <c r="AH60" s="8">
        <f t="shared" si="4"/>
        <v>0.23894862604540024</v>
      </c>
      <c r="AI60" s="8">
        <f t="shared" si="4"/>
        <v>0.23894862604540024</v>
      </c>
      <c r="AJ60" s="8">
        <f t="shared" si="4"/>
        <v>1.2118108892302442</v>
      </c>
      <c r="AK60" s="8">
        <f t="shared" si="1"/>
        <v>8.5338795016214372E-2</v>
      </c>
    </row>
    <row r="61" spans="1:37" x14ac:dyDescent="0.25">
      <c r="A61" s="17"/>
      <c r="B61" t="s">
        <v>48</v>
      </c>
      <c r="C61" s="1">
        <v>6129</v>
      </c>
      <c r="D61" s="1">
        <v>171</v>
      </c>
      <c r="E61">
        <v>138</v>
      </c>
      <c r="F61" s="1">
        <v>299</v>
      </c>
      <c r="G61" s="1">
        <v>52</v>
      </c>
      <c r="H61" s="5">
        <v>14</v>
      </c>
      <c r="I61">
        <v>16</v>
      </c>
      <c r="J61">
        <v>61</v>
      </c>
      <c r="K61">
        <v>9</v>
      </c>
      <c r="L61">
        <v>176</v>
      </c>
      <c r="M61">
        <v>144</v>
      </c>
      <c r="N61">
        <v>303</v>
      </c>
      <c r="O61">
        <v>195</v>
      </c>
      <c r="P61">
        <v>14</v>
      </c>
      <c r="Q61">
        <v>18</v>
      </c>
      <c r="R61">
        <v>69</v>
      </c>
      <c r="S61">
        <v>9</v>
      </c>
      <c r="V61" s="8">
        <f t="shared" si="4"/>
        <v>2.7900146842878124</v>
      </c>
      <c r="W61" s="8">
        <f t="shared" si="4"/>
        <v>2.2515907978463043</v>
      </c>
      <c r="X61" s="8">
        <f t="shared" si="4"/>
        <v>4.8784467286669928</v>
      </c>
      <c r="Y61" s="8">
        <f t="shared" si="4"/>
        <v>0.84842551802904231</v>
      </c>
      <c r="Z61" s="8">
        <f t="shared" si="4"/>
        <v>0.22842225485397291</v>
      </c>
      <c r="AA61" s="8">
        <f t="shared" si="4"/>
        <v>0.26105400554739761</v>
      </c>
      <c r="AB61" s="8">
        <f t="shared" si="4"/>
        <v>0.99526839614945339</v>
      </c>
      <c r="AC61" s="8">
        <f t="shared" si="4"/>
        <v>0.14684287812041116</v>
      </c>
      <c r="AD61" s="8">
        <f t="shared" si="4"/>
        <v>2.8715940610213742</v>
      </c>
      <c r="AE61" s="8">
        <f t="shared" si="4"/>
        <v>2.3494860499265786</v>
      </c>
      <c r="AF61" s="8">
        <f t="shared" si="4"/>
        <v>4.943710230053842</v>
      </c>
      <c r="AG61" s="8">
        <f t="shared" si="4"/>
        <v>3.1815956926089086</v>
      </c>
      <c r="AH61" s="8">
        <f t="shared" si="4"/>
        <v>0.22842225485397291</v>
      </c>
      <c r="AI61" s="8">
        <f t="shared" si="4"/>
        <v>0.29368575624082233</v>
      </c>
      <c r="AJ61" s="8">
        <f t="shared" si="4"/>
        <v>1.1257953989231522</v>
      </c>
      <c r="AK61" s="8">
        <f t="shared" si="1"/>
        <v>0.14684287812041116</v>
      </c>
    </row>
    <row r="62" spans="1:37" x14ac:dyDescent="0.25">
      <c r="A62" s="17"/>
      <c r="B62" t="s">
        <v>49</v>
      </c>
      <c r="C62" s="1">
        <v>3201</v>
      </c>
      <c r="D62" s="1">
        <v>82</v>
      </c>
      <c r="E62">
        <v>35</v>
      </c>
      <c r="F62" s="1">
        <v>122</v>
      </c>
      <c r="G62" s="1">
        <v>13</v>
      </c>
      <c r="H62" s="5">
        <v>9</v>
      </c>
      <c r="I62">
        <v>10</v>
      </c>
      <c r="J62">
        <v>54</v>
      </c>
      <c r="K62">
        <v>3</v>
      </c>
      <c r="L62">
        <v>86</v>
      </c>
      <c r="M62">
        <v>36</v>
      </c>
      <c r="N62">
        <v>123</v>
      </c>
      <c r="O62">
        <v>90</v>
      </c>
      <c r="P62">
        <v>11</v>
      </c>
      <c r="Q62">
        <v>15</v>
      </c>
      <c r="R62">
        <v>62</v>
      </c>
      <c r="S62">
        <v>3</v>
      </c>
      <c r="V62" s="8">
        <f t="shared" si="4"/>
        <v>2.5616994689159638</v>
      </c>
      <c r="W62" s="8">
        <f t="shared" si="4"/>
        <v>1.0934083099031553</v>
      </c>
      <c r="X62" s="8">
        <f t="shared" si="4"/>
        <v>3.8113089659481409</v>
      </c>
      <c r="Y62" s="8">
        <f t="shared" si="4"/>
        <v>0.4061230865354577</v>
      </c>
      <c r="Z62" s="8">
        <f t="shared" si="4"/>
        <v>0.28116213683223995</v>
      </c>
      <c r="AA62" s="8">
        <f t="shared" si="4"/>
        <v>0.3124023742580444</v>
      </c>
      <c r="AB62" s="8">
        <f t="shared" si="4"/>
        <v>1.6869728209934396</v>
      </c>
      <c r="AC62" s="8">
        <f t="shared" si="4"/>
        <v>9.3720712277413312E-2</v>
      </c>
      <c r="AD62" s="8">
        <f t="shared" si="4"/>
        <v>2.6866604186191814</v>
      </c>
      <c r="AE62" s="8">
        <f t="shared" si="4"/>
        <v>1.1246485473289598</v>
      </c>
      <c r="AF62" s="8">
        <f t="shared" si="4"/>
        <v>3.8425492033739452</v>
      </c>
      <c r="AG62" s="8">
        <f t="shared" si="4"/>
        <v>2.8116213683223994</v>
      </c>
      <c r="AH62" s="8">
        <f t="shared" si="4"/>
        <v>0.3436426116838488</v>
      </c>
      <c r="AI62" s="8">
        <f t="shared" si="4"/>
        <v>0.46860356138706649</v>
      </c>
      <c r="AJ62" s="8">
        <f t="shared" si="4"/>
        <v>1.936894720399875</v>
      </c>
      <c r="AK62" s="8">
        <f t="shared" si="1"/>
        <v>9.3720712277413312E-2</v>
      </c>
    </row>
    <row r="63" spans="1:37" x14ac:dyDescent="0.25">
      <c r="A63" s="17"/>
      <c r="B63" t="s">
        <v>50</v>
      </c>
      <c r="C63" s="1">
        <v>4367</v>
      </c>
      <c r="D63" s="1">
        <v>174</v>
      </c>
      <c r="E63">
        <v>163</v>
      </c>
      <c r="F63" s="1">
        <v>233</v>
      </c>
      <c r="G63" s="1">
        <v>62</v>
      </c>
      <c r="H63" s="5">
        <v>21</v>
      </c>
      <c r="I63">
        <v>20</v>
      </c>
      <c r="J63">
        <v>57</v>
      </c>
      <c r="K63">
        <v>8</v>
      </c>
      <c r="L63">
        <v>174</v>
      </c>
      <c r="M63">
        <v>165</v>
      </c>
      <c r="N63">
        <v>240</v>
      </c>
      <c r="O63">
        <v>201</v>
      </c>
      <c r="P63">
        <v>23</v>
      </c>
      <c r="Q63">
        <v>23</v>
      </c>
      <c r="R63">
        <v>66</v>
      </c>
      <c r="S63">
        <v>8</v>
      </c>
      <c r="V63" s="8">
        <f t="shared" si="4"/>
        <v>3.9844286695672091</v>
      </c>
      <c r="W63" s="8">
        <f t="shared" si="4"/>
        <v>3.7325395008014657</v>
      </c>
      <c r="X63" s="8">
        <f t="shared" si="4"/>
        <v>5.3354705747652851</v>
      </c>
      <c r="Y63" s="8">
        <f t="shared" si="4"/>
        <v>1.4197389512250973</v>
      </c>
      <c r="Z63" s="8">
        <f t="shared" si="4"/>
        <v>0.48087932218914586</v>
      </c>
      <c r="AA63" s="8">
        <f t="shared" si="4"/>
        <v>0.45798030684680563</v>
      </c>
      <c r="AB63" s="8">
        <f t="shared" si="4"/>
        <v>1.3052438745133959</v>
      </c>
      <c r="AC63" s="8">
        <f t="shared" si="4"/>
        <v>0.18319212273872224</v>
      </c>
      <c r="AD63" s="8">
        <f t="shared" si="4"/>
        <v>3.9844286695672091</v>
      </c>
      <c r="AE63" s="8">
        <f t="shared" si="4"/>
        <v>3.7783375314861463</v>
      </c>
      <c r="AF63" s="8">
        <f t="shared" si="4"/>
        <v>5.4957636821616669</v>
      </c>
      <c r="AG63" s="8">
        <f t="shared" si="4"/>
        <v>4.6027020838103967</v>
      </c>
      <c r="AH63" s="8">
        <f t="shared" si="4"/>
        <v>0.52667735287382644</v>
      </c>
      <c r="AI63" s="8">
        <f t="shared" si="4"/>
        <v>0.52667735287382644</v>
      </c>
      <c r="AJ63" s="8">
        <f t="shared" si="4"/>
        <v>1.5113350125944585</v>
      </c>
      <c r="AK63" s="8">
        <f t="shared" si="1"/>
        <v>0.18319212273872224</v>
      </c>
    </row>
    <row r="64" spans="1:37" x14ac:dyDescent="0.25">
      <c r="A64" s="17"/>
      <c r="B64" t="s">
        <v>51</v>
      </c>
      <c r="C64" s="1">
        <v>5620</v>
      </c>
      <c r="D64" s="1">
        <v>183</v>
      </c>
      <c r="E64">
        <v>157</v>
      </c>
      <c r="F64" s="1">
        <v>440</v>
      </c>
      <c r="G64" s="1">
        <v>71</v>
      </c>
      <c r="H64" s="5">
        <v>20</v>
      </c>
      <c r="I64">
        <v>17</v>
      </c>
      <c r="J64">
        <v>85</v>
      </c>
      <c r="K64">
        <v>9</v>
      </c>
      <c r="L64">
        <v>189</v>
      </c>
      <c r="M64">
        <v>161</v>
      </c>
      <c r="N64">
        <v>450</v>
      </c>
      <c r="O64">
        <v>213</v>
      </c>
      <c r="P64">
        <v>21</v>
      </c>
      <c r="Q64">
        <v>17</v>
      </c>
      <c r="R64">
        <v>97</v>
      </c>
      <c r="S64">
        <v>9</v>
      </c>
      <c r="V64" s="8">
        <f t="shared" si="4"/>
        <v>3.2562277580071171</v>
      </c>
      <c r="W64" s="8">
        <f t="shared" si="4"/>
        <v>2.7935943060498221</v>
      </c>
      <c r="X64" s="8">
        <f t="shared" si="4"/>
        <v>7.8291814946619214</v>
      </c>
      <c r="Y64" s="8">
        <f t="shared" si="4"/>
        <v>1.2633451957295374</v>
      </c>
      <c r="Z64" s="8">
        <f t="shared" si="4"/>
        <v>0.35587188612099641</v>
      </c>
      <c r="AA64" s="8">
        <f t="shared" si="4"/>
        <v>0.30249110320284694</v>
      </c>
      <c r="AB64" s="8">
        <f t="shared" si="4"/>
        <v>1.5124555160142348</v>
      </c>
      <c r="AC64" s="8">
        <f t="shared" si="4"/>
        <v>0.16014234875444841</v>
      </c>
      <c r="AD64" s="8">
        <f t="shared" si="4"/>
        <v>3.3629893238434163</v>
      </c>
      <c r="AE64" s="8">
        <f t="shared" si="4"/>
        <v>2.8647686832740211</v>
      </c>
      <c r="AF64" s="8">
        <f t="shared" si="4"/>
        <v>8.007117437722421</v>
      </c>
      <c r="AG64" s="8">
        <f t="shared" si="4"/>
        <v>3.7900355871886124</v>
      </c>
      <c r="AH64" s="8">
        <f t="shared" si="4"/>
        <v>0.37366548042704628</v>
      </c>
      <c r="AI64" s="8">
        <f t="shared" si="4"/>
        <v>0.30249110320284694</v>
      </c>
      <c r="AJ64" s="8">
        <f t="shared" si="4"/>
        <v>1.7259786476868328</v>
      </c>
      <c r="AK64" s="8">
        <f t="shared" si="1"/>
        <v>0.16014234875444841</v>
      </c>
    </row>
    <row r="65" spans="1:37" x14ac:dyDescent="0.25">
      <c r="A65" s="17" t="s">
        <v>65</v>
      </c>
      <c r="B65" t="s">
        <v>47</v>
      </c>
      <c r="C65" s="1">
        <v>5859</v>
      </c>
      <c r="D65" s="1">
        <v>151</v>
      </c>
      <c r="E65">
        <v>172</v>
      </c>
      <c r="F65" s="1">
        <v>329</v>
      </c>
      <c r="G65" s="1">
        <v>44</v>
      </c>
      <c r="H65" s="5">
        <v>13</v>
      </c>
      <c r="I65">
        <v>13</v>
      </c>
      <c r="J65">
        <v>63</v>
      </c>
      <c r="K65">
        <v>5</v>
      </c>
      <c r="L65">
        <v>152</v>
      </c>
      <c r="M65">
        <v>182</v>
      </c>
      <c r="N65">
        <v>333</v>
      </c>
      <c r="O65">
        <v>170</v>
      </c>
      <c r="P65">
        <v>14</v>
      </c>
      <c r="Q65">
        <v>14</v>
      </c>
      <c r="R65">
        <v>71</v>
      </c>
      <c r="S65">
        <v>5</v>
      </c>
      <c r="V65" s="9">
        <f t="shared" si="4"/>
        <v>2.5772316094896741</v>
      </c>
      <c r="W65" s="9">
        <f t="shared" si="4"/>
        <v>2.9356545485577743</v>
      </c>
      <c r="X65" s="9">
        <f t="shared" si="4"/>
        <v>5.6152927120669061</v>
      </c>
      <c r="Y65" s="9">
        <f t="shared" si="4"/>
        <v>0.75098139614268644</v>
      </c>
      <c r="Z65" s="9">
        <f t="shared" si="4"/>
        <v>0.22188086704215737</v>
      </c>
      <c r="AA65" s="9">
        <f t="shared" si="4"/>
        <v>0.22188086704215737</v>
      </c>
      <c r="AB65" s="9">
        <f t="shared" si="4"/>
        <v>1.0752688172043012</v>
      </c>
      <c r="AC65" s="9">
        <f t="shared" si="4"/>
        <v>8.5338795016214372E-2</v>
      </c>
      <c r="AD65" s="9">
        <f t="shared" si="4"/>
        <v>2.594299368492917</v>
      </c>
      <c r="AE65" s="9">
        <f t="shared" si="4"/>
        <v>3.106332138590203</v>
      </c>
      <c r="AF65" s="9">
        <f t="shared" si="4"/>
        <v>5.6835637480798766</v>
      </c>
      <c r="AG65" s="9">
        <f t="shared" si="4"/>
        <v>2.9015190305512886</v>
      </c>
      <c r="AH65" s="9">
        <f t="shared" si="4"/>
        <v>0.23894862604540024</v>
      </c>
      <c r="AI65" s="9">
        <f t="shared" si="4"/>
        <v>0.23894862604540024</v>
      </c>
      <c r="AJ65" s="9">
        <f t="shared" si="4"/>
        <v>1.2118108892302442</v>
      </c>
      <c r="AK65" s="9">
        <f t="shared" si="1"/>
        <v>8.5338795016214372E-2</v>
      </c>
    </row>
    <row r="66" spans="1:37" x14ac:dyDescent="0.25">
      <c r="A66" s="17"/>
      <c r="B66" t="s">
        <v>48</v>
      </c>
      <c r="C66" s="1">
        <v>6129</v>
      </c>
      <c r="D66" s="1">
        <v>171</v>
      </c>
      <c r="E66">
        <v>138</v>
      </c>
      <c r="F66" s="1">
        <v>299</v>
      </c>
      <c r="G66" s="1">
        <v>52</v>
      </c>
      <c r="H66" s="5">
        <v>14</v>
      </c>
      <c r="I66">
        <v>16</v>
      </c>
      <c r="J66">
        <v>61</v>
      </c>
      <c r="K66">
        <v>9</v>
      </c>
      <c r="L66">
        <v>176</v>
      </c>
      <c r="M66">
        <v>144</v>
      </c>
      <c r="N66">
        <v>303</v>
      </c>
      <c r="O66">
        <v>195</v>
      </c>
      <c r="P66">
        <v>14</v>
      </c>
      <c r="Q66">
        <v>18</v>
      </c>
      <c r="R66">
        <v>69</v>
      </c>
      <c r="S66">
        <v>9</v>
      </c>
      <c r="V66" s="9">
        <f t="shared" si="4"/>
        <v>2.7900146842878124</v>
      </c>
      <c r="W66" s="9">
        <f t="shared" si="4"/>
        <v>2.2515907978463043</v>
      </c>
      <c r="X66" s="9">
        <f t="shared" si="4"/>
        <v>4.8784467286669928</v>
      </c>
      <c r="Y66" s="9">
        <f t="shared" si="4"/>
        <v>0.84842551802904231</v>
      </c>
      <c r="Z66" s="9">
        <f t="shared" si="4"/>
        <v>0.22842225485397291</v>
      </c>
      <c r="AA66" s="9">
        <f t="shared" si="4"/>
        <v>0.26105400554739761</v>
      </c>
      <c r="AB66" s="9">
        <f t="shared" si="4"/>
        <v>0.99526839614945339</v>
      </c>
      <c r="AC66" s="9">
        <f t="shared" si="4"/>
        <v>0.14684287812041116</v>
      </c>
      <c r="AD66" s="9">
        <f t="shared" si="4"/>
        <v>2.8715940610213742</v>
      </c>
      <c r="AE66" s="9">
        <f t="shared" si="4"/>
        <v>2.3494860499265786</v>
      </c>
      <c r="AF66" s="9">
        <f t="shared" si="4"/>
        <v>4.943710230053842</v>
      </c>
      <c r="AG66" s="9">
        <f t="shared" si="4"/>
        <v>3.1815956926089086</v>
      </c>
      <c r="AH66" s="9">
        <f t="shared" si="4"/>
        <v>0.22842225485397291</v>
      </c>
      <c r="AI66" s="9">
        <f t="shared" si="4"/>
        <v>0.29368575624082233</v>
      </c>
      <c r="AJ66" s="9">
        <f t="shared" si="4"/>
        <v>1.1257953989231522</v>
      </c>
      <c r="AK66" s="9">
        <f t="shared" si="1"/>
        <v>0.14684287812041116</v>
      </c>
    </row>
    <row r="67" spans="1:37" x14ac:dyDescent="0.25">
      <c r="A67" s="17"/>
      <c r="B67" t="s">
        <v>49</v>
      </c>
      <c r="C67" s="1">
        <v>3201</v>
      </c>
      <c r="D67" s="1">
        <v>82</v>
      </c>
      <c r="E67">
        <v>35</v>
      </c>
      <c r="F67" s="1">
        <v>122</v>
      </c>
      <c r="G67" s="1">
        <v>13</v>
      </c>
      <c r="H67" s="5">
        <v>9</v>
      </c>
      <c r="I67">
        <v>10</v>
      </c>
      <c r="J67">
        <v>54</v>
      </c>
      <c r="K67">
        <v>3</v>
      </c>
      <c r="L67">
        <v>86</v>
      </c>
      <c r="M67">
        <v>36</v>
      </c>
      <c r="N67">
        <v>123</v>
      </c>
      <c r="O67">
        <v>90</v>
      </c>
      <c r="P67">
        <v>11</v>
      </c>
      <c r="Q67">
        <v>15</v>
      </c>
      <c r="R67">
        <v>62</v>
      </c>
      <c r="S67">
        <v>3</v>
      </c>
      <c r="V67" s="9">
        <f t="shared" si="4"/>
        <v>2.5616994689159638</v>
      </c>
      <c r="W67" s="9">
        <f t="shared" si="4"/>
        <v>1.0934083099031553</v>
      </c>
      <c r="X67" s="9">
        <f t="shared" si="4"/>
        <v>3.8113089659481409</v>
      </c>
      <c r="Y67" s="9">
        <f t="shared" si="4"/>
        <v>0.4061230865354577</v>
      </c>
      <c r="Z67" s="9">
        <f t="shared" si="4"/>
        <v>0.28116213683223995</v>
      </c>
      <c r="AA67" s="9">
        <f t="shared" si="4"/>
        <v>0.3124023742580444</v>
      </c>
      <c r="AB67" s="9">
        <f t="shared" si="4"/>
        <v>1.6869728209934396</v>
      </c>
      <c r="AC67" s="9">
        <f t="shared" si="4"/>
        <v>9.3720712277413312E-2</v>
      </c>
      <c r="AD67" s="9">
        <f t="shared" si="4"/>
        <v>2.6866604186191814</v>
      </c>
      <c r="AE67" s="9">
        <f t="shared" si="4"/>
        <v>1.1246485473289598</v>
      </c>
      <c r="AF67" s="9">
        <f t="shared" si="4"/>
        <v>3.8425492033739452</v>
      </c>
      <c r="AG67" s="9">
        <f t="shared" si="4"/>
        <v>2.8116213683223994</v>
      </c>
      <c r="AH67" s="9">
        <f t="shared" si="4"/>
        <v>0.3436426116838488</v>
      </c>
      <c r="AI67" s="9">
        <f t="shared" si="4"/>
        <v>0.46860356138706649</v>
      </c>
      <c r="AJ67" s="9">
        <f t="shared" si="4"/>
        <v>1.936894720399875</v>
      </c>
      <c r="AK67" s="9">
        <f t="shared" si="1"/>
        <v>9.3720712277413312E-2</v>
      </c>
    </row>
    <row r="68" spans="1:37" x14ac:dyDescent="0.25">
      <c r="A68" s="17"/>
      <c r="B68" t="s">
        <v>50</v>
      </c>
      <c r="C68" s="1">
        <v>4367</v>
      </c>
      <c r="D68" s="1">
        <v>174</v>
      </c>
      <c r="E68">
        <v>163</v>
      </c>
      <c r="F68" s="1">
        <v>233</v>
      </c>
      <c r="G68" s="1">
        <v>62</v>
      </c>
      <c r="H68" s="5">
        <v>21</v>
      </c>
      <c r="I68">
        <v>20</v>
      </c>
      <c r="J68">
        <v>57</v>
      </c>
      <c r="K68">
        <v>8</v>
      </c>
      <c r="L68">
        <v>174</v>
      </c>
      <c r="M68">
        <v>165</v>
      </c>
      <c r="N68">
        <v>240</v>
      </c>
      <c r="O68">
        <v>201</v>
      </c>
      <c r="P68">
        <v>23</v>
      </c>
      <c r="Q68">
        <v>23</v>
      </c>
      <c r="R68">
        <v>66</v>
      </c>
      <c r="S68">
        <v>8</v>
      </c>
      <c r="V68" s="9">
        <f t="shared" si="4"/>
        <v>3.9844286695672091</v>
      </c>
      <c r="W68" s="9">
        <f t="shared" si="4"/>
        <v>3.7325395008014657</v>
      </c>
      <c r="X68" s="9">
        <f t="shared" si="4"/>
        <v>5.3354705747652851</v>
      </c>
      <c r="Y68" s="9">
        <f t="shared" si="4"/>
        <v>1.4197389512250973</v>
      </c>
      <c r="Z68" s="9">
        <f t="shared" si="4"/>
        <v>0.48087932218914586</v>
      </c>
      <c r="AA68" s="9">
        <f t="shared" si="4"/>
        <v>0.45798030684680563</v>
      </c>
      <c r="AB68" s="9">
        <f t="shared" si="4"/>
        <v>1.3052438745133959</v>
      </c>
      <c r="AC68" s="9">
        <f t="shared" si="4"/>
        <v>0.18319212273872224</v>
      </c>
      <c r="AD68" s="9">
        <f t="shared" si="4"/>
        <v>3.9844286695672091</v>
      </c>
      <c r="AE68" s="9">
        <f t="shared" si="4"/>
        <v>3.7783375314861463</v>
      </c>
      <c r="AF68" s="9">
        <f t="shared" si="4"/>
        <v>5.4957636821616669</v>
      </c>
      <c r="AG68" s="9">
        <f t="shared" si="4"/>
        <v>4.6027020838103967</v>
      </c>
      <c r="AH68" s="9">
        <f t="shared" si="4"/>
        <v>0.52667735287382644</v>
      </c>
      <c r="AI68" s="9">
        <f t="shared" si="4"/>
        <v>0.52667735287382644</v>
      </c>
      <c r="AJ68" s="9">
        <f t="shared" si="4"/>
        <v>1.5113350125944585</v>
      </c>
      <c r="AK68" s="9">
        <f t="shared" si="1"/>
        <v>0.18319212273872224</v>
      </c>
    </row>
    <row r="69" spans="1:37" x14ac:dyDescent="0.25">
      <c r="A69" s="17"/>
      <c r="B69" t="s">
        <v>51</v>
      </c>
      <c r="C69" s="1">
        <v>5620</v>
      </c>
      <c r="D69" s="1">
        <v>183</v>
      </c>
      <c r="E69">
        <v>157</v>
      </c>
      <c r="F69" s="1">
        <v>440</v>
      </c>
      <c r="G69" s="1">
        <v>71</v>
      </c>
      <c r="H69" s="5">
        <v>20</v>
      </c>
      <c r="I69">
        <v>17</v>
      </c>
      <c r="J69">
        <v>85</v>
      </c>
      <c r="K69">
        <v>9</v>
      </c>
      <c r="L69">
        <v>189</v>
      </c>
      <c r="M69">
        <v>161</v>
      </c>
      <c r="N69">
        <v>450</v>
      </c>
      <c r="O69">
        <v>213</v>
      </c>
      <c r="P69">
        <v>21</v>
      </c>
      <c r="Q69">
        <v>17</v>
      </c>
      <c r="R69">
        <v>97</v>
      </c>
      <c r="S69">
        <v>9</v>
      </c>
      <c r="V69" s="9">
        <f t="shared" si="4"/>
        <v>3.2562277580071171</v>
      </c>
      <c r="W69" s="9">
        <f t="shared" si="4"/>
        <v>2.7935943060498221</v>
      </c>
      <c r="X69" s="9">
        <f t="shared" si="4"/>
        <v>7.8291814946619214</v>
      </c>
      <c r="Y69" s="9">
        <f t="shared" si="4"/>
        <v>1.2633451957295374</v>
      </c>
      <c r="Z69" s="9">
        <f t="shared" si="4"/>
        <v>0.35587188612099641</v>
      </c>
      <c r="AA69" s="9">
        <f t="shared" si="4"/>
        <v>0.30249110320284694</v>
      </c>
      <c r="AB69" s="9">
        <f t="shared" si="4"/>
        <v>1.5124555160142348</v>
      </c>
      <c r="AC69" s="9">
        <f t="shared" si="4"/>
        <v>0.16014234875444841</v>
      </c>
      <c r="AD69" s="9">
        <f t="shared" si="4"/>
        <v>3.3629893238434163</v>
      </c>
      <c r="AE69" s="9">
        <f t="shared" si="4"/>
        <v>2.8647686832740211</v>
      </c>
      <c r="AF69" s="9">
        <f t="shared" si="4"/>
        <v>8.007117437722421</v>
      </c>
      <c r="AG69" s="9">
        <f t="shared" si="4"/>
        <v>3.7900355871886124</v>
      </c>
      <c r="AH69" s="9">
        <f t="shared" si="4"/>
        <v>0.37366548042704628</v>
      </c>
      <c r="AI69" s="9">
        <f t="shared" si="4"/>
        <v>0.30249110320284694</v>
      </c>
      <c r="AJ69" s="9">
        <f t="shared" si="4"/>
        <v>1.7259786476868328</v>
      </c>
      <c r="AK69" s="9">
        <f t="shared" si="1"/>
        <v>0.16014234875444841</v>
      </c>
    </row>
    <row r="70" spans="1:37" x14ac:dyDescent="0.25">
      <c r="A70" s="17" t="s">
        <v>66</v>
      </c>
      <c r="B70" t="s">
        <v>52</v>
      </c>
      <c r="C70" s="1">
        <v>6869</v>
      </c>
      <c r="D70" s="1">
        <v>218</v>
      </c>
      <c r="E70">
        <v>151</v>
      </c>
      <c r="F70" s="1">
        <v>463</v>
      </c>
      <c r="G70" s="1">
        <v>67</v>
      </c>
      <c r="H70" s="5">
        <v>20</v>
      </c>
      <c r="I70">
        <v>21</v>
      </c>
      <c r="J70">
        <v>61</v>
      </c>
      <c r="K70">
        <v>9</v>
      </c>
      <c r="L70">
        <v>225</v>
      </c>
      <c r="M70">
        <v>155</v>
      </c>
      <c r="N70">
        <v>470</v>
      </c>
      <c r="O70">
        <v>253</v>
      </c>
      <c r="P70">
        <v>20</v>
      </c>
      <c r="Q70">
        <v>23</v>
      </c>
      <c r="R70">
        <v>64</v>
      </c>
      <c r="S70">
        <v>9</v>
      </c>
      <c r="V70" s="10">
        <f t="shared" ref="V70:AK85" si="5">(D70/$C70)*100</f>
        <v>3.1736788469937403</v>
      </c>
      <c r="W70" s="10">
        <f t="shared" si="5"/>
        <v>2.1982821371378658</v>
      </c>
      <c r="X70" s="10">
        <f t="shared" si="5"/>
        <v>6.7404280098995493</v>
      </c>
      <c r="Y70" s="10">
        <f t="shared" si="5"/>
        <v>0.97539670985587412</v>
      </c>
      <c r="Z70" s="10">
        <f t="shared" si="5"/>
        <v>0.29116319697190274</v>
      </c>
      <c r="AA70" s="10">
        <f t="shared" si="5"/>
        <v>0.30572135682049789</v>
      </c>
      <c r="AB70" s="10">
        <f t="shared" si="5"/>
        <v>0.88804775076430342</v>
      </c>
      <c r="AC70" s="10">
        <f t="shared" si="5"/>
        <v>0.13102343863735624</v>
      </c>
      <c r="AD70" s="10">
        <f t="shared" si="5"/>
        <v>3.2755859659339062</v>
      </c>
      <c r="AE70" s="10">
        <f t="shared" si="5"/>
        <v>2.2565147765322462</v>
      </c>
      <c r="AF70" s="10">
        <f t="shared" si="5"/>
        <v>6.8423351288397143</v>
      </c>
      <c r="AG70" s="10">
        <f t="shared" si="5"/>
        <v>3.6832144416945698</v>
      </c>
      <c r="AH70" s="10">
        <f t="shared" si="5"/>
        <v>0.29116319697190274</v>
      </c>
      <c r="AI70" s="10">
        <f t="shared" si="5"/>
        <v>0.33483767651768814</v>
      </c>
      <c r="AJ70" s="10">
        <f t="shared" si="5"/>
        <v>0.93172223031008883</v>
      </c>
      <c r="AK70" s="10">
        <f t="shared" si="1"/>
        <v>0.13102343863735624</v>
      </c>
    </row>
    <row r="71" spans="1:37" x14ac:dyDescent="0.25">
      <c r="A71" s="17"/>
      <c r="B71" t="s">
        <v>53</v>
      </c>
      <c r="C71" s="1">
        <v>7027</v>
      </c>
      <c r="D71" s="1">
        <v>288</v>
      </c>
      <c r="E71">
        <v>139</v>
      </c>
      <c r="F71" s="1">
        <v>337</v>
      </c>
      <c r="G71" s="1">
        <v>82</v>
      </c>
      <c r="H71" s="5">
        <v>71</v>
      </c>
      <c r="I71">
        <v>48</v>
      </c>
      <c r="J71">
        <v>133</v>
      </c>
      <c r="K71">
        <v>35</v>
      </c>
      <c r="L71">
        <v>295</v>
      </c>
      <c r="M71">
        <v>141</v>
      </c>
      <c r="N71">
        <v>341</v>
      </c>
      <c r="O71">
        <v>328</v>
      </c>
      <c r="P71">
        <v>84</v>
      </c>
      <c r="Q71">
        <v>57</v>
      </c>
      <c r="R71">
        <v>168</v>
      </c>
      <c r="S71">
        <v>41</v>
      </c>
      <c r="V71" s="10">
        <f t="shared" si="5"/>
        <v>4.0984773018357759</v>
      </c>
      <c r="W71" s="10">
        <f t="shared" si="5"/>
        <v>1.9780845310943505</v>
      </c>
      <c r="X71" s="10">
        <f t="shared" si="5"/>
        <v>4.7957876761064462</v>
      </c>
      <c r="Y71" s="10">
        <f t="shared" si="5"/>
        <v>1.1669275651060196</v>
      </c>
      <c r="Z71" s="10">
        <f t="shared" si="5"/>
        <v>1.0103885014942364</v>
      </c>
      <c r="AA71" s="10">
        <f t="shared" si="5"/>
        <v>0.68307955030596279</v>
      </c>
      <c r="AB71" s="10">
        <f t="shared" si="5"/>
        <v>1.892699587306105</v>
      </c>
      <c r="AC71" s="10">
        <f t="shared" si="5"/>
        <v>0.4980788387647645</v>
      </c>
      <c r="AD71" s="10">
        <f t="shared" si="5"/>
        <v>4.1980930695887295</v>
      </c>
      <c r="AE71" s="10">
        <f t="shared" si="5"/>
        <v>2.0065461790237658</v>
      </c>
      <c r="AF71" s="10">
        <f t="shared" si="5"/>
        <v>4.8527109719652763</v>
      </c>
      <c r="AG71" s="10">
        <f t="shared" si="5"/>
        <v>4.6677102604240783</v>
      </c>
      <c r="AH71" s="10">
        <f t="shared" si="5"/>
        <v>1.1953892130354349</v>
      </c>
      <c r="AI71" s="10">
        <f t="shared" si="5"/>
        <v>0.81115696598833065</v>
      </c>
      <c r="AJ71" s="10">
        <f t="shared" si="5"/>
        <v>2.3907784260708698</v>
      </c>
      <c r="AK71" s="10">
        <f t="shared" si="1"/>
        <v>0.58346378255300979</v>
      </c>
    </row>
    <row r="72" spans="1:37" x14ac:dyDescent="0.25">
      <c r="A72" s="17"/>
      <c r="B72" t="s">
        <v>54</v>
      </c>
      <c r="C72" s="1">
        <v>7091</v>
      </c>
      <c r="D72" s="1">
        <v>242</v>
      </c>
      <c r="E72">
        <v>230</v>
      </c>
      <c r="F72" s="1">
        <v>562</v>
      </c>
      <c r="G72" s="1">
        <v>131</v>
      </c>
      <c r="H72" s="5">
        <v>62</v>
      </c>
      <c r="I72">
        <v>60</v>
      </c>
      <c r="J72">
        <v>164</v>
      </c>
      <c r="K72">
        <v>38</v>
      </c>
      <c r="L72">
        <v>250</v>
      </c>
      <c r="M72">
        <v>233</v>
      </c>
      <c r="N72">
        <v>574</v>
      </c>
      <c r="O72">
        <v>288</v>
      </c>
      <c r="P72">
        <v>69</v>
      </c>
      <c r="Q72">
        <v>70</v>
      </c>
      <c r="R72">
        <v>194</v>
      </c>
      <c r="S72">
        <v>42</v>
      </c>
      <c r="V72" s="10">
        <f t="shared" si="5"/>
        <v>3.4127767592723171</v>
      </c>
      <c r="W72" s="10">
        <f t="shared" si="5"/>
        <v>3.2435481596389786</v>
      </c>
      <c r="X72" s="10">
        <f t="shared" si="5"/>
        <v>7.9255394161613317</v>
      </c>
      <c r="Y72" s="10">
        <f t="shared" si="5"/>
        <v>1.8474122126639403</v>
      </c>
      <c r="Z72" s="10">
        <f t="shared" si="5"/>
        <v>0.87434776477224652</v>
      </c>
      <c r="AA72" s="10">
        <f t="shared" si="5"/>
        <v>0.84614299816669014</v>
      </c>
      <c r="AB72" s="10">
        <f t="shared" si="5"/>
        <v>2.3127908616556199</v>
      </c>
      <c r="AC72" s="10">
        <f t="shared" si="5"/>
        <v>0.53589056550557046</v>
      </c>
      <c r="AD72" s="10">
        <f t="shared" si="5"/>
        <v>3.5255958256945426</v>
      </c>
      <c r="AE72" s="10">
        <f t="shared" si="5"/>
        <v>3.2858553095473133</v>
      </c>
      <c r="AF72" s="10">
        <f t="shared" si="5"/>
        <v>8.0947680157946689</v>
      </c>
      <c r="AG72" s="10">
        <f t="shared" si="5"/>
        <v>4.0614863912001127</v>
      </c>
      <c r="AH72" s="10">
        <f t="shared" si="5"/>
        <v>0.97306444789169377</v>
      </c>
      <c r="AI72" s="10">
        <f t="shared" si="5"/>
        <v>0.98716683119447179</v>
      </c>
      <c r="AJ72" s="10">
        <f t="shared" si="5"/>
        <v>2.7358623607389649</v>
      </c>
      <c r="AK72" s="10">
        <f t="shared" si="1"/>
        <v>0.5923000987166831</v>
      </c>
    </row>
    <row r="73" spans="1:37" x14ac:dyDescent="0.25">
      <c r="A73" s="17"/>
      <c r="B73" t="s">
        <v>55</v>
      </c>
      <c r="C73" s="1">
        <v>5852</v>
      </c>
      <c r="D73" s="1">
        <v>205</v>
      </c>
      <c r="E73">
        <v>240</v>
      </c>
      <c r="F73" s="1">
        <v>361</v>
      </c>
      <c r="G73" s="1">
        <v>76</v>
      </c>
      <c r="H73" s="5">
        <v>43</v>
      </c>
      <c r="I73">
        <v>33</v>
      </c>
      <c r="J73">
        <v>93</v>
      </c>
      <c r="K73">
        <v>15</v>
      </c>
      <c r="L73">
        <v>208</v>
      </c>
      <c r="M73">
        <v>244</v>
      </c>
      <c r="N73">
        <v>372</v>
      </c>
      <c r="O73">
        <v>240</v>
      </c>
      <c r="P73">
        <v>52</v>
      </c>
      <c r="Q73">
        <v>38</v>
      </c>
      <c r="R73">
        <v>114</v>
      </c>
      <c r="S73">
        <v>18</v>
      </c>
      <c r="V73" s="10">
        <f t="shared" si="5"/>
        <v>3.5030758714969239</v>
      </c>
      <c r="W73" s="10">
        <f t="shared" si="5"/>
        <v>4.1011619958988383</v>
      </c>
      <c r="X73" s="10">
        <f t="shared" si="5"/>
        <v>6.1688311688311686</v>
      </c>
      <c r="Y73" s="10">
        <f t="shared" si="5"/>
        <v>1.2987012987012987</v>
      </c>
      <c r="Z73" s="10">
        <f t="shared" si="5"/>
        <v>0.73479152426520855</v>
      </c>
      <c r="AA73" s="10">
        <f t="shared" si="5"/>
        <v>0.56390977443609014</v>
      </c>
      <c r="AB73" s="10">
        <f t="shared" si="5"/>
        <v>1.5892002734107999</v>
      </c>
      <c r="AC73" s="10">
        <f t="shared" si="5"/>
        <v>0.2563226247436774</v>
      </c>
      <c r="AD73" s="10">
        <f t="shared" si="5"/>
        <v>3.5543403964456601</v>
      </c>
      <c r="AE73" s="10">
        <f t="shared" si="5"/>
        <v>4.1695146958304852</v>
      </c>
      <c r="AF73" s="10">
        <f t="shared" si="5"/>
        <v>6.3568010936431998</v>
      </c>
      <c r="AG73" s="10">
        <f t="shared" si="5"/>
        <v>4.1011619958988383</v>
      </c>
      <c r="AH73" s="10">
        <f t="shared" si="5"/>
        <v>0.88858509911141503</v>
      </c>
      <c r="AI73" s="10">
        <f t="shared" si="5"/>
        <v>0.64935064935064934</v>
      </c>
      <c r="AJ73" s="10">
        <f t="shared" si="5"/>
        <v>1.948051948051948</v>
      </c>
      <c r="AK73" s="10">
        <f t="shared" si="1"/>
        <v>0.30758714969241285</v>
      </c>
    </row>
    <row r="74" spans="1:37" x14ac:dyDescent="0.25">
      <c r="A74" s="17"/>
      <c r="B74" t="s">
        <v>56</v>
      </c>
      <c r="C74" s="1">
        <v>5974</v>
      </c>
      <c r="D74" s="1">
        <v>191</v>
      </c>
      <c r="E74">
        <v>169</v>
      </c>
      <c r="F74" s="1">
        <v>458</v>
      </c>
      <c r="G74" s="1">
        <v>68</v>
      </c>
      <c r="H74" s="5">
        <v>36</v>
      </c>
      <c r="I74">
        <v>15</v>
      </c>
      <c r="J74">
        <v>81</v>
      </c>
      <c r="K74">
        <v>9</v>
      </c>
      <c r="L74">
        <v>195</v>
      </c>
      <c r="M74">
        <v>173</v>
      </c>
      <c r="N74">
        <v>463</v>
      </c>
      <c r="O74">
        <v>220</v>
      </c>
      <c r="P74">
        <v>42</v>
      </c>
      <c r="Q74">
        <v>16</v>
      </c>
      <c r="R74">
        <v>95</v>
      </c>
      <c r="S74">
        <v>9</v>
      </c>
      <c r="V74" s="10">
        <f t="shared" si="5"/>
        <v>3.1971878138600607</v>
      </c>
      <c r="W74" s="10">
        <f t="shared" si="5"/>
        <v>2.8289253431536658</v>
      </c>
      <c r="X74" s="10">
        <f t="shared" si="5"/>
        <v>7.666555071978574</v>
      </c>
      <c r="Y74" s="10">
        <f t="shared" si="5"/>
        <v>1.1382658185470371</v>
      </c>
      <c r="Z74" s="10">
        <f t="shared" si="5"/>
        <v>0.60261131570137261</v>
      </c>
      <c r="AA74" s="10">
        <f t="shared" si="5"/>
        <v>0.25108804820890529</v>
      </c>
      <c r="AB74" s="10">
        <f t="shared" si="5"/>
        <v>1.3558754603280885</v>
      </c>
      <c r="AC74" s="10">
        <f t="shared" si="5"/>
        <v>0.15065282892534315</v>
      </c>
      <c r="AD74" s="10">
        <f t="shared" si="5"/>
        <v>3.2641446267157681</v>
      </c>
      <c r="AE74" s="10">
        <f t="shared" si="5"/>
        <v>2.8958821560093737</v>
      </c>
      <c r="AF74" s="10">
        <f t="shared" si="5"/>
        <v>7.7502510880482083</v>
      </c>
      <c r="AG74" s="10">
        <f t="shared" si="5"/>
        <v>3.682624707063944</v>
      </c>
      <c r="AH74" s="10">
        <f t="shared" si="5"/>
        <v>0.70304653498493475</v>
      </c>
      <c r="AI74" s="10">
        <f t="shared" si="5"/>
        <v>0.26782725142283231</v>
      </c>
      <c r="AJ74" s="10">
        <f t="shared" si="5"/>
        <v>1.5902243053230667</v>
      </c>
      <c r="AK74" s="10">
        <f t="shared" si="1"/>
        <v>0.15065282892534315</v>
      </c>
    </row>
    <row r="75" spans="1:37" x14ac:dyDescent="0.25">
      <c r="A75" s="17"/>
      <c r="B75" t="s">
        <v>57</v>
      </c>
      <c r="C75" s="1">
        <v>7674</v>
      </c>
      <c r="D75" s="1">
        <v>208</v>
      </c>
      <c r="E75">
        <v>227</v>
      </c>
      <c r="F75" s="1">
        <v>462</v>
      </c>
      <c r="G75" s="1">
        <v>84</v>
      </c>
      <c r="H75" s="5">
        <v>40</v>
      </c>
      <c r="I75">
        <v>38</v>
      </c>
      <c r="J75">
        <v>103</v>
      </c>
      <c r="K75">
        <v>13</v>
      </c>
      <c r="L75">
        <v>213</v>
      </c>
      <c r="M75">
        <v>232</v>
      </c>
      <c r="N75">
        <v>468</v>
      </c>
      <c r="O75">
        <v>250</v>
      </c>
      <c r="P75">
        <v>46</v>
      </c>
      <c r="Q75">
        <v>44</v>
      </c>
      <c r="R75">
        <v>128</v>
      </c>
      <c r="S75">
        <v>16</v>
      </c>
      <c r="V75" s="10">
        <f t="shared" si="5"/>
        <v>2.7104508730779258</v>
      </c>
      <c r="W75" s="10">
        <f t="shared" si="5"/>
        <v>2.9580401355225434</v>
      </c>
      <c r="X75" s="10">
        <f t="shared" si="5"/>
        <v>6.0203283815480848</v>
      </c>
      <c r="Y75" s="10">
        <f t="shared" si="5"/>
        <v>1.0946051602814699</v>
      </c>
      <c r="Z75" s="10">
        <f t="shared" si="5"/>
        <v>0.52124055251498569</v>
      </c>
      <c r="AA75" s="10">
        <f t="shared" si="5"/>
        <v>0.49517852488923636</v>
      </c>
      <c r="AB75" s="10">
        <f t="shared" si="5"/>
        <v>1.342194422726088</v>
      </c>
      <c r="AC75" s="10">
        <f t="shared" si="5"/>
        <v>0.16940317956737036</v>
      </c>
      <c r="AD75" s="10">
        <f t="shared" si="5"/>
        <v>2.7756059421422985</v>
      </c>
      <c r="AE75" s="10">
        <f t="shared" si="5"/>
        <v>3.023195204586917</v>
      </c>
      <c r="AF75" s="10">
        <f t="shared" si="5"/>
        <v>6.0985144644253326</v>
      </c>
      <c r="AG75" s="10">
        <f t="shared" si="5"/>
        <v>3.2577534532186605</v>
      </c>
      <c r="AH75" s="10">
        <f t="shared" si="5"/>
        <v>0.59942663539223351</v>
      </c>
      <c r="AI75" s="10">
        <f t="shared" si="5"/>
        <v>0.57336460776648424</v>
      </c>
      <c r="AJ75" s="10">
        <f t="shared" si="5"/>
        <v>1.6679697680479542</v>
      </c>
      <c r="AK75" s="10">
        <f t="shared" si="1"/>
        <v>0.20849622100599427</v>
      </c>
    </row>
    <row r="76" spans="1:37" x14ac:dyDescent="0.25">
      <c r="A76" s="17"/>
      <c r="B76" t="s">
        <v>58</v>
      </c>
      <c r="C76" s="1">
        <v>7324</v>
      </c>
      <c r="D76" s="1">
        <v>261</v>
      </c>
      <c r="E76">
        <v>230</v>
      </c>
      <c r="F76" s="1">
        <v>868</v>
      </c>
      <c r="G76" s="1">
        <v>167</v>
      </c>
      <c r="H76" s="5">
        <v>26</v>
      </c>
      <c r="I76">
        <v>27</v>
      </c>
      <c r="J76">
        <v>180</v>
      </c>
      <c r="K76">
        <v>20</v>
      </c>
      <c r="L76">
        <v>268</v>
      </c>
      <c r="M76">
        <v>238</v>
      </c>
      <c r="N76">
        <v>885</v>
      </c>
      <c r="O76">
        <v>346</v>
      </c>
      <c r="P76">
        <v>28</v>
      </c>
      <c r="Q76">
        <v>29</v>
      </c>
      <c r="R76">
        <v>215</v>
      </c>
      <c r="S76">
        <v>22</v>
      </c>
      <c r="V76" s="10">
        <f t="shared" si="5"/>
        <v>3.5636264336428183</v>
      </c>
      <c r="W76" s="10">
        <f t="shared" si="5"/>
        <v>3.1403604587657017</v>
      </c>
      <c r="X76" s="10">
        <f t="shared" si="5"/>
        <v>11.851447296559257</v>
      </c>
      <c r="Y76" s="10">
        <f t="shared" si="5"/>
        <v>2.2801747678864008</v>
      </c>
      <c r="Z76" s="10">
        <f t="shared" si="5"/>
        <v>0.35499726925177499</v>
      </c>
      <c r="AA76" s="10">
        <f t="shared" si="5"/>
        <v>0.36865101037684328</v>
      </c>
      <c r="AB76" s="10">
        <f t="shared" si="5"/>
        <v>2.4576734025122882</v>
      </c>
      <c r="AC76" s="10">
        <f t="shared" si="5"/>
        <v>0.27307482250136539</v>
      </c>
      <c r="AD76" s="10">
        <f t="shared" si="5"/>
        <v>3.659202621518296</v>
      </c>
      <c r="AE76" s="10">
        <f t="shared" si="5"/>
        <v>3.2495903877662475</v>
      </c>
      <c r="AF76" s="10">
        <f t="shared" si="5"/>
        <v>12.083560895685418</v>
      </c>
      <c r="AG76" s="10">
        <f t="shared" si="5"/>
        <v>4.7241944292736209</v>
      </c>
      <c r="AH76" s="10">
        <f t="shared" si="5"/>
        <v>0.38230475150191157</v>
      </c>
      <c r="AI76" s="10">
        <f t="shared" si="5"/>
        <v>0.3959584926269798</v>
      </c>
      <c r="AJ76" s="10">
        <f t="shared" si="5"/>
        <v>2.9355543418896777</v>
      </c>
      <c r="AK76" s="10">
        <f t="shared" si="1"/>
        <v>0.30038230475150191</v>
      </c>
    </row>
    <row r="77" spans="1:37" x14ac:dyDescent="0.25">
      <c r="A77" s="17"/>
      <c r="B77" t="s">
        <v>59</v>
      </c>
      <c r="C77" s="1">
        <v>6925</v>
      </c>
      <c r="D77" s="1">
        <v>289</v>
      </c>
      <c r="E77">
        <v>221</v>
      </c>
      <c r="F77" s="1">
        <v>619</v>
      </c>
      <c r="G77" s="1">
        <v>125</v>
      </c>
      <c r="H77" s="5">
        <v>67</v>
      </c>
      <c r="I77">
        <v>48</v>
      </c>
      <c r="J77">
        <v>206</v>
      </c>
      <c r="K77">
        <v>29</v>
      </c>
      <c r="L77">
        <v>304</v>
      </c>
      <c r="M77">
        <v>228</v>
      </c>
      <c r="N77">
        <v>631</v>
      </c>
      <c r="O77">
        <v>360</v>
      </c>
      <c r="P77">
        <v>83</v>
      </c>
      <c r="Q77">
        <v>60</v>
      </c>
      <c r="R77">
        <v>278</v>
      </c>
      <c r="S77">
        <v>37</v>
      </c>
      <c r="V77" s="10">
        <f t="shared" si="5"/>
        <v>4.1732851985559565</v>
      </c>
      <c r="W77" s="10">
        <f t="shared" si="5"/>
        <v>3.1913357400722022</v>
      </c>
      <c r="X77" s="10">
        <f t="shared" si="5"/>
        <v>8.9386281588447645</v>
      </c>
      <c r="Y77" s="10">
        <f t="shared" si="5"/>
        <v>1.8050541516245486</v>
      </c>
      <c r="Z77" s="10">
        <f t="shared" si="5"/>
        <v>0.96750902527075811</v>
      </c>
      <c r="AA77" s="10">
        <f t="shared" si="5"/>
        <v>0.69314079422382668</v>
      </c>
      <c r="AB77" s="10">
        <f t="shared" si="5"/>
        <v>2.9747292418772564</v>
      </c>
      <c r="AC77" s="10">
        <f t="shared" si="5"/>
        <v>0.41877256317689526</v>
      </c>
      <c r="AD77" s="10">
        <f t="shared" si="5"/>
        <v>4.3898916967509027</v>
      </c>
      <c r="AE77" s="10">
        <f t="shared" si="5"/>
        <v>3.2924187725631771</v>
      </c>
      <c r="AF77" s="10">
        <f t="shared" si="5"/>
        <v>9.1119133574007218</v>
      </c>
      <c r="AG77" s="10">
        <f t="shared" si="5"/>
        <v>5.1985559566787005</v>
      </c>
      <c r="AH77" s="10">
        <f t="shared" si="5"/>
        <v>1.1985559566787005</v>
      </c>
      <c r="AI77" s="10">
        <f t="shared" si="5"/>
        <v>0.86642599277978338</v>
      </c>
      <c r="AJ77" s="10">
        <f t="shared" si="5"/>
        <v>4.0144404332129966</v>
      </c>
      <c r="AK77" s="10">
        <f t="shared" si="1"/>
        <v>0.53429602888086647</v>
      </c>
    </row>
    <row r="78" spans="1:37" x14ac:dyDescent="0.25">
      <c r="A78" s="17" t="s">
        <v>67</v>
      </c>
      <c r="B78" t="s">
        <v>52</v>
      </c>
      <c r="C78" s="1">
        <v>6869</v>
      </c>
      <c r="D78" s="1">
        <v>218</v>
      </c>
      <c r="E78">
        <v>151</v>
      </c>
      <c r="F78" s="1">
        <v>463</v>
      </c>
      <c r="G78" s="1">
        <v>67</v>
      </c>
      <c r="H78" s="5">
        <v>20</v>
      </c>
      <c r="I78">
        <v>21</v>
      </c>
      <c r="J78">
        <v>61</v>
      </c>
      <c r="K78">
        <v>9</v>
      </c>
      <c r="L78">
        <v>225</v>
      </c>
      <c r="M78">
        <v>155</v>
      </c>
      <c r="N78">
        <v>470</v>
      </c>
      <c r="O78">
        <v>253</v>
      </c>
      <c r="P78">
        <v>20</v>
      </c>
      <c r="Q78">
        <v>23</v>
      </c>
      <c r="R78">
        <v>64</v>
      </c>
      <c r="S78">
        <v>9</v>
      </c>
      <c r="V78" s="11">
        <f t="shared" si="5"/>
        <v>3.1736788469937403</v>
      </c>
      <c r="W78" s="11">
        <f t="shared" si="5"/>
        <v>2.1982821371378658</v>
      </c>
      <c r="X78" s="11">
        <f t="shared" si="5"/>
        <v>6.7404280098995493</v>
      </c>
      <c r="Y78" s="11">
        <f t="shared" si="5"/>
        <v>0.97539670985587412</v>
      </c>
      <c r="Z78" s="11">
        <f t="shared" si="5"/>
        <v>0.29116319697190274</v>
      </c>
      <c r="AA78" s="11">
        <f t="shared" si="5"/>
        <v>0.30572135682049789</v>
      </c>
      <c r="AB78" s="11">
        <f t="shared" si="5"/>
        <v>0.88804775076430342</v>
      </c>
      <c r="AC78" s="11">
        <f t="shared" si="5"/>
        <v>0.13102343863735624</v>
      </c>
      <c r="AD78" s="11">
        <f t="shared" si="5"/>
        <v>3.2755859659339062</v>
      </c>
      <c r="AE78" s="11">
        <f t="shared" si="5"/>
        <v>2.2565147765322462</v>
      </c>
      <c r="AF78" s="11">
        <f t="shared" si="5"/>
        <v>6.8423351288397143</v>
      </c>
      <c r="AG78" s="11">
        <f t="shared" si="5"/>
        <v>3.6832144416945698</v>
      </c>
      <c r="AH78" s="11">
        <f t="shared" si="5"/>
        <v>0.29116319697190274</v>
      </c>
      <c r="AI78" s="11">
        <f t="shared" si="5"/>
        <v>0.33483767651768814</v>
      </c>
      <c r="AJ78" s="11">
        <f t="shared" si="5"/>
        <v>0.93172223031008883</v>
      </c>
      <c r="AK78" s="11">
        <f t="shared" si="1"/>
        <v>0.13102343863735624</v>
      </c>
    </row>
    <row r="79" spans="1:37" x14ac:dyDescent="0.25">
      <c r="A79" s="17"/>
      <c r="B79" t="s">
        <v>53</v>
      </c>
      <c r="C79" s="1">
        <v>7027</v>
      </c>
      <c r="D79" s="1">
        <v>288</v>
      </c>
      <c r="E79">
        <v>139</v>
      </c>
      <c r="F79" s="1">
        <v>337</v>
      </c>
      <c r="G79" s="1">
        <v>82</v>
      </c>
      <c r="H79" s="5">
        <v>71</v>
      </c>
      <c r="I79">
        <v>48</v>
      </c>
      <c r="J79">
        <v>133</v>
      </c>
      <c r="K79">
        <v>35</v>
      </c>
      <c r="L79">
        <v>295</v>
      </c>
      <c r="M79">
        <v>141</v>
      </c>
      <c r="N79">
        <v>341</v>
      </c>
      <c r="O79">
        <v>328</v>
      </c>
      <c r="P79">
        <v>84</v>
      </c>
      <c r="Q79">
        <v>57</v>
      </c>
      <c r="R79">
        <v>168</v>
      </c>
      <c r="S79">
        <v>41</v>
      </c>
      <c r="V79" s="11">
        <f t="shared" si="5"/>
        <v>4.0984773018357759</v>
      </c>
      <c r="W79" s="11">
        <f t="shared" si="5"/>
        <v>1.9780845310943505</v>
      </c>
      <c r="X79" s="11">
        <f t="shared" si="5"/>
        <v>4.7957876761064462</v>
      </c>
      <c r="Y79" s="11">
        <f t="shared" si="5"/>
        <v>1.1669275651060196</v>
      </c>
      <c r="Z79" s="11">
        <f t="shared" si="5"/>
        <v>1.0103885014942364</v>
      </c>
      <c r="AA79" s="11">
        <f t="shared" si="5"/>
        <v>0.68307955030596279</v>
      </c>
      <c r="AB79" s="11">
        <f t="shared" si="5"/>
        <v>1.892699587306105</v>
      </c>
      <c r="AC79" s="11">
        <f t="shared" si="5"/>
        <v>0.4980788387647645</v>
      </c>
      <c r="AD79" s="11">
        <f t="shared" si="5"/>
        <v>4.1980930695887295</v>
      </c>
      <c r="AE79" s="11">
        <f t="shared" si="5"/>
        <v>2.0065461790237658</v>
      </c>
      <c r="AF79" s="11">
        <f t="shared" si="5"/>
        <v>4.8527109719652763</v>
      </c>
      <c r="AG79" s="11">
        <f t="shared" si="5"/>
        <v>4.6677102604240783</v>
      </c>
      <c r="AH79" s="11">
        <f t="shared" si="5"/>
        <v>1.1953892130354349</v>
      </c>
      <c r="AI79" s="11">
        <f t="shared" si="5"/>
        <v>0.81115696598833065</v>
      </c>
      <c r="AJ79" s="11">
        <f t="shared" si="5"/>
        <v>2.3907784260708698</v>
      </c>
      <c r="AK79" s="11">
        <f t="shared" si="1"/>
        <v>0.58346378255300979</v>
      </c>
    </row>
    <row r="80" spans="1:37" x14ac:dyDescent="0.25">
      <c r="A80" s="17"/>
      <c r="B80" t="s">
        <v>54</v>
      </c>
      <c r="C80" s="1">
        <v>7091</v>
      </c>
      <c r="D80" s="1">
        <v>242</v>
      </c>
      <c r="E80">
        <v>230</v>
      </c>
      <c r="F80" s="1">
        <v>562</v>
      </c>
      <c r="G80" s="1">
        <v>131</v>
      </c>
      <c r="H80" s="5">
        <v>62</v>
      </c>
      <c r="I80">
        <v>60</v>
      </c>
      <c r="J80">
        <v>164</v>
      </c>
      <c r="K80">
        <v>38</v>
      </c>
      <c r="L80">
        <v>250</v>
      </c>
      <c r="M80">
        <v>233</v>
      </c>
      <c r="N80">
        <v>574</v>
      </c>
      <c r="O80">
        <v>288</v>
      </c>
      <c r="P80">
        <v>69</v>
      </c>
      <c r="Q80">
        <v>70</v>
      </c>
      <c r="R80">
        <v>194</v>
      </c>
      <c r="S80">
        <v>42</v>
      </c>
      <c r="V80" s="11">
        <f t="shared" si="5"/>
        <v>3.4127767592723171</v>
      </c>
      <c r="W80" s="11">
        <f t="shared" si="5"/>
        <v>3.2435481596389786</v>
      </c>
      <c r="X80" s="11">
        <f t="shared" si="5"/>
        <v>7.9255394161613317</v>
      </c>
      <c r="Y80" s="11">
        <f t="shared" si="5"/>
        <v>1.8474122126639403</v>
      </c>
      <c r="Z80" s="11">
        <f t="shared" si="5"/>
        <v>0.87434776477224652</v>
      </c>
      <c r="AA80" s="11">
        <f t="shared" si="5"/>
        <v>0.84614299816669014</v>
      </c>
      <c r="AB80" s="11">
        <f t="shared" si="5"/>
        <v>2.3127908616556199</v>
      </c>
      <c r="AC80" s="11">
        <f t="shared" si="5"/>
        <v>0.53589056550557046</v>
      </c>
      <c r="AD80" s="11">
        <f t="shared" si="5"/>
        <v>3.5255958256945426</v>
      </c>
      <c r="AE80" s="11">
        <f t="shared" si="5"/>
        <v>3.2858553095473133</v>
      </c>
      <c r="AF80" s="11">
        <f t="shared" si="5"/>
        <v>8.0947680157946689</v>
      </c>
      <c r="AG80" s="11">
        <f t="shared" si="5"/>
        <v>4.0614863912001127</v>
      </c>
      <c r="AH80" s="11">
        <f t="shared" si="5"/>
        <v>0.97306444789169377</v>
      </c>
      <c r="AI80" s="11">
        <f t="shared" si="5"/>
        <v>0.98716683119447179</v>
      </c>
      <c r="AJ80" s="11">
        <f t="shared" si="5"/>
        <v>2.7358623607389649</v>
      </c>
      <c r="AK80" s="11">
        <f t="shared" si="1"/>
        <v>0.5923000987166831</v>
      </c>
    </row>
    <row r="81" spans="1:37" x14ac:dyDescent="0.25">
      <c r="A81" s="17"/>
      <c r="B81" t="s">
        <v>55</v>
      </c>
      <c r="C81" s="1">
        <v>5852</v>
      </c>
      <c r="D81" s="1">
        <v>205</v>
      </c>
      <c r="E81">
        <v>240</v>
      </c>
      <c r="F81" s="1">
        <v>361</v>
      </c>
      <c r="G81" s="1">
        <v>76</v>
      </c>
      <c r="H81" s="5">
        <v>43</v>
      </c>
      <c r="I81">
        <v>33</v>
      </c>
      <c r="J81">
        <v>93</v>
      </c>
      <c r="K81">
        <v>15</v>
      </c>
      <c r="L81">
        <v>208</v>
      </c>
      <c r="M81">
        <v>244</v>
      </c>
      <c r="N81">
        <v>372</v>
      </c>
      <c r="O81">
        <v>240</v>
      </c>
      <c r="P81">
        <v>52</v>
      </c>
      <c r="Q81">
        <v>38</v>
      </c>
      <c r="R81">
        <v>114</v>
      </c>
      <c r="S81">
        <v>18</v>
      </c>
      <c r="V81" s="11">
        <f t="shared" si="5"/>
        <v>3.5030758714969239</v>
      </c>
      <c r="W81" s="11">
        <f t="shared" si="5"/>
        <v>4.1011619958988383</v>
      </c>
      <c r="X81" s="11">
        <f t="shared" si="5"/>
        <v>6.1688311688311686</v>
      </c>
      <c r="Y81" s="11">
        <f t="shared" si="5"/>
        <v>1.2987012987012987</v>
      </c>
      <c r="Z81" s="11">
        <f t="shared" si="5"/>
        <v>0.73479152426520855</v>
      </c>
      <c r="AA81" s="11">
        <f t="shared" si="5"/>
        <v>0.56390977443609014</v>
      </c>
      <c r="AB81" s="11">
        <f t="shared" si="5"/>
        <v>1.5892002734107999</v>
      </c>
      <c r="AC81" s="11">
        <f t="shared" si="5"/>
        <v>0.2563226247436774</v>
      </c>
      <c r="AD81" s="11">
        <f t="shared" si="5"/>
        <v>3.5543403964456601</v>
      </c>
      <c r="AE81" s="11">
        <f t="shared" si="5"/>
        <v>4.1695146958304852</v>
      </c>
      <c r="AF81" s="11">
        <f t="shared" si="5"/>
        <v>6.3568010936431998</v>
      </c>
      <c r="AG81" s="11">
        <f t="shared" si="5"/>
        <v>4.1011619958988383</v>
      </c>
      <c r="AH81" s="11">
        <f t="shared" si="5"/>
        <v>0.88858509911141503</v>
      </c>
      <c r="AI81" s="11">
        <f t="shared" si="5"/>
        <v>0.64935064935064934</v>
      </c>
      <c r="AJ81" s="11">
        <f t="shared" si="5"/>
        <v>1.948051948051948</v>
      </c>
      <c r="AK81" s="11">
        <f t="shared" si="1"/>
        <v>0.30758714969241285</v>
      </c>
    </row>
    <row r="82" spans="1:37" x14ac:dyDescent="0.25">
      <c r="A82" s="17"/>
      <c r="B82" t="s">
        <v>56</v>
      </c>
      <c r="C82" s="1">
        <v>5974</v>
      </c>
      <c r="D82" s="1">
        <v>191</v>
      </c>
      <c r="E82">
        <v>169</v>
      </c>
      <c r="F82" s="1">
        <v>458</v>
      </c>
      <c r="G82" s="1">
        <v>68</v>
      </c>
      <c r="H82" s="5">
        <v>36</v>
      </c>
      <c r="I82">
        <v>15</v>
      </c>
      <c r="J82">
        <v>81</v>
      </c>
      <c r="K82">
        <v>9</v>
      </c>
      <c r="L82">
        <v>195</v>
      </c>
      <c r="M82">
        <v>173</v>
      </c>
      <c r="N82">
        <v>463</v>
      </c>
      <c r="O82">
        <v>220</v>
      </c>
      <c r="P82">
        <v>42</v>
      </c>
      <c r="Q82">
        <v>16</v>
      </c>
      <c r="R82">
        <v>95</v>
      </c>
      <c r="S82">
        <v>9</v>
      </c>
      <c r="V82" s="11">
        <f t="shared" si="5"/>
        <v>3.1971878138600607</v>
      </c>
      <c r="W82" s="11">
        <f t="shared" si="5"/>
        <v>2.8289253431536658</v>
      </c>
      <c r="X82" s="11">
        <f t="shared" si="5"/>
        <v>7.666555071978574</v>
      </c>
      <c r="Y82" s="11">
        <f t="shared" si="5"/>
        <v>1.1382658185470371</v>
      </c>
      <c r="Z82" s="11">
        <f t="shared" si="5"/>
        <v>0.60261131570137261</v>
      </c>
      <c r="AA82" s="11">
        <f t="shared" si="5"/>
        <v>0.25108804820890529</v>
      </c>
      <c r="AB82" s="11">
        <f t="shared" si="5"/>
        <v>1.3558754603280885</v>
      </c>
      <c r="AC82" s="11">
        <f t="shared" si="5"/>
        <v>0.15065282892534315</v>
      </c>
      <c r="AD82" s="11">
        <f t="shared" si="5"/>
        <v>3.2641446267157681</v>
      </c>
      <c r="AE82" s="11">
        <f t="shared" si="5"/>
        <v>2.8958821560093737</v>
      </c>
      <c r="AF82" s="11">
        <f t="shared" si="5"/>
        <v>7.7502510880482083</v>
      </c>
      <c r="AG82" s="11">
        <f t="shared" si="5"/>
        <v>3.682624707063944</v>
      </c>
      <c r="AH82" s="11">
        <f t="shared" si="5"/>
        <v>0.70304653498493475</v>
      </c>
      <c r="AI82" s="11">
        <f t="shared" si="5"/>
        <v>0.26782725142283231</v>
      </c>
      <c r="AJ82" s="11">
        <f t="shared" si="5"/>
        <v>1.5902243053230667</v>
      </c>
      <c r="AK82" s="11">
        <f t="shared" si="5"/>
        <v>0.15065282892534315</v>
      </c>
    </row>
    <row r="83" spans="1:37" x14ac:dyDescent="0.25">
      <c r="A83" s="17"/>
      <c r="B83" t="s">
        <v>57</v>
      </c>
      <c r="C83" s="1">
        <v>7674</v>
      </c>
      <c r="D83" s="1">
        <v>208</v>
      </c>
      <c r="E83">
        <v>227</v>
      </c>
      <c r="F83" s="1">
        <v>462</v>
      </c>
      <c r="G83" s="1">
        <v>84</v>
      </c>
      <c r="H83" s="5">
        <v>40</v>
      </c>
      <c r="I83">
        <v>38</v>
      </c>
      <c r="J83">
        <v>103</v>
      </c>
      <c r="K83">
        <v>13</v>
      </c>
      <c r="L83">
        <v>213</v>
      </c>
      <c r="M83">
        <v>232</v>
      </c>
      <c r="N83">
        <v>468</v>
      </c>
      <c r="O83">
        <v>250</v>
      </c>
      <c r="P83">
        <v>46</v>
      </c>
      <c r="Q83">
        <v>44</v>
      </c>
      <c r="R83">
        <v>128</v>
      </c>
      <c r="S83">
        <v>16</v>
      </c>
      <c r="V83" s="11">
        <f t="shared" si="5"/>
        <v>2.7104508730779258</v>
      </c>
      <c r="W83" s="11">
        <f t="shared" si="5"/>
        <v>2.9580401355225434</v>
      </c>
      <c r="X83" s="11">
        <f t="shared" si="5"/>
        <v>6.0203283815480848</v>
      </c>
      <c r="Y83" s="11">
        <f t="shared" si="5"/>
        <v>1.0946051602814699</v>
      </c>
      <c r="Z83" s="11">
        <f t="shared" si="5"/>
        <v>0.52124055251498569</v>
      </c>
      <c r="AA83" s="11">
        <f t="shared" si="5"/>
        <v>0.49517852488923636</v>
      </c>
      <c r="AB83" s="11">
        <f t="shared" si="5"/>
        <v>1.342194422726088</v>
      </c>
      <c r="AC83" s="11">
        <f t="shared" si="5"/>
        <v>0.16940317956737036</v>
      </c>
      <c r="AD83" s="11">
        <f t="shared" si="5"/>
        <v>2.7756059421422985</v>
      </c>
      <c r="AE83" s="11">
        <f t="shared" si="5"/>
        <v>3.023195204586917</v>
      </c>
      <c r="AF83" s="11">
        <f t="shared" si="5"/>
        <v>6.0985144644253326</v>
      </c>
      <c r="AG83" s="11">
        <f t="shared" si="5"/>
        <v>3.2577534532186605</v>
      </c>
      <c r="AH83" s="11">
        <f t="shared" si="5"/>
        <v>0.59942663539223351</v>
      </c>
      <c r="AI83" s="11">
        <f t="shared" si="5"/>
        <v>0.57336460776648424</v>
      </c>
      <c r="AJ83" s="11">
        <f t="shared" si="5"/>
        <v>1.6679697680479542</v>
      </c>
      <c r="AK83" s="11">
        <f t="shared" si="5"/>
        <v>0.20849622100599427</v>
      </c>
    </row>
    <row r="84" spans="1:37" x14ac:dyDescent="0.25">
      <c r="A84" s="17"/>
      <c r="B84" t="s">
        <v>58</v>
      </c>
      <c r="C84" s="1">
        <v>7324</v>
      </c>
      <c r="D84" s="1">
        <v>261</v>
      </c>
      <c r="E84">
        <v>230</v>
      </c>
      <c r="F84" s="1">
        <v>868</v>
      </c>
      <c r="G84" s="1">
        <v>167</v>
      </c>
      <c r="H84" s="5">
        <v>26</v>
      </c>
      <c r="I84">
        <v>27</v>
      </c>
      <c r="J84">
        <v>180</v>
      </c>
      <c r="K84">
        <v>20</v>
      </c>
      <c r="L84">
        <v>268</v>
      </c>
      <c r="M84">
        <v>238</v>
      </c>
      <c r="N84">
        <v>885</v>
      </c>
      <c r="O84">
        <v>346</v>
      </c>
      <c r="P84">
        <v>28</v>
      </c>
      <c r="Q84">
        <v>29</v>
      </c>
      <c r="R84">
        <v>215</v>
      </c>
      <c r="S84">
        <v>22</v>
      </c>
      <c r="V84" s="11">
        <f t="shared" si="5"/>
        <v>3.5636264336428183</v>
      </c>
      <c r="W84" s="11">
        <f t="shared" si="5"/>
        <v>3.1403604587657017</v>
      </c>
      <c r="X84" s="11">
        <f t="shared" si="5"/>
        <v>11.851447296559257</v>
      </c>
      <c r="Y84" s="11">
        <f t="shared" si="5"/>
        <v>2.2801747678864008</v>
      </c>
      <c r="Z84" s="11">
        <f t="shared" si="5"/>
        <v>0.35499726925177499</v>
      </c>
      <c r="AA84" s="11">
        <f t="shared" si="5"/>
        <v>0.36865101037684328</v>
      </c>
      <c r="AB84" s="11">
        <f t="shared" si="5"/>
        <v>2.4576734025122882</v>
      </c>
      <c r="AC84" s="11">
        <f t="shared" si="5"/>
        <v>0.27307482250136539</v>
      </c>
      <c r="AD84" s="11">
        <f t="shared" si="5"/>
        <v>3.659202621518296</v>
      </c>
      <c r="AE84" s="11">
        <f t="shared" si="5"/>
        <v>3.2495903877662475</v>
      </c>
      <c r="AF84" s="11">
        <f t="shared" si="5"/>
        <v>12.083560895685418</v>
      </c>
      <c r="AG84" s="11">
        <f t="shared" si="5"/>
        <v>4.7241944292736209</v>
      </c>
      <c r="AH84" s="11">
        <f t="shared" si="5"/>
        <v>0.38230475150191157</v>
      </c>
      <c r="AI84" s="11">
        <f t="shared" si="5"/>
        <v>0.3959584926269798</v>
      </c>
      <c r="AJ84" s="11">
        <f t="shared" si="5"/>
        <v>2.9355543418896777</v>
      </c>
      <c r="AK84" s="11">
        <f t="shared" si="5"/>
        <v>0.30038230475150191</v>
      </c>
    </row>
    <row r="85" spans="1:37" x14ac:dyDescent="0.25">
      <c r="A85" s="17"/>
      <c r="B85" t="s">
        <v>59</v>
      </c>
      <c r="C85" s="1">
        <v>6925</v>
      </c>
      <c r="D85" s="1">
        <v>289</v>
      </c>
      <c r="E85">
        <v>221</v>
      </c>
      <c r="F85" s="1">
        <v>619</v>
      </c>
      <c r="G85" s="1">
        <v>125</v>
      </c>
      <c r="H85" s="5">
        <v>67</v>
      </c>
      <c r="I85">
        <v>48</v>
      </c>
      <c r="J85">
        <v>206</v>
      </c>
      <c r="K85">
        <v>29</v>
      </c>
      <c r="L85">
        <v>304</v>
      </c>
      <c r="M85">
        <v>228</v>
      </c>
      <c r="N85">
        <v>631</v>
      </c>
      <c r="O85">
        <v>360</v>
      </c>
      <c r="P85">
        <v>83</v>
      </c>
      <c r="Q85">
        <v>60</v>
      </c>
      <c r="R85">
        <v>278</v>
      </c>
      <c r="S85">
        <v>37</v>
      </c>
      <c r="V85" s="11">
        <f t="shared" si="5"/>
        <v>4.1732851985559565</v>
      </c>
      <c r="W85" s="11">
        <f t="shared" si="5"/>
        <v>3.1913357400722022</v>
      </c>
      <c r="X85" s="11">
        <f t="shared" si="5"/>
        <v>8.9386281588447645</v>
      </c>
      <c r="Y85" s="11">
        <f t="shared" si="5"/>
        <v>1.8050541516245486</v>
      </c>
      <c r="Z85" s="11">
        <f t="shared" si="5"/>
        <v>0.96750902527075811</v>
      </c>
      <c r="AA85" s="11">
        <f t="shared" si="5"/>
        <v>0.69314079422382668</v>
      </c>
      <c r="AB85" s="11">
        <f t="shared" si="5"/>
        <v>2.9747292418772564</v>
      </c>
      <c r="AC85" s="11">
        <f t="shared" si="5"/>
        <v>0.41877256317689526</v>
      </c>
      <c r="AD85" s="11">
        <f t="shared" si="5"/>
        <v>4.3898916967509027</v>
      </c>
      <c r="AE85" s="11">
        <f t="shared" si="5"/>
        <v>3.2924187725631771</v>
      </c>
      <c r="AF85" s="11">
        <f t="shared" si="5"/>
        <v>9.1119133574007218</v>
      </c>
      <c r="AG85" s="11">
        <f t="shared" si="5"/>
        <v>5.1985559566787005</v>
      </c>
      <c r="AH85" s="11">
        <f t="shared" si="5"/>
        <v>1.1985559566787005</v>
      </c>
      <c r="AI85" s="11">
        <f t="shared" si="5"/>
        <v>0.86642599277978338</v>
      </c>
      <c r="AJ85" s="11">
        <f t="shared" si="5"/>
        <v>4.0144404332129966</v>
      </c>
      <c r="AK85" s="11">
        <f t="shared" si="5"/>
        <v>0.53429602888086647</v>
      </c>
    </row>
    <row r="87" spans="1:37" x14ac:dyDescent="0.25">
      <c r="B87" s="2" t="s">
        <v>2</v>
      </c>
      <c r="C87" s="3">
        <f>AVERAGE(C3:C11)*100</f>
        <v>465277.77777777775</v>
      </c>
      <c r="D87" s="3">
        <f t="shared" ref="D87" si="6">AVERAGE(D3:D11)*100</f>
        <v>23877.777777777777</v>
      </c>
      <c r="E87" s="4"/>
      <c r="F87" s="3">
        <f>AVERAGE(F3:F11)*100</f>
        <v>35488.888888888891</v>
      </c>
      <c r="G87" s="3">
        <f t="shared" ref="G87" si="7">AVERAGE(G3:G11)*100</f>
        <v>10166.666666666668</v>
      </c>
      <c r="H87" s="3"/>
      <c r="I87" s="4"/>
      <c r="V87" s="3">
        <f t="shared" ref="V87:AC87" si="8">AVERAGE(V3:V11)</f>
        <v>5.1779986334985253</v>
      </c>
      <c r="W87" s="3">
        <f t="shared" si="8"/>
        <v>3.8648080454508014</v>
      </c>
      <c r="X87" s="3">
        <f t="shared" si="8"/>
        <v>7.5180560565699848</v>
      </c>
      <c r="Y87" s="3">
        <f t="shared" si="8"/>
        <v>2.1406058969610524</v>
      </c>
      <c r="Z87" s="3">
        <f t="shared" si="8"/>
        <v>0.7482399841458256</v>
      </c>
      <c r="AA87" s="3">
        <f t="shared" si="8"/>
        <v>0.60838897625383026</v>
      </c>
      <c r="AB87" s="3">
        <f t="shared" si="8"/>
        <v>1.3368211733307613</v>
      </c>
      <c r="AC87" s="3">
        <f t="shared" si="8"/>
        <v>0.34756822269403048</v>
      </c>
      <c r="AD87" s="3">
        <f t="shared" ref="AD87:AK87" si="9">AVERAGE(AD3:AD11)</f>
        <v>5.2943407337881254</v>
      </c>
      <c r="AE87" s="3">
        <f t="shared" si="9"/>
        <v>3.9610920073862226</v>
      </c>
      <c r="AF87" s="3">
        <f t="shared" si="9"/>
        <v>7.6858569819314351</v>
      </c>
      <c r="AG87" s="3">
        <f t="shared" si="9"/>
        <v>6.26867079784172</v>
      </c>
      <c r="AH87" s="3">
        <f t="shared" si="9"/>
        <v>0.83431107320824005</v>
      </c>
      <c r="AI87" s="3">
        <f t="shared" si="9"/>
        <v>0.68779003944689576</v>
      </c>
      <c r="AJ87" s="3">
        <f t="shared" si="9"/>
        <v>1.5320933242710071</v>
      </c>
      <c r="AK87" s="3">
        <f t="shared" si="9"/>
        <v>0.39081338888557221</v>
      </c>
    </row>
    <row r="88" spans="1:37" x14ac:dyDescent="0.25">
      <c r="B88" s="2" t="s">
        <v>3</v>
      </c>
      <c r="C88" s="3">
        <f>AVERAGE(C12:C20)*100</f>
        <v>618333.33333333326</v>
      </c>
      <c r="D88" s="3">
        <f t="shared" ref="D88" si="10">AVERAGE(D12:D20)*100</f>
        <v>31411.111111111109</v>
      </c>
      <c r="E88" s="4"/>
      <c r="F88" s="3">
        <f>AVERAGE(F12:F20)*100</f>
        <v>54855.555555555555</v>
      </c>
      <c r="G88" s="3">
        <f t="shared" ref="G88" si="11">AVERAGE(G12:G20)*100</f>
        <v>13533.333333333334</v>
      </c>
      <c r="H88" s="3"/>
      <c r="I88" s="4"/>
      <c r="J88" s="2"/>
      <c r="K88" s="5"/>
      <c r="L88" s="5"/>
      <c r="V88" s="3">
        <f t="shared" ref="V88:AC88" si="12">AVERAGE(V12:V20)</f>
        <v>5.145980353568846</v>
      </c>
      <c r="W88" s="3">
        <f t="shared" si="12"/>
        <v>3.7996941419968047</v>
      </c>
      <c r="X88" s="3">
        <f t="shared" si="12"/>
        <v>8.9831966713040643</v>
      </c>
      <c r="Y88" s="3">
        <f t="shared" si="12"/>
        <v>2.2547981672723738</v>
      </c>
      <c r="Z88" s="3">
        <f t="shared" si="12"/>
        <v>0.64529755602427497</v>
      </c>
      <c r="AA88" s="3">
        <f t="shared" si="12"/>
        <v>0.39773699759497066</v>
      </c>
      <c r="AB88" s="3">
        <f t="shared" si="12"/>
        <v>1.3110714573645148</v>
      </c>
      <c r="AC88" s="3">
        <f t="shared" si="12"/>
        <v>0.27914763552430943</v>
      </c>
      <c r="AD88" s="3">
        <f t="shared" ref="AD88:AK88" si="13">AVERAGE(AD12:AD20)</f>
        <v>5.2747503512266007</v>
      </c>
      <c r="AE88" s="3">
        <f t="shared" si="13"/>
        <v>3.9164080258132525</v>
      </c>
      <c r="AF88" s="3">
        <f t="shared" si="13"/>
        <v>9.1653759196544389</v>
      </c>
      <c r="AG88" s="3">
        <f t="shared" si="13"/>
        <v>6.1822133656363842</v>
      </c>
      <c r="AH88" s="3">
        <f t="shared" si="13"/>
        <v>0.74638664460907067</v>
      </c>
      <c r="AI88" s="3">
        <f t="shared" si="13"/>
        <v>0.44274822416958076</v>
      </c>
      <c r="AJ88" s="3">
        <f t="shared" si="13"/>
        <v>1.5303417921524327</v>
      </c>
      <c r="AK88" s="3">
        <f t="shared" si="13"/>
        <v>0.31631935522103544</v>
      </c>
    </row>
    <row r="89" spans="1:37" x14ac:dyDescent="0.25">
      <c r="B89" s="2" t="s">
        <v>8</v>
      </c>
      <c r="C89" s="3">
        <f>AVERAGE(C21:C29)*100</f>
        <v>618333.33333333326</v>
      </c>
      <c r="D89" s="3">
        <f t="shared" ref="D89" si="14">AVERAGE(D21:D29)*100</f>
        <v>31411.111111111109</v>
      </c>
      <c r="E89" s="4"/>
      <c r="F89" s="3">
        <f>AVERAGE(F21:F29)*100</f>
        <v>54855.555555555555</v>
      </c>
      <c r="G89" s="3">
        <f t="shared" ref="G89" si="15">AVERAGE(G21:G29)*100</f>
        <v>13533.333333333334</v>
      </c>
      <c r="H89" s="3"/>
      <c r="I89" s="4"/>
      <c r="J89" s="2"/>
      <c r="K89" s="5"/>
      <c r="L89" s="5"/>
      <c r="V89" s="3">
        <f t="shared" ref="V89:AC89" si="16">AVERAGE(V21:V29)</f>
        <v>5.145980353568846</v>
      </c>
      <c r="W89" s="3">
        <f t="shared" si="16"/>
        <v>3.7996941419968047</v>
      </c>
      <c r="X89" s="3">
        <f t="shared" si="16"/>
        <v>8.9831966713040643</v>
      </c>
      <c r="Y89" s="3">
        <f t="shared" si="16"/>
        <v>2.2547981672723738</v>
      </c>
      <c r="Z89" s="3">
        <f t="shared" si="16"/>
        <v>0.64529755602427497</v>
      </c>
      <c r="AA89" s="3">
        <f t="shared" si="16"/>
        <v>0.39773699759497066</v>
      </c>
      <c r="AB89" s="3">
        <f t="shared" si="16"/>
        <v>1.3110714573645148</v>
      </c>
      <c r="AC89" s="3">
        <f t="shared" si="16"/>
        <v>0.27914763552430943</v>
      </c>
      <c r="AD89" s="3">
        <f t="shared" ref="AD89:AK89" si="17">AVERAGE(AD21:AD29)</f>
        <v>5.2747503512266007</v>
      </c>
      <c r="AE89" s="3">
        <f t="shared" si="17"/>
        <v>3.9164080258132525</v>
      </c>
      <c r="AF89" s="3">
        <f t="shared" si="17"/>
        <v>9.1653759196544389</v>
      </c>
      <c r="AG89" s="3">
        <f t="shared" si="17"/>
        <v>6.1822133656363842</v>
      </c>
      <c r="AH89" s="3">
        <f t="shared" si="17"/>
        <v>0.74638664460907067</v>
      </c>
      <c r="AI89" s="3">
        <f t="shared" si="17"/>
        <v>0.44274822416958076</v>
      </c>
      <c r="AJ89" s="3">
        <f t="shared" si="17"/>
        <v>1.5303417921524327</v>
      </c>
      <c r="AK89" s="3">
        <f t="shared" si="17"/>
        <v>0.31631935522103544</v>
      </c>
    </row>
    <row r="90" spans="1:37" x14ac:dyDescent="0.25">
      <c r="B90" s="2" t="s">
        <v>0</v>
      </c>
      <c r="C90" s="3">
        <f>AVERAGE(C30:C40)*100</f>
        <v>579745.45454545447</v>
      </c>
      <c r="D90" s="3">
        <f t="shared" ref="D90" si="18">AVERAGE(D30:D40)*100</f>
        <v>23927.272727272728</v>
      </c>
      <c r="E90" s="4"/>
      <c r="F90" s="3">
        <f>AVERAGE(F30:F40)*100</f>
        <v>43081.818181818184</v>
      </c>
      <c r="G90" s="3">
        <f t="shared" ref="G90" si="19">AVERAGE(G30:G40)*100</f>
        <v>10227.272727272726</v>
      </c>
      <c r="H90" s="3"/>
      <c r="I90" s="4"/>
      <c r="J90" s="4"/>
      <c r="K90" s="4"/>
      <c r="V90" s="3">
        <f t="shared" ref="V90:AC90" si="20">AVERAGE(V30:V40)</f>
        <v>4.1388402774333617</v>
      </c>
      <c r="W90" s="3">
        <f t="shared" si="20"/>
        <v>3.4288770546657648</v>
      </c>
      <c r="X90" s="3">
        <f t="shared" si="20"/>
        <v>7.1984865674365288</v>
      </c>
      <c r="Y90" s="3">
        <f t="shared" si="20"/>
        <v>1.6884915864108512</v>
      </c>
      <c r="Z90" s="3">
        <f t="shared" si="20"/>
        <v>0.46677578858084767</v>
      </c>
      <c r="AA90" s="3">
        <f t="shared" si="20"/>
        <v>0.43997262240034479</v>
      </c>
      <c r="AB90" s="3">
        <f t="shared" si="20"/>
        <v>1.3773098484140087</v>
      </c>
      <c r="AC90" s="3">
        <f t="shared" si="20"/>
        <v>0.20253846350531549</v>
      </c>
      <c r="AD90" s="3">
        <f t="shared" ref="AD90:AK90" si="21">AVERAGE(AD30:AD40)</f>
        <v>4.2695855865661381</v>
      </c>
      <c r="AE90" s="3">
        <f t="shared" si="21"/>
        <v>3.534549458539368</v>
      </c>
      <c r="AF90" s="3">
        <f t="shared" si="21"/>
        <v>7.3528557568700652</v>
      </c>
      <c r="AG90" s="3">
        <f t="shared" si="21"/>
        <v>4.9025631442850175</v>
      </c>
      <c r="AH90" s="3">
        <f t="shared" si="21"/>
        <v>0.52813591797461024</v>
      </c>
      <c r="AI90" s="3">
        <f t="shared" si="21"/>
        <v>0.51018554850481612</v>
      </c>
      <c r="AJ90" s="3">
        <f t="shared" si="21"/>
        <v>1.6238105941642453</v>
      </c>
      <c r="AK90" s="3">
        <f t="shared" si="21"/>
        <v>0.23915180184983464</v>
      </c>
    </row>
    <row r="91" spans="1:37" x14ac:dyDescent="0.25">
      <c r="B91" s="2" t="s">
        <v>1</v>
      </c>
      <c r="C91" s="3">
        <f>AVERAGE(C41:C51)*100</f>
        <v>579745.45454545447</v>
      </c>
      <c r="D91" s="3">
        <f t="shared" ref="D91" si="22">AVERAGE(D41:D51)*100</f>
        <v>23927.272727272728</v>
      </c>
      <c r="E91" s="4"/>
      <c r="F91" s="3">
        <f>AVERAGE(F41:F51)*100</f>
        <v>43081.818181818184</v>
      </c>
      <c r="G91" s="3">
        <f t="shared" ref="G91" si="23">AVERAGE(G41:G51)*100</f>
        <v>10227.272727272726</v>
      </c>
      <c r="H91" s="3"/>
      <c r="I91" s="4"/>
      <c r="J91" s="4"/>
      <c r="K91" s="4"/>
      <c r="V91" s="3">
        <f t="shared" ref="V91:AC91" si="24">AVERAGE(V41:V51)</f>
        <v>4.1388402774333617</v>
      </c>
      <c r="W91" s="3">
        <f t="shared" si="24"/>
        <v>3.4288770546657648</v>
      </c>
      <c r="X91" s="3">
        <f t="shared" si="24"/>
        <v>7.1984865674365288</v>
      </c>
      <c r="Y91" s="3">
        <f t="shared" si="24"/>
        <v>1.6884915864108512</v>
      </c>
      <c r="Z91" s="3">
        <f t="shared" si="24"/>
        <v>0.46677578858084767</v>
      </c>
      <c r="AA91" s="3">
        <f t="shared" si="24"/>
        <v>0.43997262240034479</v>
      </c>
      <c r="AB91" s="3">
        <f t="shared" si="24"/>
        <v>1.3773098484140087</v>
      </c>
      <c r="AC91" s="3">
        <f t="shared" si="24"/>
        <v>0.20253846350531549</v>
      </c>
      <c r="AD91" s="3">
        <f t="shared" ref="AD91:AK91" si="25">AVERAGE(AD41:AD51)</f>
        <v>4.2695855865661381</v>
      </c>
      <c r="AE91" s="3">
        <f t="shared" si="25"/>
        <v>3.534549458539368</v>
      </c>
      <c r="AF91" s="3">
        <f t="shared" si="25"/>
        <v>7.3528557568700652</v>
      </c>
      <c r="AG91" s="3">
        <f t="shared" si="25"/>
        <v>4.9025631442850175</v>
      </c>
      <c r="AH91" s="3">
        <f t="shared" si="25"/>
        <v>0.52813591797461024</v>
      </c>
      <c r="AI91" s="3">
        <f t="shared" si="25"/>
        <v>0.51018554850481612</v>
      </c>
      <c r="AJ91" s="3">
        <f t="shared" si="25"/>
        <v>1.6238105941642453</v>
      </c>
      <c r="AK91" s="3">
        <f t="shared" si="25"/>
        <v>0.23915180184983464</v>
      </c>
    </row>
    <row r="92" spans="1:37" x14ac:dyDescent="0.25">
      <c r="B92" s="2" t="s">
        <v>4</v>
      </c>
      <c r="C92" s="3">
        <f>AVERAGE(C52:C59)*100</f>
        <v>643900</v>
      </c>
      <c r="D92" s="3">
        <f t="shared" ref="D92" si="26">AVERAGE(D52:D59)*100</f>
        <v>18412.5</v>
      </c>
      <c r="E92" s="4"/>
      <c r="F92" s="3">
        <f>AVERAGE(F52:F59)*100</f>
        <v>43125</v>
      </c>
      <c r="G92" s="3">
        <f t="shared" ref="G92" si="27">AVERAGE(G52:G59)*100</f>
        <v>7425</v>
      </c>
      <c r="H92" s="3"/>
      <c r="I92" s="4"/>
      <c r="J92" s="4"/>
      <c r="K92" s="4"/>
      <c r="V92" s="3">
        <f t="shared" ref="V92:AC92" si="28">AVERAGE(V52:V59)</f>
        <v>2.8874168770424453</v>
      </c>
      <c r="W92" s="3">
        <f t="shared" si="28"/>
        <v>2.7056687602120979</v>
      </c>
      <c r="X92" s="3">
        <f t="shared" si="28"/>
        <v>6.6139685627600988</v>
      </c>
      <c r="Y92" s="3">
        <f t="shared" si="28"/>
        <v>1.1373357407385776</v>
      </c>
      <c r="Z92" s="3">
        <f t="shared" si="28"/>
        <v>0.44127114167902404</v>
      </c>
      <c r="AA92" s="3">
        <f t="shared" si="28"/>
        <v>0.44918538525784313</v>
      </c>
      <c r="AB92" s="3">
        <f t="shared" si="28"/>
        <v>1.5511339900095504</v>
      </c>
      <c r="AC92" s="3">
        <f t="shared" si="28"/>
        <v>0.20252816808596263</v>
      </c>
      <c r="AD92" s="3">
        <f t="shared" ref="AD92:AK92" si="29">AVERAGE(AD52:AD59)</f>
        <v>2.9734792628282647</v>
      </c>
      <c r="AE92" s="3">
        <f t="shared" si="29"/>
        <v>2.7796504579061145</v>
      </c>
      <c r="AF92" s="3">
        <f t="shared" si="29"/>
        <v>6.7267179669627168</v>
      </c>
      <c r="AG92" s="3">
        <f t="shared" si="29"/>
        <v>3.4486924285129925</v>
      </c>
      <c r="AH92" s="3">
        <f t="shared" si="29"/>
        <v>0.49403436279687474</v>
      </c>
      <c r="AI92" s="3">
        <f t="shared" si="29"/>
        <v>0.50224188477122078</v>
      </c>
      <c r="AJ92" s="3">
        <f t="shared" si="29"/>
        <v>1.8526781258075387</v>
      </c>
      <c r="AK92" s="3">
        <f t="shared" si="29"/>
        <v>0.23083816234572785</v>
      </c>
    </row>
    <row r="93" spans="1:37" x14ac:dyDescent="0.25">
      <c r="B93" s="2" t="s">
        <v>5</v>
      </c>
      <c r="C93" s="3">
        <f>AVERAGE(C60:C64)*100</f>
        <v>503520</v>
      </c>
      <c r="D93" s="3">
        <f t="shared" ref="D93" si="30">AVERAGE(D60:D64)*100</f>
        <v>15219.999999999998</v>
      </c>
      <c r="E93" s="4"/>
      <c r="F93" s="3">
        <f>AVERAGE(F60:F64)*100</f>
        <v>28460.000000000004</v>
      </c>
      <c r="G93" s="3">
        <f t="shared" ref="G93" si="31">AVERAGE(G60:G64)*100</f>
        <v>4840</v>
      </c>
      <c r="H93" s="3"/>
      <c r="I93" s="4"/>
      <c r="J93" s="4"/>
      <c r="K93" s="4"/>
      <c r="V93" s="3">
        <f t="shared" ref="V93:AC93" si="32">AVERAGE(V60:V64)</f>
        <v>3.0339204380535554</v>
      </c>
      <c r="W93" s="3">
        <f t="shared" si="32"/>
        <v>2.5613574926317044</v>
      </c>
      <c r="X93" s="3">
        <f t="shared" si="32"/>
        <v>5.4939400952218493</v>
      </c>
      <c r="Y93" s="3">
        <f t="shared" si="32"/>
        <v>0.9377228295323643</v>
      </c>
      <c r="Z93" s="3">
        <f t="shared" si="32"/>
        <v>0.31364329340770253</v>
      </c>
      <c r="AA93" s="3">
        <f t="shared" si="32"/>
        <v>0.31116173137945041</v>
      </c>
      <c r="AB93" s="3">
        <f t="shared" si="32"/>
        <v>1.315041884974965</v>
      </c>
      <c r="AC93" s="3">
        <f t="shared" si="32"/>
        <v>0.1338473713814419</v>
      </c>
      <c r="AD93" s="3">
        <f t="shared" ref="AD93:AK93" si="33">AVERAGE(AD60:AD64)</f>
        <v>3.0999943683088196</v>
      </c>
      <c r="AE93" s="3">
        <f t="shared" si="33"/>
        <v>2.6447145901211817</v>
      </c>
      <c r="AF93" s="3">
        <f t="shared" si="33"/>
        <v>5.5945408602783502</v>
      </c>
      <c r="AG93" s="3">
        <f t="shared" si="33"/>
        <v>3.4574947524963209</v>
      </c>
      <c r="AH93" s="3">
        <f t="shared" si="33"/>
        <v>0.34227126517681894</v>
      </c>
      <c r="AI93" s="3">
        <f t="shared" si="33"/>
        <v>0.36608127994999251</v>
      </c>
      <c r="AJ93" s="3">
        <f t="shared" si="33"/>
        <v>1.5023629337669124</v>
      </c>
      <c r="AK93" s="3">
        <f t="shared" si="33"/>
        <v>0.1338473713814419</v>
      </c>
    </row>
    <row r="94" spans="1:37" x14ac:dyDescent="0.25">
      <c r="B94" s="2" t="s">
        <v>9</v>
      </c>
      <c r="C94" s="3">
        <f>AVERAGE(C65:C69)*100</f>
        <v>503520</v>
      </c>
      <c r="D94" s="3">
        <f t="shared" ref="D94" si="34">AVERAGE(D65:D69)*100</f>
        <v>15219.999999999998</v>
      </c>
      <c r="E94" s="4"/>
      <c r="F94" s="3">
        <f>AVERAGE(F65:F69)*100</f>
        <v>28460.000000000004</v>
      </c>
      <c r="G94" s="3">
        <f t="shared" ref="G94" si="35">AVERAGE(G65:G69)*100</f>
        <v>4840</v>
      </c>
      <c r="H94" s="3"/>
      <c r="I94" s="4"/>
      <c r="J94" s="4"/>
      <c r="K94" s="4"/>
      <c r="V94" s="3">
        <f t="shared" ref="V94:AC94" si="36">AVERAGE(V65:V69)</f>
        <v>3.0339204380535554</v>
      </c>
      <c r="W94" s="3">
        <f t="shared" si="36"/>
        <v>2.5613574926317044</v>
      </c>
      <c r="X94" s="3">
        <f t="shared" si="36"/>
        <v>5.4939400952218493</v>
      </c>
      <c r="Y94" s="3">
        <f t="shared" si="36"/>
        <v>0.9377228295323643</v>
      </c>
      <c r="Z94" s="3">
        <f t="shared" si="36"/>
        <v>0.31364329340770253</v>
      </c>
      <c r="AA94" s="3">
        <f t="shared" si="36"/>
        <v>0.31116173137945041</v>
      </c>
      <c r="AB94" s="3">
        <f t="shared" si="36"/>
        <v>1.315041884974965</v>
      </c>
      <c r="AC94" s="3">
        <f t="shared" si="36"/>
        <v>0.1338473713814419</v>
      </c>
      <c r="AD94" s="3">
        <f t="shared" ref="AD94:AK94" si="37">AVERAGE(AD65:AD69)</f>
        <v>3.0999943683088196</v>
      </c>
      <c r="AE94" s="3">
        <f t="shared" si="37"/>
        <v>2.6447145901211817</v>
      </c>
      <c r="AF94" s="3">
        <f t="shared" si="37"/>
        <v>5.5945408602783502</v>
      </c>
      <c r="AG94" s="3">
        <f t="shared" si="37"/>
        <v>3.4574947524963209</v>
      </c>
      <c r="AH94" s="3">
        <f t="shared" si="37"/>
        <v>0.34227126517681894</v>
      </c>
      <c r="AI94" s="3">
        <f t="shared" si="37"/>
        <v>0.36608127994999251</v>
      </c>
      <c r="AJ94" s="3">
        <f t="shared" si="37"/>
        <v>1.5023629337669124</v>
      </c>
      <c r="AK94" s="3">
        <f t="shared" si="37"/>
        <v>0.1338473713814419</v>
      </c>
    </row>
    <row r="95" spans="1:37" x14ac:dyDescent="0.25">
      <c r="B95" s="2" t="s">
        <v>6</v>
      </c>
      <c r="C95" s="3">
        <f>AVERAGE(C70:C77)*100</f>
        <v>684200</v>
      </c>
      <c r="D95" s="3">
        <f t="shared" ref="D95" si="38">AVERAGE(D70:D77)*100</f>
        <v>23775</v>
      </c>
      <c r="E95" s="4"/>
      <c r="F95" s="3">
        <f>AVERAGE(F70:F77)*100</f>
        <v>51625</v>
      </c>
      <c r="G95" s="3">
        <f t="shared" ref="G95" si="39">AVERAGE(G70:G77)*100</f>
        <v>10000</v>
      </c>
      <c r="H95" s="3"/>
      <c r="I95" s="4"/>
      <c r="J95" s="4"/>
      <c r="K95" s="4"/>
      <c r="V95" s="3">
        <f t="shared" ref="V95:AC95" si="40">AVERAGE(V70:V77)</f>
        <v>3.4790698873419394</v>
      </c>
      <c r="W95" s="3">
        <f t="shared" si="40"/>
        <v>2.9549673126605183</v>
      </c>
      <c r="X95" s="3">
        <f t="shared" si="40"/>
        <v>7.5134431474911469</v>
      </c>
      <c r="Y95" s="3">
        <f t="shared" si="40"/>
        <v>1.4508172105833235</v>
      </c>
      <c r="Z95" s="3">
        <f t="shared" si="40"/>
        <v>0.66963114378031063</v>
      </c>
      <c r="AA95" s="3">
        <f t="shared" si="40"/>
        <v>0.52586400717850657</v>
      </c>
      <c r="AB95" s="3">
        <f t="shared" si="40"/>
        <v>1.8516513750725685</v>
      </c>
      <c r="AC95" s="3">
        <f t="shared" si="40"/>
        <v>0.30415235772779281</v>
      </c>
      <c r="AD95" s="3">
        <f t="shared" ref="AD95:AK95" si="41">AVERAGE(AD70:AD77)</f>
        <v>3.5803075180987634</v>
      </c>
      <c r="AE95" s="3">
        <f t="shared" si="41"/>
        <v>3.0224396852324409</v>
      </c>
      <c r="AF95" s="3">
        <f t="shared" si="41"/>
        <v>7.6488568769753176</v>
      </c>
      <c r="AG95" s="3">
        <f t="shared" si="41"/>
        <v>4.1720877044315658</v>
      </c>
      <c r="AH95" s="3">
        <f t="shared" si="41"/>
        <v>0.77894197944602839</v>
      </c>
      <c r="AI95" s="3">
        <f t="shared" si="41"/>
        <v>0.61076105845590245</v>
      </c>
      <c r="AJ95" s="3">
        <f t="shared" si="41"/>
        <v>2.2768254767056959</v>
      </c>
      <c r="AK95" s="3">
        <f t="shared" si="41"/>
        <v>0.35102523164539595</v>
      </c>
    </row>
    <row r="96" spans="1:37" x14ac:dyDescent="0.25">
      <c r="B96" s="2" t="s">
        <v>7</v>
      </c>
      <c r="C96" s="3">
        <f>AVERAGE(C78:C85)*100</f>
        <v>684200</v>
      </c>
      <c r="D96" s="3">
        <f t="shared" ref="D96" si="42">AVERAGE(D78:D85)*100</f>
        <v>23775</v>
      </c>
      <c r="E96" s="4"/>
      <c r="F96" s="3">
        <f>AVERAGE(F78:F85)*100</f>
        <v>51625</v>
      </c>
      <c r="G96" s="3">
        <f t="shared" ref="G96" si="43">AVERAGE(G78:G85)*100</f>
        <v>10000</v>
      </c>
      <c r="H96" s="3"/>
      <c r="I96" s="4"/>
      <c r="J96" s="4"/>
      <c r="K96" s="4"/>
      <c r="V96" s="3">
        <f t="shared" ref="V96:AC96" si="44">AVERAGE(V78:V85)</f>
        <v>3.4790698873419394</v>
      </c>
      <c r="W96" s="3">
        <f t="shared" si="44"/>
        <v>2.9549673126605183</v>
      </c>
      <c r="X96" s="3">
        <f t="shared" si="44"/>
        <v>7.5134431474911469</v>
      </c>
      <c r="Y96" s="3">
        <f t="shared" si="44"/>
        <v>1.4508172105833235</v>
      </c>
      <c r="Z96" s="3">
        <f t="shared" si="44"/>
        <v>0.66963114378031063</v>
      </c>
      <c r="AA96" s="3">
        <f t="shared" si="44"/>
        <v>0.52586400717850657</v>
      </c>
      <c r="AB96" s="3">
        <f t="shared" si="44"/>
        <v>1.8516513750725685</v>
      </c>
      <c r="AC96" s="3">
        <f t="shared" si="44"/>
        <v>0.30415235772779281</v>
      </c>
      <c r="AD96" s="3">
        <f t="shared" ref="AD96:AK96" si="45">AVERAGE(AD78:AD85)</f>
        <v>3.5803075180987634</v>
      </c>
      <c r="AE96" s="3">
        <f t="shared" si="45"/>
        <v>3.0224396852324409</v>
      </c>
      <c r="AF96" s="3">
        <f t="shared" si="45"/>
        <v>7.6488568769753176</v>
      </c>
      <c r="AG96" s="3">
        <f t="shared" si="45"/>
        <v>4.1720877044315658</v>
      </c>
      <c r="AH96" s="3">
        <f t="shared" si="45"/>
        <v>0.77894197944602839</v>
      </c>
      <c r="AI96" s="3">
        <f t="shared" si="45"/>
        <v>0.61076105845590245</v>
      </c>
      <c r="AJ96" s="3">
        <f t="shared" si="45"/>
        <v>2.2768254767056959</v>
      </c>
      <c r="AK96" s="3">
        <f t="shared" si="45"/>
        <v>0.35102523164539595</v>
      </c>
    </row>
    <row r="97" spans="3:37" ht="15.75" thickBot="1" x14ac:dyDescent="0.3">
      <c r="C97" s="4"/>
      <c r="D97" s="4"/>
      <c r="E97" s="4"/>
      <c r="F97" s="4"/>
      <c r="G97" s="4"/>
      <c r="H97" s="4"/>
      <c r="I97" s="4"/>
      <c r="J97" s="4"/>
      <c r="K97" s="4"/>
    </row>
    <row r="98" spans="3:37" x14ac:dyDescent="0.25">
      <c r="C98" s="4"/>
      <c r="D98" s="4"/>
      <c r="E98" s="4"/>
      <c r="F98" s="4"/>
      <c r="G98" s="4"/>
      <c r="H98" s="4"/>
      <c r="I98" s="4"/>
      <c r="J98" s="4"/>
      <c r="K98" s="4"/>
      <c r="V98" s="12">
        <f t="shared" ref="V98:AC98" si="46">TTEST(V3:V11,V12:V20,2,2)</f>
        <v>0.94760390143273399</v>
      </c>
      <c r="W98" s="12">
        <f t="shared" si="46"/>
        <v>0.88219953828706676</v>
      </c>
      <c r="X98" s="12">
        <f t="shared" si="46"/>
        <v>0.2917589800358909</v>
      </c>
      <c r="Y98" s="12">
        <f t="shared" si="46"/>
        <v>0.74680757420634092</v>
      </c>
      <c r="Z98" s="12">
        <f t="shared" si="46"/>
        <v>0.34852682569614291</v>
      </c>
      <c r="AA98" s="13">
        <f t="shared" si="46"/>
        <v>3.117602092532484E-2</v>
      </c>
      <c r="AB98" s="12">
        <f t="shared" si="46"/>
        <v>0.90926266613557361</v>
      </c>
      <c r="AC98" s="12">
        <f t="shared" si="46"/>
        <v>0.36750565413307645</v>
      </c>
      <c r="AD98" s="12">
        <f t="shared" ref="AD98:AK98" si="47">TTEST(AD3:AD11,AD12:AD20,2,2)</f>
        <v>0.96865502589795849</v>
      </c>
      <c r="AE98" s="12">
        <f t="shared" si="47"/>
        <v>0.92060733346062584</v>
      </c>
      <c r="AF98" s="12">
        <f t="shared" si="47"/>
        <v>0.295149215608566</v>
      </c>
      <c r="AG98" s="12">
        <f t="shared" si="47"/>
        <v>0.88720333815723218</v>
      </c>
      <c r="AH98" s="12">
        <f t="shared" si="47"/>
        <v>0.44287387660215816</v>
      </c>
      <c r="AI98" s="12">
        <f t="shared" si="47"/>
        <v>2.1590452253672118E-2</v>
      </c>
      <c r="AJ98" s="12">
        <f t="shared" si="47"/>
        <v>0.99503273244277068</v>
      </c>
      <c r="AK98" s="12">
        <f t="shared" si="47"/>
        <v>0.35641219199158936</v>
      </c>
    </row>
    <row r="99" spans="3:37" x14ac:dyDescent="0.25">
      <c r="V99" s="12">
        <f t="shared" ref="V99:AC99" si="48">TTEST(V3:V11,V30:V40,2,2)</f>
        <v>1.3842098400677617E-2</v>
      </c>
      <c r="W99" s="12">
        <f t="shared" si="48"/>
        <v>0.47785507088919488</v>
      </c>
      <c r="X99" s="12">
        <f t="shared" si="48"/>
        <v>0.80424922219965289</v>
      </c>
      <c r="Y99" s="12">
        <f t="shared" si="48"/>
        <v>0.17110265991031789</v>
      </c>
      <c r="Z99" s="12">
        <f t="shared" si="48"/>
        <v>4.6211719872639194E-3</v>
      </c>
      <c r="AA99" s="14">
        <f t="shared" si="48"/>
        <v>0.13233651258005541</v>
      </c>
      <c r="AB99" s="12">
        <f t="shared" si="48"/>
        <v>0.90610607803846221</v>
      </c>
      <c r="AC99" s="12">
        <f t="shared" si="48"/>
        <v>8.016552163297401E-2</v>
      </c>
      <c r="AD99" s="12">
        <f t="shared" ref="AD99:AK99" si="49">TTEST(AD3:AD11,AD30:AD40,2,2)</f>
        <v>1.5137158108130315E-2</v>
      </c>
      <c r="AE99" s="12">
        <f t="shared" si="49"/>
        <v>0.49731902107759796</v>
      </c>
      <c r="AF99" s="12">
        <f t="shared" si="49"/>
        <v>0.80007440671487107</v>
      </c>
      <c r="AG99" s="12">
        <f t="shared" si="49"/>
        <v>6.5417183184266698E-3</v>
      </c>
      <c r="AH99" s="12">
        <f t="shared" si="49"/>
        <v>6.5980395533191431E-3</v>
      </c>
      <c r="AI99" s="12">
        <f t="shared" si="49"/>
        <v>0.17038164465449382</v>
      </c>
      <c r="AJ99" s="12">
        <f t="shared" si="49"/>
        <v>0.8196771330586855</v>
      </c>
      <c r="AK99" s="12">
        <f t="shared" si="49"/>
        <v>0.1059958455297292</v>
      </c>
    </row>
    <row r="100" spans="3:37" x14ac:dyDescent="0.25">
      <c r="V100" s="12">
        <f t="shared" ref="V100:AC100" si="50">TTEST(V12:V20,V30:V40,2,2)</f>
        <v>2.3936913510993953E-2</v>
      </c>
      <c r="W100" s="12">
        <f t="shared" si="50"/>
        <v>0.57360915632352838</v>
      </c>
      <c r="X100" s="12">
        <f t="shared" si="50"/>
        <v>0.21884467050554879</v>
      </c>
      <c r="Y100" s="12">
        <f t="shared" si="50"/>
        <v>0.10903866417583162</v>
      </c>
      <c r="Z100" s="12">
        <f t="shared" si="50"/>
        <v>6.0909145142809734E-2</v>
      </c>
      <c r="AA100" s="14">
        <f t="shared" si="50"/>
        <v>0.66262221258179133</v>
      </c>
      <c r="AB100" s="12">
        <f t="shared" si="50"/>
        <v>0.82837740267245141</v>
      </c>
      <c r="AC100" s="12">
        <f t="shared" si="50"/>
        <v>0.22115319656930923</v>
      </c>
      <c r="AD100" s="12">
        <f t="shared" ref="AD100:AK100" si="51">TTEST(AD12:AD20,AD30:AD40,2,2)</f>
        <v>2.4850473354324651E-2</v>
      </c>
      <c r="AE100" s="12">
        <f t="shared" si="51"/>
        <v>0.57350801314296751</v>
      </c>
      <c r="AF100" s="12">
        <f t="shared" si="51"/>
        <v>0.22024297551355654</v>
      </c>
      <c r="AG100" s="12">
        <f t="shared" si="51"/>
        <v>1.3433721385820604E-2</v>
      </c>
      <c r="AH100" s="12">
        <f t="shared" si="51"/>
        <v>4.9876955562644106E-2</v>
      </c>
      <c r="AI100" s="12">
        <f t="shared" si="51"/>
        <v>0.52768543670616463</v>
      </c>
      <c r="AJ100" s="12">
        <f t="shared" si="51"/>
        <v>0.80380210279770203</v>
      </c>
      <c r="AK100" s="12">
        <f t="shared" si="51"/>
        <v>0.27854234811392392</v>
      </c>
    </row>
    <row r="101" spans="3:37" ht="15.75" thickBot="1" x14ac:dyDescent="0.3">
      <c r="V101" s="12">
        <f t="shared" ref="V101:AC101" si="52">TTEST(V12:V20,V41:V51,2,2)</f>
        <v>2.3936913510993953E-2</v>
      </c>
      <c r="W101" s="12">
        <f t="shared" si="52"/>
        <v>0.57360915632352838</v>
      </c>
      <c r="X101" s="12">
        <f t="shared" si="52"/>
        <v>0.21884467050554879</v>
      </c>
      <c r="Y101" s="12">
        <f t="shared" si="52"/>
        <v>0.10903866417583162</v>
      </c>
      <c r="Z101" s="12">
        <f t="shared" si="52"/>
        <v>6.0909145142809734E-2</v>
      </c>
      <c r="AA101" s="15">
        <f t="shared" si="52"/>
        <v>0.66262221258179133</v>
      </c>
      <c r="AB101" s="12">
        <f t="shared" si="52"/>
        <v>0.82837740267245141</v>
      </c>
      <c r="AC101" s="12">
        <f t="shared" si="52"/>
        <v>0.22115319656930923</v>
      </c>
      <c r="AD101" s="12">
        <f t="shared" ref="AD101:AK101" si="53">TTEST(AD12:AD20,AD41:AD51,2,2)</f>
        <v>2.4850473354324651E-2</v>
      </c>
      <c r="AE101" s="12">
        <f t="shared" si="53"/>
        <v>0.57350801314296751</v>
      </c>
      <c r="AF101" s="12">
        <f t="shared" si="53"/>
        <v>0.22024297551355654</v>
      </c>
      <c r="AG101" s="12">
        <f t="shared" si="53"/>
        <v>1.3433721385820604E-2</v>
      </c>
      <c r="AH101" s="12">
        <f t="shared" si="53"/>
        <v>4.9876955562644106E-2</v>
      </c>
      <c r="AI101" s="12">
        <f t="shared" si="53"/>
        <v>0.52768543670616463</v>
      </c>
      <c r="AJ101" s="12">
        <f t="shared" si="53"/>
        <v>0.80380210279770203</v>
      </c>
      <c r="AK101" s="12">
        <f t="shared" si="53"/>
        <v>0.27854234811392392</v>
      </c>
    </row>
    <row r="102" spans="3:37" x14ac:dyDescent="0.25"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</row>
    <row r="103" spans="3:37" x14ac:dyDescent="0.25">
      <c r="V103" s="12">
        <f t="shared" ref="V103:AC103" si="54">TTEST(V52:V59,V70:V77,2,2)</f>
        <v>1.2219380984272353E-2</v>
      </c>
      <c r="W103" s="12">
        <f t="shared" si="54"/>
        <v>0.44123266240851489</v>
      </c>
      <c r="X103" s="12">
        <f t="shared" si="54"/>
        <v>0.31213741014403534</v>
      </c>
      <c r="Y103" s="12">
        <f t="shared" si="54"/>
        <v>0.15031713048699635</v>
      </c>
      <c r="Z103" s="12">
        <f t="shared" si="54"/>
        <v>4.5520072850682679E-2</v>
      </c>
      <c r="AA103" s="12">
        <f t="shared" si="54"/>
        <v>0.43103732468145062</v>
      </c>
      <c r="AB103" s="12">
        <f t="shared" si="54"/>
        <v>0.2591640831620442</v>
      </c>
      <c r="AC103" s="12">
        <f t="shared" si="54"/>
        <v>0.12013144685036264</v>
      </c>
      <c r="AD103" s="12">
        <f t="shared" ref="AD103:AK103" si="55">TTEST(AD52:AD59,AD70:AD77,2,2)</f>
        <v>1.3711767312735473E-2</v>
      </c>
      <c r="AE103" s="12">
        <f t="shared" si="55"/>
        <v>0.46329215603944118</v>
      </c>
      <c r="AF103" s="12">
        <f t="shared" si="55"/>
        <v>0.3098487788112641</v>
      </c>
      <c r="AG103" s="12">
        <f t="shared" si="55"/>
        <v>1.5776495881098414E-2</v>
      </c>
      <c r="AH103" s="12">
        <f t="shared" si="55"/>
        <v>4.796172423501268E-2</v>
      </c>
      <c r="AI103" s="12">
        <f t="shared" si="55"/>
        <v>0.36682567004057398</v>
      </c>
      <c r="AJ103" s="12">
        <f t="shared" si="55"/>
        <v>0.25601244783701116</v>
      </c>
      <c r="AK103" s="12">
        <f t="shared" si="55"/>
        <v>0.12142665233572872</v>
      </c>
    </row>
  </sheetData>
  <mergeCells count="14">
    <mergeCell ref="A12:A20"/>
    <mergeCell ref="D1:K1"/>
    <mergeCell ref="L1:S1"/>
    <mergeCell ref="V1:AC1"/>
    <mergeCell ref="AD1:AK1"/>
    <mergeCell ref="A3:A11"/>
    <mergeCell ref="A70:A77"/>
    <mergeCell ref="A78:A85"/>
    <mergeCell ref="A21:A29"/>
    <mergeCell ref="A30:A40"/>
    <mergeCell ref="A41:A51"/>
    <mergeCell ref="A52:A59"/>
    <mergeCell ref="A60:A64"/>
    <mergeCell ref="A65:A69"/>
  </mergeCells>
  <conditionalFormatting sqref="V98:AK101 V103:AK103">
    <cfRule type="cellIs" dxfId="2" priority="1" operator="lessThan">
      <formula>0.05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3"/>
  <sheetViews>
    <sheetView topLeftCell="J70" workbookViewId="0">
      <selection activeCell="AG101" sqref="AG101"/>
    </sheetView>
  </sheetViews>
  <sheetFormatPr baseColWidth="10" defaultColWidth="9.140625" defaultRowHeight="15" x14ac:dyDescent="0.25"/>
  <cols>
    <col min="2" max="2" width="24.140625" bestFit="1" customWidth="1"/>
    <col min="10" max="10" width="14.42578125" bestFit="1" customWidth="1"/>
    <col min="22" max="22" width="10.42578125" bestFit="1" customWidth="1"/>
    <col min="23" max="24" width="10.28515625" bestFit="1" customWidth="1"/>
    <col min="25" max="25" width="6.140625" bestFit="1" customWidth="1"/>
    <col min="26" max="27" width="10.140625" customWidth="1"/>
    <col min="28" max="28" width="10" customWidth="1"/>
    <col min="29" max="29" width="7.5703125" customWidth="1"/>
  </cols>
  <sheetData>
    <row r="1" spans="1:37" x14ac:dyDescent="0.25">
      <c r="D1" s="16" t="s">
        <v>68</v>
      </c>
      <c r="E1" s="16"/>
      <c r="F1" s="16"/>
      <c r="G1" s="16"/>
      <c r="H1" s="16"/>
      <c r="I1" s="16"/>
      <c r="J1" s="16"/>
      <c r="K1" s="16"/>
      <c r="L1" s="16" t="s">
        <v>69</v>
      </c>
      <c r="M1" s="16"/>
      <c r="N1" s="16"/>
      <c r="O1" s="16"/>
      <c r="P1" s="16"/>
      <c r="Q1" s="16"/>
      <c r="R1" s="16"/>
      <c r="S1" s="16"/>
      <c r="V1" s="16" t="s">
        <v>68</v>
      </c>
      <c r="W1" s="16"/>
      <c r="X1" s="16"/>
      <c r="Y1" s="16"/>
      <c r="Z1" s="16"/>
      <c r="AA1" s="16"/>
      <c r="AB1" s="16"/>
      <c r="AC1" s="16"/>
      <c r="AD1" s="16" t="s">
        <v>69</v>
      </c>
      <c r="AE1" s="16"/>
      <c r="AF1" s="16"/>
      <c r="AG1" s="16"/>
      <c r="AH1" s="16"/>
      <c r="AI1" s="16"/>
      <c r="AJ1" s="16"/>
      <c r="AK1" s="16"/>
    </row>
    <row r="2" spans="1:37" ht="45" x14ac:dyDescent="0.25">
      <c r="C2" s="6" t="s">
        <v>70</v>
      </c>
      <c r="D2" s="6" t="s">
        <v>71</v>
      </c>
      <c r="E2" s="6" t="s">
        <v>72</v>
      </c>
      <c r="F2" s="6" t="s">
        <v>73</v>
      </c>
      <c r="G2" s="6" t="s">
        <v>74</v>
      </c>
      <c r="H2" s="6" t="s">
        <v>75</v>
      </c>
      <c r="I2" s="6" t="s">
        <v>76</v>
      </c>
      <c r="J2" s="6" t="s">
        <v>77</v>
      </c>
      <c r="K2" s="6" t="s">
        <v>78</v>
      </c>
      <c r="L2" s="6" t="s">
        <v>71</v>
      </c>
      <c r="M2" s="6" t="s">
        <v>72</v>
      </c>
      <c r="N2" s="6" t="s">
        <v>73</v>
      </c>
      <c r="O2" s="6" t="s">
        <v>74</v>
      </c>
      <c r="P2" s="6" t="s">
        <v>75</v>
      </c>
      <c r="Q2" s="6" t="s">
        <v>76</v>
      </c>
      <c r="R2" s="6" t="s">
        <v>77</v>
      </c>
      <c r="S2" s="6" t="s">
        <v>78</v>
      </c>
      <c r="V2" s="6" t="s">
        <v>71</v>
      </c>
      <c r="W2" s="6" t="s">
        <v>72</v>
      </c>
      <c r="X2" s="6" t="s">
        <v>73</v>
      </c>
      <c r="Y2" s="6" t="s">
        <v>74</v>
      </c>
      <c r="Z2" s="6" t="s">
        <v>75</v>
      </c>
      <c r="AA2" s="6" t="s">
        <v>76</v>
      </c>
      <c r="AB2" s="6" t="s">
        <v>77</v>
      </c>
      <c r="AC2" s="6" t="s">
        <v>78</v>
      </c>
      <c r="AD2" s="6" t="s">
        <v>71</v>
      </c>
      <c r="AE2" s="6" t="s">
        <v>72</v>
      </c>
      <c r="AF2" s="6" t="s">
        <v>73</v>
      </c>
      <c r="AG2" s="6" t="s">
        <v>74</v>
      </c>
      <c r="AH2" s="6" t="s">
        <v>75</v>
      </c>
      <c r="AI2" s="6" t="s">
        <v>76</v>
      </c>
      <c r="AJ2" s="6" t="s">
        <v>77</v>
      </c>
      <c r="AK2" s="6" t="s">
        <v>78</v>
      </c>
    </row>
    <row r="3" spans="1:37" x14ac:dyDescent="0.25">
      <c r="A3" s="17" t="s">
        <v>60</v>
      </c>
      <c r="B3" t="s">
        <v>10</v>
      </c>
      <c r="C3" s="1">
        <v>1369</v>
      </c>
      <c r="D3" s="1">
        <v>24</v>
      </c>
      <c r="E3">
        <v>20</v>
      </c>
      <c r="F3" s="1">
        <v>36</v>
      </c>
      <c r="G3" s="1">
        <v>7</v>
      </c>
      <c r="H3" s="5">
        <v>1</v>
      </c>
      <c r="I3">
        <v>3</v>
      </c>
      <c r="J3">
        <v>5</v>
      </c>
      <c r="K3">
        <v>1</v>
      </c>
      <c r="L3">
        <v>24</v>
      </c>
      <c r="M3">
        <v>21</v>
      </c>
      <c r="N3">
        <v>38</v>
      </c>
      <c r="O3">
        <v>28</v>
      </c>
      <c r="P3">
        <v>1</v>
      </c>
      <c r="Q3">
        <v>3</v>
      </c>
      <c r="R3">
        <v>6</v>
      </c>
      <c r="S3">
        <v>1</v>
      </c>
      <c r="V3" s="7">
        <f t="shared" ref="V3:AK18" si="0">(D3/$C3)*100</f>
        <v>1.7531044558071585</v>
      </c>
      <c r="W3" s="7">
        <f t="shared" si="0"/>
        <v>1.4609203798392989</v>
      </c>
      <c r="X3" s="7">
        <f t="shared" si="0"/>
        <v>2.6296566837107376</v>
      </c>
      <c r="Y3" s="7">
        <f t="shared" si="0"/>
        <v>0.51132213294375461</v>
      </c>
      <c r="Z3" s="7">
        <f t="shared" si="0"/>
        <v>7.3046018991964945E-2</v>
      </c>
      <c r="AA3" s="7">
        <f t="shared" si="0"/>
        <v>0.21913805697589481</v>
      </c>
      <c r="AB3" s="7">
        <f t="shared" si="0"/>
        <v>0.36523009495982472</v>
      </c>
      <c r="AC3" s="7">
        <f t="shared" si="0"/>
        <v>7.3046018991964945E-2</v>
      </c>
      <c r="AD3" s="7">
        <f t="shared" si="0"/>
        <v>1.7531044558071585</v>
      </c>
      <c r="AE3" s="7">
        <f t="shared" si="0"/>
        <v>1.5339663988312637</v>
      </c>
      <c r="AF3" s="7">
        <f t="shared" si="0"/>
        <v>2.7757487216946677</v>
      </c>
      <c r="AG3" s="7">
        <f t="shared" si="0"/>
        <v>2.0452885317750185</v>
      </c>
      <c r="AH3" s="7">
        <f t="shared" si="0"/>
        <v>7.3046018991964945E-2</v>
      </c>
      <c r="AI3" s="7">
        <f t="shared" si="0"/>
        <v>0.21913805697589481</v>
      </c>
      <c r="AJ3" s="7">
        <f t="shared" si="0"/>
        <v>0.43827611395178961</v>
      </c>
      <c r="AK3" s="7">
        <f t="shared" si="0"/>
        <v>7.3046018991964945E-2</v>
      </c>
    </row>
    <row r="4" spans="1:37" x14ac:dyDescent="0.25">
      <c r="A4" s="17"/>
      <c r="B4" t="s">
        <v>11</v>
      </c>
      <c r="C4" s="1">
        <v>2495</v>
      </c>
      <c r="D4" s="1">
        <v>43</v>
      </c>
      <c r="E4">
        <v>27</v>
      </c>
      <c r="F4" s="1">
        <v>67</v>
      </c>
      <c r="G4" s="1">
        <v>10</v>
      </c>
      <c r="H4" s="5">
        <v>6</v>
      </c>
      <c r="I4">
        <v>3</v>
      </c>
      <c r="J4">
        <v>10</v>
      </c>
      <c r="K4">
        <v>1</v>
      </c>
      <c r="L4">
        <v>44</v>
      </c>
      <c r="M4">
        <v>28</v>
      </c>
      <c r="N4">
        <v>68</v>
      </c>
      <c r="O4">
        <v>46</v>
      </c>
      <c r="P4">
        <v>6</v>
      </c>
      <c r="Q4">
        <v>3</v>
      </c>
      <c r="R4">
        <v>11</v>
      </c>
      <c r="S4">
        <v>1</v>
      </c>
      <c r="V4" s="7">
        <f t="shared" si="0"/>
        <v>1.7234468937875751</v>
      </c>
      <c r="W4" s="7">
        <f t="shared" si="0"/>
        <v>1.0821643286573146</v>
      </c>
      <c r="X4" s="7">
        <f t="shared" si="0"/>
        <v>2.685370741482966</v>
      </c>
      <c r="Y4" s="7">
        <f t="shared" si="0"/>
        <v>0.40080160320641278</v>
      </c>
      <c r="Z4" s="7">
        <f t="shared" si="0"/>
        <v>0.24048096192384769</v>
      </c>
      <c r="AA4" s="7">
        <f t="shared" si="0"/>
        <v>0.12024048096192384</v>
      </c>
      <c r="AB4" s="7">
        <f t="shared" si="0"/>
        <v>0.40080160320641278</v>
      </c>
      <c r="AC4" s="7">
        <f t="shared" si="0"/>
        <v>4.0080160320641281E-2</v>
      </c>
      <c r="AD4" s="7">
        <f t="shared" si="0"/>
        <v>1.7635270541082164</v>
      </c>
      <c r="AE4" s="7">
        <f t="shared" si="0"/>
        <v>1.1222444889779559</v>
      </c>
      <c r="AF4" s="7">
        <f t="shared" si="0"/>
        <v>2.7254509018036073</v>
      </c>
      <c r="AG4" s="7">
        <f t="shared" si="0"/>
        <v>1.8436873747494988</v>
      </c>
      <c r="AH4" s="7">
        <f t="shared" si="0"/>
        <v>0.24048096192384769</v>
      </c>
      <c r="AI4" s="7">
        <f t="shared" si="0"/>
        <v>0.12024048096192384</v>
      </c>
      <c r="AJ4" s="7">
        <f t="shared" si="0"/>
        <v>0.4408817635270541</v>
      </c>
      <c r="AK4" s="7">
        <f t="shared" si="0"/>
        <v>4.0080160320641281E-2</v>
      </c>
    </row>
    <row r="5" spans="1:37" x14ac:dyDescent="0.25">
      <c r="A5" s="17"/>
      <c r="B5" t="s">
        <v>12</v>
      </c>
      <c r="C5" s="1">
        <v>5212</v>
      </c>
      <c r="D5" s="1">
        <v>119</v>
      </c>
      <c r="E5">
        <v>44</v>
      </c>
      <c r="F5" s="1">
        <v>101</v>
      </c>
      <c r="G5" s="1">
        <v>19</v>
      </c>
      <c r="H5" s="5">
        <v>15</v>
      </c>
      <c r="I5">
        <v>7</v>
      </c>
      <c r="J5">
        <v>25</v>
      </c>
      <c r="K5">
        <v>0</v>
      </c>
      <c r="L5">
        <v>119</v>
      </c>
      <c r="M5">
        <v>45</v>
      </c>
      <c r="N5">
        <v>101</v>
      </c>
      <c r="O5">
        <v>127</v>
      </c>
      <c r="P5">
        <v>16</v>
      </c>
      <c r="Q5">
        <v>8</v>
      </c>
      <c r="R5">
        <v>34</v>
      </c>
      <c r="S5">
        <v>0</v>
      </c>
      <c r="V5" s="7">
        <f t="shared" si="0"/>
        <v>2.2831926323867999</v>
      </c>
      <c r="W5" s="7">
        <f t="shared" si="0"/>
        <v>0.84420567920184197</v>
      </c>
      <c r="X5" s="7">
        <f t="shared" si="0"/>
        <v>1.9378357636224097</v>
      </c>
      <c r="Y5" s="7">
        <f t="shared" si="0"/>
        <v>0.36454336147352262</v>
      </c>
      <c r="Z5" s="7">
        <f t="shared" si="0"/>
        <v>0.28779739063699156</v>
      </c>
      <c r="AA5" s="7">
        <f t="shared" si="0"/>
        <v>0.1343054489639294</v>
      </c>
      <c r="AB5" s="7">
        <f t="shared" si="0"/>
        <v>0.47966231772831924</v>
      </c>
      <c r="AC5" s="7">
        <f t="shared" si="0"/>
        <v>0</v>
      </c>
      <c r="AD5" s="7">
        <f t="shared" si="0"/>
        <v>2.2831926323867999</v>
      </c>
      <c r="AE5" s="7">
        <f t="shared" si="0"/>
        <v>0.86339217191097473</v>
      </c>
      <c r="AF5" s="7">
        <f t="shared" si="0"/>
        <v>1.9378357636224097</v>
      </c>
      <c r="AG5" s="7">
        <f t="shared" si="0"/>
        <v>2.4366845740598619</v>
      </c>
      <c r="AH5" s="7">
        <f t="shared" si="0"/>
        <v>0.30698388334612431</v>
      </c>
      <c r="AI5" s="7">
        <f t="shared" si="0"/>
        <v>0.15349194167306215</v>
      </c>
      <c r="AJ5" s="7">
        <f t="shared" si="0"/>
        <v>0.65234075211051423</v>
      </c>
      <c r="AK5" s="7">
        <f t="shared" si="0"/>
        <v>0</v>
      </c>
    </row>
    <row r="6" spans="1:37" x14ac:dyDescent="0.25">
      <c r="A6" s="17"/>
      <c r="B6" t="s">
        <v>13</v>
      </c>
      <c r="C6" s="1">
        <v>5644</v>
      </c>
      <c r="D6" s="1">
        <v>120</v>
      </c>
      <c r="E6">
        <v>53</v>
      </c>
      <c r="F6" s="1">
        <v>171</v>
      </c>
      <c r="G6" s="1">
        <v>25</v>
      </c>
      <c r="H6" s="5">
        <v>16</v>
      </c>
      <c r="I6">
        <v>12</v>
      </c>
      <c r="J6">
        <v>34</v>
      </c>
      <c r="K6">
        <v>3</v>
      </c>
      <c r="L6">
        <v>120</v>
      </c>
      <c r="M6">
        <v>55</v>
      </c>
      <c r="N6">
        <v>172</v>
      </c>
      <c r="O6">
        <v>128</v>
      </c>
      <c r="P6">
        <v>19</v>
      </c>
      <c r="Q6">
        <v>14</v>
      </c>
      <c r="R6">
        <v>40</v>
      </c>
      <c r="S6">
        <v>4</v>
      </c>
      <c r="V6" s="7">
        <f t="shared" si="0"/>
        <v>2.1261516654854713</v>
      </c>
      <c r="W6" s="7">
        <f t="shared" si="0"/>
        <v>0.93905031892274982</v>
      </c>
      <c r="X6" s="7">
        <f t="shared" si="0"/>
        <v>3.0297661233167967</v>
      </c>
      <c r="Y6" s="7">
        <f t="shared" si="0"/>
        <v>0.44294826364280648</v>
      </c>
      <c r="Z6" s="7">
        <f t="shared" si="0"/>
        <v>0.28348688873139616</v>
      </c>
      <c r="AA6" s="7">
        <f t="shared" si="0"/>
        <v>0.21261516654854712</v>
      </c>
      <c r="AB6" s="7">
        <f t="shared" si="0"/>
        <v>0.60240963855421692</v>
      </c>
      <c r="AC6" s="7">
        <f t="shared" si="0"/>
        <v>5.315379163713678E-2</v>
      </c>
      <c r="AD6" s="7">
        <f t="shared" si="0"/>
        <v>2.1261516654854713</v>
      </c>
      <c r="AE6" s="7">
        <f t="shared" si="0"/>
        <v>0.97448618001417431</v>
      </c>
      <c r="AF6" s="7">
        <f t="shared" si="0"/>
        <v>3.047484053862509</v>
      </c>
      <c r="AG6" s="7">
        <f t="shared" si="0"/>
        <v>2.2678951098511693</v>
      </c>
      <c r="AH6" s="7">
        <f t="shared" si="0"/>
        <v>0.33664068036853295</v>
      </c>
      <c r="AI6" s="7">
        <f t="shared" si="0"/>
        <v>0.24805102763997164</v>
      </c>
      <c r="AJ6" s="7">
        <f t="shared" si="0"/>
        <v>0.7087172218284904</v>
      </c>
      <c r="AK6" s="7">
        <f t="shared" si="0"/>
        <v>7.087172218284904E-2</v>
      </c>
    </row>
    <row r="7" spans="1:37" x14ac:dyDescent="0.25">
      <c r="A7" s="17"/>
      <c r="B7" t="s">
        <v>14</v>
      </c>
      <c r="C7" s="1">
        <v>5315</v>
      </c>
      <c r="D7" s="1">
        <v>135</v>
      </c>
      <c r="E7">
        <v>107</v>
      </c>
      <c r="F7" s="1">
        <v>75</v>
      </c>
      <c r="G7" s="1">
        <v>27</v>
      </c>
      <c r="H7" s="5">
        <v>9</v>
      </c>
      <c r="I7">
        <v>7</v>
      </c>
      <c r="J7">
        <v>8</v>
      </c>
      <c r="K7">
        <v>1</v>
      </c>
      <c r="L7">
        <v>137</v>
      </c>
      <c r="M7">
        <v>110</v>
      </c>
      <c r="N7">
        <v>75</v>
      </c>
      <c r="O7">
        <v>150</v>
      </c>
      <c r="P7">
        <v>11</v>
      </c>
      <c r="Q7">
        <v>9</v>
      </c>
      <c r="R7">
        <v>8</v>
      </c>
      <c r="S7">
        <v>1</v>
      </c>
      <c r="V7" s="7">
        <f t="shared" si="0"/>
        <v>2.5399811853245531</v>
      </c>
      <c r="W7" s="7">
        <f t="shared" si="0"/>
        <v>2.0131702728127943</v>
      </c>
      <c r="X7" s="7">
        <f t="shared" si="0"/>
        <v>1.4111006585136407</v>
      </c>
      <c r="Y7" s="7">
        <f t="shared" si="0"/>
        <v>0.50799623706491059</v>
      </c>
      <c r="Z7" s="7">
        <f t="shared" si="0"/>
        <v>0.16933207902163688</v>
      </c>
      <c r="AA7" s="7">
        <f t="shared" si="0"/>
        <v>0.13170272812793979</v>
      </c>
      <c r="AB7" s="7">
        <f t="shared" si="0"/>
        <v>0.15051740357478832</v>
      </c>
      <c r="AC7" s="7">
        <f t="shared" si="0"/>
        <v>1.881467544684854E-2</v>
      </c>
      <c r="AD7" s="7">
        <f t="shared" si="0"/>
        <v>2.5776105362182502</v>
      </c>
      <c r="AE7" s="7">
        <f t="shared" si="0"/>
        <v>2.0696142991533399</v>
      </c>
      <c r="AF7" s="7">
        <f t="shared" si="0"/>
        <v>1.4111006585136407</v>
      </c>
      <c r="AG7" s="7">
        <f t="shared" si="0"/>
        <v>2.8222013170272815</v>
      </c>
      <c r="AH7" s="7">
        <f t="shared" si="0"/>
        <v>0.20696142991533398</v>
      </c>
      <c r="AI7" s="7">
        <f t="shared" si="0"/>
        <v>0.16933207902163688</v>
      </c>
      <c r="AJ7" s="7">
        <f t="shared" si="0"/>
        <v>0.15051740357478832</v>
      </c>
      <c r="AK7" s="7">
        <f t="shared" si="0"/>
        <v>1.881467544684854E-2</v>
      </c>
    </row>
    <row r="8" spans="1:37" x14ac:dyDescent="0.25">
      <c r="A8" s="17"/>
      <c r="B8" t="s">
        <v>15</v>
      </c>
      <c r="C8" s="1">
        <v>5118</v>
      </c>
      <c r="D8" s="1">
        <v>90</v>
      </c>
      <c r="E8">
        <v>46</v>
      </c>
      <c r="F8" s="1">
        <v>166</v>
      </c>
      <c r="G8" s="1">
        <v>27</v>
      </c>
      <c r="H8" s="5">
        <v>2</v>
      </c>
      <c r="I8">
        <v>1</v>
      </c>
      <c r="J8">
        <v>36</v>
      </c>
      <c r="K8">
        <v>0</v>
      </c>
      <c r="L8">
        <v>92</v>
      </c>
      <c r="M8">
        <v>47</v>
      </c>
      <c r="N8">
        <v>168</v>
      </c>
      <c r="O8">
        <v>106</v>
      </c>
      <c r="P8">
        <v>2</v>
      </c>
      <c r="Q8">
        <v>1</v>
      </c>
      <c r="R8">
        <v>40</v>
      </c>
      <c r="S8">
        <v>0</v>
      </c>
      <c r="V8" s="7">
        <f t="shared" si="0"/>
        <v>1.7584994138335288</v>
      </c>
      <c r="W8" s="7">
        <f t="shared" si="0"/>
        <v>0.89878858929269245</v>
      </c>
      <c r="X8" s="7">
        <f t="shared" si="0"/>
        <v>3.2434544744040643</v>
      </c>
      <c r="Y8" s="7">
        <f t="shared" si="0"/>
        <v>0.52754982415005858</v>
      </c>
      <c r="Z8" s="7">
        <f t="shared" si="0"/>
        <v>3.9077764751856196E-2</v>
      </c>
      <c r="AA8" s="7">
        <f t="shared" si="0"/>
        <v>1.9538882375928098E-2</v>
      </c>
      <c r="AB8" s="7">
        <f t="shared" si="0"/>
        <v>0.70339976553341155</v>
      </c>
      <c r="AC8" s="7">
        <f t="shared" si="0"/>
        <v>0</v>
      </c>
      <c r="AD8" s="7">
        <f t="shared" si="0"/>
        <v>1.7975771785853849</v>
      </c>
      <c r="AE8" s="7">
        <f t="shared" si="0"/>
        <v>0.9183274716686205</v>
      </c>
      <c r="AF8" s="7">
        <f t="shared" si="0"/>
        <v>3.2825322391559206</v>
      </c>
      <c r="AG8" s="7">
        <f t="shared" si="0"/>
        <v>2.0711215318483784</v>
      </c>
      <c r="AH8" s="7">
        <f t="shared" si="0"/>
        <v>3.9077764751856196E-2</v>
      </c>
      <c r="AI8" s="7">
        <f t="shared" si="0"/>
        <v>1.9538882375928098E-2</v>
      </c>
      <c r="AJ8" s="7">
        <f t="shared" si="0"/>
        <v>0.78155529503712384</v>
      </c>
      <c r="AK8" s="7">
        <f t="shared" si="0"/>
        <v>0</v>
      </c>
    </row>
    <row r="9" spans="1:37" x14ac:dyDescent="0.25">
      <c r="A9" s="17"/>
      <c r="B9" t="s">
        <v>16</v>
      </c>
      <c r="C9" s="1">
        <v>4746</v>
      </c>
      <c r="D9" s="1">
        <v>74</v>
      </c>
      <c r="E9">
        <v>44</v>
      </c>
      <c r="F9" s="1">
        <v>118</v>
      </c>
      <c r="G9" s="1">
        <v>14</v>
      </c>
      <c r="H9" s="5">
        <v>8</v>
      </c>
      <c r="I9">
        <v>5</v>
      </c>
      <c r="J9">
        <v>25</v>
      </c>
      <c r="K9">
        <v>0</v>
      </c>
      <c r="L9">
        <v>77</v>
      </c>
      <c r="M9">
        <v>44</v>
      </c>
      <c r="N9">
        <v>118</v>
      </c>
      <c r="O9">
        <v>81</v>
      </c>
      <c r="P9">
        <v>8</v>
      </c>
      <c r="Q9">
        <v>5</v>
      </c>
      <c r="R9">
        <v>27</v>
      </c>
      <c r="S9">
        <v>0</v>
      </c>
      <c r="V9" s="7">
        <f t="shared" si="0"/>
        <v>1.5592077538980194</v>
      </c>
      <c r="W9" s="7">
        <f t="shared" si="0"/>
        <v>0.92709650231774121</v>
      </c>
      <c r="X9" s="7">
        <f t="shared" si="0"/>
        <v>2.4863042562157607</v>
      </c>
      <c r="Y9" s="7">
        <f t="shared" si="0"/>
        <v>0.29498525073746312</v>
      </c>
      <c r="Z9" s="7">
        <f t="shared" si="0"/>
        <v>0.16856300042140751</v>
      </c>
      <c r="AA9" s="7">
        <f t="shared" si="0"/>
        <v>0.10535187526337969</v>
      </c>
      <c r="AB9" s="7">
        <f t="shared" si="0"/>
        <v>0.52675937631689851</v>
      </c>
      <c r="AC9" s="7">
        <f t="shared" si="0"/>
        <v>0</v>
      </c>
      <c r="AD9" s="7">
        <f t="shared" si="0"/>
        <v>1.6224188790560472</v>
      </c>
      <c r="AE9" s="7">
        <f t="shared" si="0"/>
        <v>0.92709650231774121</v>
      </c>
      <c r="AF9" s="7">
        <f t="shared" si="0"/>
        <v>2.4863042562157607</v>
      </c>
      <c r="AG9" s="7">
        <f t="shared" si="0"/>
        <v>1.7067003792667508</v>
      </c>
      <c r="AH9" s="7">
        <f t="shared" si="0"/>
        <v>0.16856300042140751</v>
      </c>
      <c r="AI9" s="7">
        <f t="shared" si="0"/>
        <v>0.10535187526337969</v>
      </c>
      <c r="AJ9" s="7">
        <f t="shared" si="0"/>
        <v>0.5689001264222503</v>
      </c>
      <c r="AK9" s="7">
        <f t="shared" si="0"/>
        <v>0</v>
      </c>
    </row>
    <row r="10" spans="1:37" x14ac:dyDescent="0.25">
      <c r="A10" s="17"/>
      <c r="B10" t="s">
        <v>17</v>
      </c>
      <c r="C10" s="1">
        <v>5799</v>
      </c>
      <c r="D10" s="1">
        <v>92</v>
      </c>
      <c r="E10">
        <v>79</v>
      </c>
      <c r="F10" s="1">
        <v>118</v>
      </c>
      <c r="G10" s="1">
        <v>29</v>
      </c>
      <c r="H10" s="5">
        <v>14</v>
      </c>
      <c r="I10">
        <v>9</v>
      </c>
      <c r="J10">
        <v>26</v>
      </c>
      <c r="K10">
        <v>3</v>
      </c>
      <c r="L10">
        <v>93</v>
      </c>
      <c r="M10">
        <v>80</v>
      </c>
      <c r="N10">
        <v>120</v>
      </c>
      <c r="O10">
        <v>101</v>
      </c>
      <c r="P10">
        <v>17</v>
      </c>
      <c r="Q10">
        <v>10</v>
      </c>
      <c r="R10">
        <v>33</v>
      </c>
      <c r="S10">
        <v>4</v>
      </c>
      <c r="V10" s="7">
        <f t="shared" si="0"/>
        <v>1.5864804276599414</v>
      </c>
      <c r="W10" s="7">
        <f t="shared" si="0"/>
        <v>1.3623038454906018</v>
      </c>
      <c r="X10" s="7">
        <f t="shared" si="0"/>
        <v>2.0348335919986202</v>
      </c>
      <c r="Y10" s="7">
        <f t="shared" si="0"/>
        <v>0.50008622176237283</v>
      </c>
      <c r="Z10" s="7">
        <f t="shared" si="0"/>
        <v>0.24142093464390413</v>
      </c>
      <c r="AA10" s="7">
        <f t="shared" si="0"/>
        <v>0.15519917227108121</v>
      </c>
      <c r="AB10" s="7">
        <f t="shared" si="0"/>
        <v>0.44835316433867906</v>
      </c>
      <c r="AC10" s="7">
        <f t="shared" si="0"/>
        <v>5.1733057423693739E-2</v>
      </c>
      <c r="AD10" s="7">
        <f t="shared" si="0"/>
        <v>1.603724780134506</v>
      </c>
      <c r="AE10" s="7">
        <f t="shared" si="0"/>
        <v>1.3795481979651663</v>
      </c>
      <c r="AF10" s="7">
        <f t="shared" si="0"/>
        <v>2.0693222969477496</v>
      </c>
      <c r="AG10" s="7">
        <f t="shared" si="0"/>
        <v>1.7416795999310226</v>
      </c>
      <c r="AH10" s="7">
        <f t="shared" si="0"/>
        <v>0.29315399206759785</v>
      </c>
      <c r="AI10" s="7">
        <f t="shared" si="0"/>
        <v>0.17244352474564578</v>
      </c>
      <c r="AJ10" s="7">
        <f t="shared" si="0"/>
        <v>0.56906363166063112</v>
      </c>
      <c r="AK10" s="7">
        <f t="shared" si="0"/>
        <v>6.8977409898258318E-2</v>
      </c>
    </row>
    <row r="11" spans="1:37" x14ac:dyDescent="0.25">
      <c r="A11" s="17"/>
      <c r="B11" t="s">
        <v>18</v>
      </c>
      <c r="C11" s="1">
        <v>5085</v>
      </c>
      <c r="D11" s="1">
        <v>152</v>
      </c>
      <c r="E11">
        <v>99</v>
      </c>
      <c r="F11" s="1">
        <v>170</v>
      </c>
      <c r="G11" s="1">
        <v>65</v>
      </c>
      <c r="H11" s="5">
        <v>21</v>
      </c>
      <c r="I11">
        <v>18</v>
      </c>
      <c r="J11">
        <v>41</v>
      </c>
      <c r="K11">
        <v>11</v>
      </c>
      <c r="L11">
        <v>157</v>
      </c>
      <c r="M11">
        <v>101</v>
      </c>
      <c r="N11">
        <v>173</v>
      </c>
      <c r="O11">
        <v>186</v>
      </c>
      <c r="P11">
        <v>24</v>
      </c>
      <c r="Q11">
        <v>20</v>
      </c>
      <c r="R11">
        <v>47</v>
      </c>
      <c r="S11">
        <v>12</v>
      </c>
      <c r="V11" s="7">
        <f t="shared" si="0"/>
        <v>2.9891838741396266</v>
      </c>
      <c r="W11" s="7">
        <f t="shared" si="0"/>
        <v>1.9469026548672566</v>
      </c>
      <c r="X11" s="7">
        <f t="shared" si="0"/>
        <v>3.343166175024582</v>
      </c>
      <c r="Y11" s="7">
        <f t="shared" si="0"/>
        <v>1.2782694198623401</v>
      </c>
      <c r="Z11" s="7">
        <f t="shared" si="0"/>
        <v>0.41297935103244837</v>
      </c>
      <c r="AA11" s="7">
        <f t="shared" si="0"/>
        <v>0.35398230088495575</v>
      </c>
      <c r="AB11" s="7">
        <f t="shared" si="0"/>
        <v>0.80629301868239911</v>
      </c>
      <c r="AC11" s="7">
        <f t="shared" si="0"/>
        <v>0.21632251720747295</v>
      </c>
      <c r="AD11" s="7">
        <f t="shared" si="0"/>
        <v>3.0875122910521138</v>
      </c>
      <c r="AE11" s="7">
        <f t="shared" si="0"/>
        <v>1.9862340216322518</v>
      </c>
      <c r="AF11" s="7">
        <f t="shared" si="0"/>
        <v>3.4021632251720746</v>
      </c>
      <c r="AG11" s="7">
        <f t="shared" si="0"/>
        <v>3.6578171091445428</v>
      </c>
      <c r="AH11" s="7">
        <f t="shared" si="0"/>
        <v>0.471976401179941</v>
      </c>
      <c r="AI11" s="7">
        <f t="shared" si="0"/>
        <v>0.39331366764995085</v>
      </c>
      <c r="AJ11" s="7">
        <f t="shared" si="0"/>
        <v>0.92428711897738436</v>
      </c>
      <c r="AK11" s="7">
        <f t="shared" si="0"/>
        <v>0.2359882005899705</v>
      </c>
    </row>
    <row r="12" spans="1:37" x14ac:dyDescent="0.25">
      <c r="A12" s="17" t="s">
        <v>61</v>
      </c>
      <c r="B12" t="s">
        <v>19</v>
      </c>
      <c r="C12" s="1">
        <v>7403</v>
      </c>
      <c r="D12" s="1">
        <v>160</v>
      </c>
      <c r="E12">
        <v>78</v>
      </c>
      <c r="F12" s="1">
        <v>160</v>
      </c>
      <c r="G12" s="1">
        <v>31</v>
      </c>
      <c r="H12" s="5">
        <v>8</v>
      </c>
      <c r="I12">
        <v>1</v>
      </c>
      <c r="J12">
        <v>12</v>
      </c>
      <c r="K12">
        <v>0</v>
      </c>
      <c r="L12">
        <v>162</v>
      </c>
      <c r="M12">
        <v>78</v>
      </c>
      <c r="N12">
        <v>162</v>
      </c>
      <c r="O12">
        <v>175</v>
      </c>
      <c r="P12">
        <v>9</v>
      </c>
      <c r="Q12">
        <v>1</v>
      </c>
      <c r="R12">
        <v>13</v>
      </c>
      <c r="S12">
        <v>0</v>
      </c>
      <c r="V12" s="8">
        <f t="shared" si="0"/>
        <v>2.161285965149264</v>
      </c>
      <c r="W12" s="8">
        <f t="shared" si="0"/>
        <v>1.053626908010266</v>
      </c>
      <c r="X12" s="8">
        <f t="shared" si="0"/>
        <v>2.161285965149264</v>
      </c>
      <c r="Y12" s="8">
        <f t="shared" si="0"/>
        <v>0.4187491557476698</v>
      </c>
      <c r="Z12" s="8">
        <f t="shared" si="0"/>
        <v>0.10806429825746318</v>
      </c>
      <c r="AA12" s="8">
        <f t="shared" si="0"/>
        <v>1.3508037282182897E-2</v>
      </c>
      <c r="AB12" s="8">
        <f t="shared" si="0"/>
        <v>0.16209644738619478</v>
      </c>
      <c r="AC12" s="8">
        <f t="shared" si="0"/>
        <v>0</v>
      </c>
      <c r="AD12" s="8">
        <f t="shared" si="0"/>
        <v>2.1883020397136295</v>
      </c>
      <c r="AE12" s="8">
        <f t="shared" si="0"/>
        <v>1.053626908010266</v>
      </c>
      <c r="AF12" s="8">
        <f t="shared" si="0"/>
        <v>2.1883020397136295</v>
      </c>
      <c r="AG12" s="8">
        <f t="shared" si="0"/>
        <v>2.3639065243820072</v>
      </c>
      <c r="AH12" s="8">
        <f t="shared" si="0"/>
        <v>0.1215723355396461</v>
      </c>
      <c r="AI12" s="8">
        <f t="shared" si="0"/>
        <v>1.3508037282182897E-2</v>
      </c>
      <c r="AJ12" s="8">
        <f t="shared" si="0"/>
        <v>0.17560448466837769</v>
      </c>
      <c r="AK12" s="8">
        <f t="shared" si="0"/>
        <v>0</v>
      </c>
    </row>
    <row r="13" spans="1:37" x14ac:dyDescent="0.25">
      <c r="A13" s="17"/>
      <c r="B13" t="s">
        <v>20</v>
      </c>
      <c r="C13" s="1">
        <v>6133</v>
      </c>
      <c r="D13" s="1">
        <v>108</v>
      </c>
      <c r="E13">
        <v>46</v>
      </c>
      <c r="F13" s="1">
        <v>110</v>
      </c>
      <c r="G13" s="1">
        <v>12</v>
      </c>
      <c r="H13" s="5">
        <v>14</v>
      </c>
      <c r="I13">
        <v>7</v>
      </c>
      <c r="J13">
        <v>28</v>
      </c>
      <c r="K13">
        <v>1</v>
      </c>
      <c r="L13">
        <v>110</v>
      </c>
      <c r="M13">
        <v>48</v>
      </c>
      <c r="N13">
        <v>110</v>
      </c>
      <c r="O13">
        <v>115</v>
      </c>
      <c r="P13">
        <v>16</v>
      </c>
      <c r="Q13">
        <v>7</v>
      </c>
      <c r="R13">
        <v>34</v>
      </c>
      <c r="S13">
        <v>1</v>
      </c>
      <c r="V13" s="8">
        <f t="shared" si="0"/>
        <v>1.7609652698516225</v>
      </c>
      <c r="W13" s="8">
        <f t="shared" si="0"/>
        <v>0.75004076308495027</v>
      </c>
      <c r="X13" s="8">
        <f t="shared" si="0"/>
        <v>1.7935757378118378</v>
      </c>
      <c r="Y13" s="8">
        <f t="shared" si="0"/>
        <v>0.19566280776129136</v>
      </c>
      <c r="Z13" s="8">
        <f t="shared" si="0"/>
        <v>0.22827327572150663</v>
      </c>
      <c r="AA13" s="8">
        <f t="shared" si="0"/>
        <v>0.11413663786075331</v>
      </c>
      <c r="AB13" s="8">
        <f t="shared" si="0"/>
        <v>0.45654655144301326</v>
      </c>
      <c r="AC13" s="8">
        <f t="shared" si="0"/>
        <v>1.6305233980107615E-2</v>
      </c>
      <c r="AD13" s="8">
        <f t="shared" si="0"/>
        <v>1.7935757378118378</v>
      </c>
      <c r="AE13" s="8">
        <f t="shared" si="0"/>
        <v>0.78265123104516543</v>
      </c>
      <c r="AF13" s="8">
        <f t="shared" si="0"/>
        <v>1.7935757378118378</v>
      </c>
      <c r="AG13" s="8">
        <f t="shared" si="0"/>
        <v>1.8751019077123756</v>
      </c>
      <c r="AH13" s="8">
        <f t="shared" si="0"/>
        <v>0.26088374368172185</v>
      </c>
      <c r="AI13" s="8">
        <f t="shared" si="0"/>
        <v>0.11413663786075331</v>
      </c>
      <c r="AJ13" s="8">
        <f t="shared" si="0"/>
        <v>0.55437795532365886</v>
      </c>
      <c r="AK13" s="8">
        <f t="shared" si="0"/>
        <v>1.6305233980107615E-2</v>
      </c>
    </row>
    <row r="14" spans="1:37" x14ac:dyDescent="0.25">
      <c r="A14" s="17"/>
      <c r="B14" t="s">
        <v>21</v>
      </c>
      <c r="C14" s="1">
        <v>4801</v>
      </c>
      <c r="D14" s="1">
        <v>127</v>
      </c>
      <c r="E14">
        <v>47</v>
      </c>
      <c r="F14" s="1">
        <v>118</v>
      </c>
      <c r="G14" s="1">
        <v>26</v>
      </c>
      <c r="H14" s="5">
        <v>18</v>
      </c>
      <c r="I14">
        <v>4</v>
      </c>
      <c r="J14">
        <v>15</v>
      </c>
      <c r="K14">
        <v>1</v>
      </c>
      <c r="L14">
        <v>131</v>
      </c>
      <c r="M14">
        <v>49</v>
      </c>
      <c r="N14">
        <v>118</v>
      </c>
      <c r="O14">
        <v>145</v>
      </c>
      <c r="P14">
        <v>19</v>
      </c>
      <c r="Q14">
        <v>4</v>
      </c>
      <c r="R14">
        <v>17</v>
      </c>
      <c r="S14">
        <v>1</v>
      </c>
      <c r="V14" s="8">
        <f t="shared" si="0"/>
        <v>2.6452822328681522</v>
      </c>
      <c r="W14" s="8">
        <f t="shared" si="0"/>
        <v>0.97896271610081242</v>
      </c>
      <c r="X14" s="8">
        <f t="shared" si="0"/>
        <v>2.4578212872318268</v>
      </c>
      <c r="Y14" s="8">
        <f t="shared" si="0"/>
        <v>0.54155384294938558</v>
      </c>
      <c r="Z14" s="8">
        <f t="shared" si="0"/>
        <v>0.37492189127265152</v>
      </c>
      <c r="AA14" s="8">
        <f t="shared" si="0"/>
        <v>8.3315975838367001E-2</v>
      </c>
      <c r="AB14" s="8">
        <f t="shared" si="0"/>
        <v>0.3124349093938763</v>
      </c>
      <c r="AC14" s="8">
        <f t="shared" si="0"/>
        <v>2.082899395959175E-2</v>
      </c>
      <c r="AD14" s="8">
        <f t="shared" si="0"/>
        <v>2.7285982087065195</v>
      </c>
      <c r="AE14" s="8">
        <f t="shared" si="0"/>
        <v>1.0206207040199957</v>
      </c>
      <c r="AF14" s="8">
        <f t="shared" si="0"/>
        <v>2.4578212872318268</v>
      </c>
      <c r="AG14" s="8">
        <f t="shared" si="0"/>
        <v>3.020204124140804</v>
      </c>
      <c r="AH14" s="8">
        <f t="shared" si="0"/>
        <v>0.39575088523224322</v>
      </c>
      <c r="AI14" s="8">
        <f t="shared" si="0"/>
        <v>8.3315975838367001E-2</v>
      </c>
      <c r="AJ14" s="8">
        <f t="shared" si="0"/>
        <v>0.35409289731305976</v>
      </c>
      <c r="AK14" s="8">
        <f t="shared" si="0"/>
        <v>2.082899395959175E-2</v>
      </c>
    </row>
    <row r="15" spans="1:37" x14ac:dyDescent="0.25">
      <c r="A15" s="17"/>
      <c r="B15" t="s">
        <v>22</v>
      </c>
      <c r="C15" s="1">
        <v>7361</v>
      </c>
      <c r="D15" s="1">
        <v>125</v>
      </c>
      <c r="E15">
        <v>60</v>
      </c>
      <c r="F15" s="1">
        <v>176</v>
      </c>
      <c r="G15" s="1">
        <v>23</v>
      </c>
      <c r="H15" s="5">
        <v>10</v>
      </c>
      <c r="I15">
        <v>8</v>
      </c>
      <c r="J15">
        <v>32</v>
      </c>
      <c r="K15">
        <v>2</v>
      </c>
      <c r="L15">
        <v>127</v>
      </c>
      <c r="M15">
        <v>60</v>
      </c>
      <c r="N15">
        <v>177</v>
      </c>
      <c r="O15">
        <v>137</v>
      </c>
      <c r="P15">
        <v>12</v>
      </c>
      <c r="Q15">
        <v>10</v>
      </c>
      <c r="R15">
        <v>37</v>
      </c>
      <c r="S15">
        <v>3</v>
      </c>
      <c r="V15" s="8">
        <f t="shared" si="0"/>
        <v>1.6981388398315447</v>
      </c>
      <c r="W15" s="8">
        <f t="shared" si="0"/>
        <v>0.81510664311914138</v>
      </c>
      <c r="X15" s="8">
        <f t="shared" si="0"/>
        <v>2.3909794864828147</v>
      </c>
      <c r="Y15" s="8">
        <f t="shared" si="0"/>
        <v>0.3124575465290042</v>
      </c>
      <c r="Z15" s="8">
        <f t="shared" si="0"/>
        <v>0.13585110718652357</v>
      </c>
      <c r="AA15" s="8">
        <f t="shared" si="0"/>
        <v>0.10868088574921884</v>
      </c>
      <c r="AB15" s="8">
        <f t="shared" si="0"/>
        <v>0.43472354299687538</v>
      </c>
      <c r="AC15" s="8">
        <f t="shared" si="0"/>
        <v>2.7170221437304711E-2</v>
      </c>
      <c r="AD15" s="8">
        <f t="shared" si="0"/>
        <v>1.7253090612688493</v>
      </c>
      <c r="AE15" s="8">
        <f t="shared" si="0"/>
        <v>0.81510664311914138</v>
      </c>
      <c r="AF15" s="8">
        <f t="shared" si="0"/>
        <v>2.4045645972014671</v>
      </c>
      <c r="AG15" s="8">
        <f t="shared" si="0"/>
        <v>1.8611601684553729</v>
      </c>
      <c r="AH15" s="8">
        <f t="shared" si="0"/>
        <v>0.16302132862382829</v>
      </c>
      <c r="AI15" s="8">
        <f t="shared" si="0"/>
        <v>0.13585110718652357</v>
      </c>
      <c r="AJ15" s="8">
        <f t="shared" si="0"/>
        <v>0.50264909659013712</v>
      </c>
      <c r="AK15" s="8">
        <f t="shared" si="0"/>
        <v>4.0755332155957072E-2</v>
      </c>
    </row>
    <row r="16" spans="1:37" x14ac:dyDescent="0.25">
      <c r="A16" s="17"/>
      <c r="B16" t="s">
        <v>23</v>
      </c>
      <c r="C16" s="1">
        <v>5815</v>
      </c>
      <c r="D16" s="1">
        <v>136</v>
      </c>
      <c r="E16">
        <v>116</v>
      </c>
      <c r="F16" s="1">
        <v>174</v>
      </c>
      <c r="G16" s="1">
        <v>58</v>
      </c>
      <c r="H16" s="5">
        <v>18</v>
      </c>
      <c r="I16">
        <v>13</v>
      </c>
      <c r="J16">
        <v>38</v>
      </c>
      <c r="K16">
        <v>7</v>
      </c>
      <c r="L16">
        <v>139</v>
      </c>
      <c r="M16">
        <v>119</v>
      </c>
      <c r="N16">
        <v>178</v>
      </c>
      <c r="O16">
        <v>160</v>
      </c>
      <c r="P16">
        <v>21</v>
      </c>
      <c r="Q16">
        <v>16</v>
      </c>
      <c r="R16">
        <v>44</v>
      </c>
      <c r="S16">
        <v>9</v>
      </c>
      <c r="V16" s="8">
        <f t="shared" si="0"/>
        <v>2.3387790197764402</v>
      </c>
      <c r="W16" s="8">
        <f t="shared" si="0"/>
        <v>1.9948409286328461</v>
      </c>
      <c r="X16" s="8">
        <f t="shared" si="0"/>
        <v>2.9922613929492692</v>
      </c>
      <c r="Y16" s="8">
        <f t="shared" si="0"/>
        <v>0.99742046431642306</v>
      </c>
      <c r="Z16" s="8">
        <f t="shared" si="0"/>
        <v>0.30954428202923473</v>
      </c>
      <c r="AA16" s="8">
        <f t="shared" si="0"/>
        <v>0.22355975924333621</v>
      </c>
      <c r="AB16" s="8">
        <f t="shared" si="0"/>
        <v>0.65348237317282887</v>
      </c>
      <c r="AC16" s="8">
        <f t="shared" si="0"/>
        <v>0.12037833190025796</v>
      </c>
      <c r="AD16" s="8">
        <f t="shared" si="0"/>
        <v>2.3903697334479794</v>
      </c>
      <c r="AE16" s="8">
        <f t="shared" si="0"/>
        <v>2.0464316423043853</v>
      </c>
      <c r="AF16" s="8">
        <f t="shared" si="0"/>
        <v>3.061049011177988</v>
      </c>
      <c r="AG16" s="8">
        <f t="shared" si="0"/>
        <v>2.7515047291487531</v>
      </c>
      <c r="AH16" s="8">
        <f t="shared" si="0"/>
        <v>0.36113499570077384</v>
      </c>
      <c r="AI16" s="8">
        <f t="shared" si="0"/>
        <v>0.27515047291487532</v>
      </c>
      <c r="AJ16" s="8">
        <f t="shared" si="0"/>
        <v>0.7566638005159072</v>
      </c>
      <c r="AK16" s="8">
        <f t="shared" si="0"/>
        <v>0.15477214101461736</v>
      </c>
    </row>
    <row r="17" spans="1:37" x14ac:dyDescent="0.25">
      <c r="A17" s="17"/>
      <c r="B17" t="s">
        <v>24</v>
      </c>
      <c r="C17" s="1">
        <v>5299</v>
      </c>
      <c r="D17" s="1">
        <v>93</v>
      </c>
      <c r="E17">
        <v>53</v>
      </c>
      <c r="F17" s="1">
        <v>204</v>
      </c>
      <c r="G17" s="1">
        <v>30</v>
      </c>
      <c r="H17" s="5">
        <v>5</v>
      </c>
      <c r="I17">
        <v>5</v>
      </c>
      <c r="J17">
        <v>34</v>
      </c>
      <c r="K17">
        <v>3</v>
      </c>
      <c r="L17">
        <v>94</v>
      </c>
      <c r="M17">
        <v>55</v>
      </c>
      <c r="N17">
        <v>207</v>
      </c>
      <c r="O17">
        <v>103</v>
      </c>
      <c r="P17">
        <v>6</v>
      </c>
      <c r="Q17">
        <v>5</v>
      </c>
      <c r="R17">
        <v>41</v>
      </c>
      <c r="S17">
        <v>3</v>
      </c>
      <c r="V17" s="8">
        <f t="shared" si="0"/>
        <v>1.7550481222872241</v>
      </c>
      <c r="W17" s="8">
        <f t="shared" si="0"/>
        <v>1.0001887148518589</v>
      </c>
      <c r="X17" s="8">
        <f t="shared" si="0"/>
        <v>3.8497829779203623</v>
      </c>
      <c r="Y17" s="8">
        <f t="shared" si="0"/>
        <v>0.56614455557652388</v>
      </c>
      <c r="Z17" s="8">
        <f t="shared" si="0"/>
        <v>9.4357425929420646E-2</v>
      </c>
      <c r="AA17" s="8">
        <f t="shared" si="0"/>
        <v>9.4357425929420646E-2</v>
      </c>
      <c r="AB17" s="8">
        <f t="shared" si="0"/>
        <v>0.64163049632006042</v>
      </c>
      <c r="AC17" s="8">
        <f t="shared" si="0"/>
        <v>5.6614455557652391E-2</v>
      </c>
      <c r="AD17" s="8">
        <f t="shared" si="0"/>
        <v>1.7739196074731081</v>
      </c>
      <c r="AE17" s="8">
        <f t="shared" si="0"/>
        <v>1.0379316852236271</v>
      </c>
      <c r="AF17" s="8">
        <f t="shared" si="0"/>
        <v>3.9063974334780149</v>
      </c>
      <c r="AG17" s="8">
        <f t="shared" si="0"/>
        <v>1.9437629741460651</v>
      </c>
      <c r="AH17" s="8">
        <f t="shared" si="0"/>
        <v>0.11322891111530478</v>
      </c>
      <c r="AI17" s="8">
        <f t="shared" si="0"/>
        <v>9.4357425929420646E-2</v>
      </c>
      <c r="AJ17" s="8">
        <f t="shared" si="0"/>
        <v>0.77373089262124928</v>
      </c>
      <c r="AK17" s="8">
        <f t="shared" si="0"/>
        <v>5.6614455557652391E-2</v>
      </c>
    </row>
    <row r="18" spans="1:37" x14ac:dyDescent="0.25">
      <c r="A18" s="17"/>
      <c r="B18" t="s">
        <v>25</v>
      </c>
      <c r="C18" s="1">
        <v>6923</v>
      </c>
      <c r="D18" s="1">
        <v>154</v>
      </c>
      <c r="E18">
        <v>68</v>
      </c>
      <c r="F18" s="1">
        <v>171</v>
      </c>
      <c r="G18" s="1">
        <v>36</v>
      </c>
      <c r="H18" s="5">
        <v>28</v>
      </c>
      <c r="I18">
        <v>12</v>
      </c>
      <c r="J18">
        <v>36</v>
      </c>
      <c r="K18">
        <v>8</v>
      </c>
      <c r="L18">
        <v>155</v>
      </c>
      <c r="M18">
        <v>69</v>
      </c>
      <c r="N18">
        <v>173</v>
      </c>
      <c r="O18">
        <v>173</v>
      </c>
      <c r="P18">
        <v>33</v>
      </c>
      <c r="Q18">
        <v>15</v>
      </c>
      <c r="R18">
        <v>51</v>
      </c>
      <c r="S18">
        <v>11</v>
      </c>
      <c r="V18" s="8">
        <f t="shared" si="0"/>
        <v>2.2244691607684528</v>
      </c>
      <c r="W18" s="8">
        <f t="shared" si="0"/>
        <v>0.9822331359237324</v>
      </c>
      <c r="X18" s="8">
        <f t="shared" si="0"/>
        <v>2.4700274447493862</v>
      </c>
      <c r="Y18" s="8">
        <f t="shared" si="0"/>
        <v>0.52000577784197599</v>
      </c>
      <c r="Z18" s="8">
        <f t="shared" si="0"/>
        <v>0.40444893832153694</v>
      </c>
      <c r="AA18" s="8">
        <f t="shared" si="0"/>
        <v>0.17333525928065865</v>
      </c>
      <c r="AB18" s="8">
        <f t="shared" si="0"/>
        <v>0.52000577784197599</v>
      </c>
      <c r="AC18" s="8">
        <f t="shared" si="0"/>
        <v>0.11555683952043912</v>
      </c>
      <c r="AD18" s="8">
        <f t="shared" si="0"/>
        <v>2.2389137657085079</v>
      </c>
      <c r="AE18" s="8">
        <f t="shared" si="0"/>
        <v>0.99667774086378735</v>
      </c>
      <c r="AF18" s="8">
        <f t="shared" si="0"/>
        <v>2.4989166546294959</v>
      </c>
      <c r="AG18" s="8">
        <f t="shared" si="0"/>
        <v>2.4989166546294959</v>
      </c>
      <c r="AH18" s="8">
        <f t="shared" si="0"/>
        <v>0.47667196302181136</v>
      </c>
      <c r="AI18" s="8">
        <f t="shared" si="0"/>
        <v>0.21666907410082334</v>
      </c>
      <c r="AJ18" s="8">
        <f t="shared" si="0"/>
        <v>0.73667485194279936</v>
      </c>
      <c r="AK18" s="8">
        <f t="shared" ref="AK18:AK81" si="1">(S18/$C18)*100</f>
        <v>0.15889065434060379</v>
      </c>
    </row>
    <row r="19" spans="1:37" x14ac:dyDescent="0.25">
      <c r="A19" s="17"/>
      <c r="B19" t="s">
        <v>26</v>
      </c>
      <c r="C19" s="1">
        <v>5735</v>
      </c>
      <c r="D19" s="1">
        <v>87</v>
      </c>
      <c r="E19">
        <v>93</v>
      </c>
      <c r="F19" s="1">
        <v>385</v>
      </c>
      <c r="G19" s="1">
        <v>71</v>
      </c>
      <c r="H19" s="5">
        <v>5</v>
      </c>
      <c r="I19">
        <v>4</v>
      </c>
      <c r="J19">
        <v>24</v>
      </c>
      <c r="K19">
        <v>4</v>
      </c>
      <c r="L19">
        <v>88</v>
      </c>
      <c r="M19">
        <v>94</v>
      </c>
      <c r="N19">
        <v>390</v>
      </c>
      <c r="O19">
        <v>108</v>
      </c>
      <c r="P19">
        <v>6</v>
      </c>
      <c r="Q19">
        <v>5</v>
      </c>
      <c r="R19">
        <v>28</v>
      </c>
      <c r="S19">
        <v>5</v>
      </c>
      <c r="V19" s="8">
        <f t="shared" ref="V19:AJ35" si="2">(D19/$C19)*100</f>
        <v>1.5170008718395815</v>
      </c>
      <c r="W19" s="8">
        <f t="shared" si="2"/>
        <v>1.6216216216216217</v>
      </c>
      <c r="X19" s="8">
        <f t="shared" si="2"/>
        <v>6.7131647776809062</v>
      </c>
      <c r="Y19" s="8">
        <f t="shared" si="2"/>
        <v>1.2380122057541414</v>
      </c>
      <c r="Z19" s="8">
        <f t="shared" si="2"/>
        <v>8.7183958151700089E-2</v>
      </c>
      <c r="AA19" s="8">
        <f t="shared" si="2"/>
        <v>6.9747166521360079E-2</v>
      </c>
      <c r="AB19" s="8">
        <f t="shared" si="2"/>
        <v>0.41848299912816039</v>
      </c>
      <c r="AC19" s="8">
        <f t="shared" si="2"/>
        <v>6.9747166521360079E-2</v>
      </c>
      <c r="AD19" s="8">
        <f t="shared" si="2"/>
        <v>1.5344376634699215</v>
      </c>
      <c r="AE19" s="8">
        <f t="shared" si="2"/>
        <v>1.6390584132519617</v>
      </c>
      <c r="AF19" s="8">
        <f t="shared" si="2"/>
        <v>6.8003487358326069</v>
      </c>
      <c r="AG19" s="8">
        <f t="shared" si="2"/>
        <v>1.8831734960767219</v>
      </c>
      <c r="AH19" s="8">
        <f t="shared" si="2"/>
        <v>0.1046207497820401</v>
      </c>
      <c r="AI19" s="8">
        <f t="shared" si="2"/>
        <v>8.7183958151700089E-2</v>
      </c>
      <c r="AJ19" s="8">
        <f t="shared" si="2"/>
        <v>0.48823016564952049</v>
      </c>
      <c r="AK19" s="8">
        <f t="shared" si="1"/>
        <v>8.7183958151700089E-2</v>
      </c>
    </row>
    <row r="20" spans="1:37" x14ac:dyDescent="0.25">
      <c r="A20" s="17"/>
      <c r="B20" t="s">
        <v>27</v>
      </c>
      <c r="C20" s="1">
        <v>5931</v>
      </c>
      <c r="D20" s="1">
        <v>115</v>
      </c>
      <c r="E20">
        <v>72</v>
      </c>
      <c r="F20" s="1">
        <v>136</v>
      </c>
      <c r="G20" s="1">
        <v>24</v>
      </c>
      <c r="H20" s="5">
        <v>7</v>
      </c>
      <c r="I20">
        <v>5</v>
      </c>
      <c r="J20">
        <v>17</v>
      </c>
      <c r="K20">
        <v>0</v>
      </c>
      <c r="L20">
        <v>118</v>
      </c>
      <c r="M20">
        <v>72</v>
      </c>
      <c r="N20">
        <v>136</v>
      </c>
      <c r="O20">
        <v>126</v>
      </c>
      <c r="P20">
        <v>7</v>
      </c>
      <c r="Q20">
        <v>5</v>
      </c>
      <c r="R20">
        <v>17</v>
      </c>
      <c r="S20">
        <v>0</v>
      </c>
      <c r="V20" s="8">
        <f t="shared" si="2"/>
        <v>1.9389647614230316</v>
      </c>
      <c r="W20" s="8">
        <f t="shared" si="2"/>
        <v>1.2139605462822458</v>
      </c>
      <c r="X20" s="8">
        <f t="shared" si="2"/>
        <v>2.2930365874220198</v>
      </c>
      <c r="Y20" s="8">
        <f t="shared" si="2"/>
        <v>0.40465351542741529</v>
      </c>
      <c r="Z20" s="8">
        <f t="shared" si="2"/>
        <v>0.11802394199966278</v>
      </c>
      <c r="AA20" s="8">
        <f t="shared" si="2"/>
        <v>8.430281571404484E-2</v>
      </c>
      <c r="AB20" s="8">
        <f t="shared" si="2"/>
        <v>0.28662957342775247</v>
      </c>
      <c r="AC20" s="8">
        <f t="shared" si="2"/>
        <v>0</v>
      </c>
      <c r="AD20" s="8">
        <f t="shared" si="2"/>
        <v>1.9895464508514582</v>
      </c>
      <c r="AE20" s="8">
        <f t="shared" si="2"/>
        <v>1.2139605462822458</v>
      </c>
      <c r="AF20" s="8">
        <f t="shared" si="2"/>
        <v>2.2930365874220198</v>
      </c>
      <c r="AG20" s="8">
        <f t="shared" si="2"/>
        <v>2.1244309559939301</v>
      </c>
      <c r="AH20" s="8">
        <f t="shared" si="2"/>
        <v>0.11802394199966278</v>
      </c>
      <c r="AI20" s="8">
        <f t="shared" si="2"/>
        <v>8.430281571404484E-2</v>
      </c>
      <c r="AJ20" s="8">
        <f t="shared" si="2"/>
        <v>0.28662957342775247</v>
      </c>
      <c r="AK20" s="8">
        <f t="shared" si="1"/>
        <v>0</v>
      </c>
    </row>
    <row r="21" spans="1:37" x14ac:dyDescent="0.25">
      <c r="A21" s="17" t="s">
        <v>62</v>
      </c>
      <c r="B21" t="s">
        <v>19</v>
      </c>
      <c r="C21" s="1">
        <v>7403</v>
      </c>
      <c r="D21" s="1">
        <v>160</v>
      </c>
      <c r="E21">
        <v>78</v>
      </c>
      <c r="F21" s="1">
        <v>160</v>
      </c>
      <c r="G21" s="1">
        <v>31</v>
      </c>
      <c r="H21" s="5">
        <v>8</v>
      </c>
      <c r="I21">
        <v>1</v>
      </c>
      <c r="J21">
        <v>12</v>
      </c>
      <c r="K21">
        <v>0</v>
      </c>
      <c r="L21">
        <v>162</v>
      </c>
      <c r="M21">
        <v>78</v>
      </c>
      <c r="N21">
        <v>162</v>
      </c>
      <c r="O21">
        <v>175</v>
      </c>
      <c r="P21">
        <v>9</v>
      </c>
      <c r="Q21">
        <v>1</v>
      </c>
      <c r="R21">
        <v>13</v>
      </c>
      <c r="S21">
        <v>0</v>
      </c>
      <c r="V21" s="9">
        <f t="shared" si="2"/>
        <v>2.161285965149264</v>
      </c>
      <c r="W21" s="9">
        <f t="shared" si="2"/>
        <v>1.053626908010266</v>
      </c>
      <c r="X21" s="9">
        <f t="shared" si="2"/>
        <v>2.161285965149264</v>
      </c>
      <c r="Y21" s="9">
        <f t="shared" si="2"/>
        <v>0.4187491557476698</v>
      </c>
      <c r="Z21" s="9">
        <f t="shared" si="2"/>
        <v>0.10806429825746318</v>
      </c>
      <c r="AA21" s="9">
        <f t="shared" si="2"/>
        <v>1.3508037282182897E-2</v>
      </c>
      <c r="AB21" s="9">
        <f t="shared" si="2"/>
        <v>0.16209644738619478</v>
      </c>
      <c r="AC21" s="9">
        <f t="shared" si="2"/>
        <v>0</v>
      </c>
      <c r="AD21" s="9">
        <f t="shared" si="2"/>
        <v>2.1883020397136295</v>
      </c>
      <c r="AE21" s="9">
        <f t="shared" si="2"/>
        <v>1.053626908010266</v>
      </c>
      <c r="AF21" s="9">
        <f t="shared" si="2"/>
        <v>2.1883020397136295</v>
      </c>
      <c r="AG21" s="9">
        <f t="shared" si="2"/>
        <v>2.3639065243820072</v>
      </c>
      <c r="AH21" s="9">
        <f t="shared" si="2"/>
        <v>0.1215723355396461</v>
      </c>
      <c r="AI21" s="9">
        <f t="shared" si="2"/>
        <v>1.3508037282182897E-2</v>
      </c>
      <c r="AJ21" s="9">
        <f t="shared" si="2"/>
        <v>0.17560448466837769</v>
      </c>
      <c r="AK21" s="9">
        <f t="shared" si="1"/>
        <v>0</v>
      </c>
    </row>
    <row r="22" spans="1:37" x14ac:dyDescent="0.25">
      <c r="A22" s="17"/>
      <c r="B22" t="s">
        <v>20</v>
      </c>
      <c r="C22" s="1">
        <v>6133</v>
      </c>
      <c r="D22" s="1">
        <v>108</v>
      </c>
      <c r="E22">
        <v>46</v>
      </c>
      <c r="F22" s="1">
        <v>110</v>
      </c>
      <c r="G22" s="1">
        <v>12</v>
      </c>
      <c r="H22" s="5">
        <v>14</v>
      </c>
      <c r="I22">
        <v>7</v>
      </c>
      <c r="J22">
        <v>28</v>
      </c>
      <c r="K22">
        <v>1</v>
      </c>
      <c r="L22">
        <v>110</v>
      </c>
      <c r="M22">
        <v>48</v>
      </c>
      <c r="N22">
        <v>110</v>
      </c>
      <c r="O22">
        <v>115</v>
      </c>
      <c r="P22">
        <v>16</v>
      </c>
      <c r="Q22">
        <v>7</v>
      </c>
      <c r="R22">
        <v>34</v>
      </c>
      <c r="S22">
        <v>1</v>
      </c>
      <c r="V22" s="9">
        <f t="shared" si="2"/>
        <v>1.7609652698516225</v>
      </c>
      <c r="W22" s="9">
        <f t="shared" si="2"/>
        <v>0.75004076308495027</v>
      </c>
      <c r="X22" s="9">
        <f t="shared" si="2"/>
        <v>1.7935757378118378</v>
      </c>
      <c r="Y22" s="9">
        <f t="shared" si="2"/>
        <v>0.19566280776129136</v>
      </c>
      <c r="Z22" s="9">
        <f t="shared" si="2"/>
        <v>0.22827327572150663</v>
      </c>
      <c r="AA22" s="9">
        <f t="shared" si="2"/>
        <v>0.11413663786075331</v>
      </c>
      <c r="AB22" s="9">
        <f t="shared" si="2"/>
        <v>0.45654655144301326</v>
      </c>
      <c r="AC22" s="9">
        <f t="shared" si="2"/>
        <v>1.6305233980107615E-2</v>
      </c>
      <c r="AD22" s="9">
        <f t="shared" si="2"/>
        <v>1.7935757378118378</v>
      </c>
      <c r="AE22" s="9">
        <f t="shared" si="2"/>
        <v>0.78265123104516543</v>
      </c>
      <c r="AF22" s="9">
        <f t="shared" si="2"/>
        <v>1.7935757378118378</v>
      </c>
      <c r="AG22" s="9">
        <f t="shared" si="2"/>
        <v>1.8751019077123756</v>
      </c>
      <c r="AH22" s="9">
        <f t="shared" si="2"/>
        <v>0.26088374368172185</v>
      </c>
      <c r="AI22" s="9">
        <f t="shared" si="2"/>
        <v>0.11413663786075331</v>
      </c>
      <c r="AJ22" s="9">
        <f t="shared" si="2"/>
        <v>0.55437795532365886</v>
      </c>
      <c r="AK22" s="9">
        <f t="shared" si="1"/>
        <v>1.6305233980107615E-2</v>
      </c>
    </row>
    <row r="23" spans="1:37" x14ac:dyDescent="0.25">
      <c r="A23" s="17"/>
      <c r="B23" t="s">
        <v>21</v>
      </c>
      <c r="C23" s="1">
        <v>4801</v>
      </c>
      <c r="D23" s="1">
        <v>127</v>
      </c>
      <c r="E23">
        <v>47</v>
      </c>
      <c r="F23" s="1">
        <v>118</v>
      </c>
      <c r="G23" s="1">
        <v>26</v>
      </c>
      <c r="H23" s="5">
        <v>18</v>
      </c>
      <c r="I23">
        <v>4</v>
      </c>
      <c r="J23">
        <v>15</v>
      </c>
      <c r="K23">
        <v>1</v>
      </c>
      <c r="L23">
        <v>131</v>
      </c>
      <c r="M23">
        <v>49</v>
      </c>
      <c r="N23">
        <v>118</v>
      </c>
      <c r="O23">
        <v>145</v>
      </c>
      <c r="P23">
        <v>19</v>
      </c>
      <c r="Q23">
        <v>4</v>
      </c>
      <c r="R23">
        <v>17</v>
      </c>
      <c r="S23">
        <v>1</v>
      </c>
      <c r="V23" s="9">
        <f t="shared" si="2"/>
        <v>2.6452822328681522</v>
      </c>
      <c r="W23" s="9">
        <f t="shared" si="2"/>
        <v>0.97896271610081242</v>
      </c>
      <c r="X23" s="9">
        <f t="shared" si="2"/>
        <v>2.4578212872318268</v>
      </c>
      <c r="Y23" s="9">
        <f t="shared" si="2"/>
        <v>0.54155384294938558</v>
      </c>
      <c r="Z23" s="9">
        <f t="shared" si="2"/>
        <v>0.37492189127265152</v>
      </c>
      <c r="AA23" s="9">
        <f t="shared" si="2"/>
        <v>8.3315975838367001E-2</v>
      </c>
      <c r="AB23" s="9">
        <f t="shared" si="2"/>
        <v>0.3124349093938763</v>
      </c>
      <c r="AC23" s="9">
        <f t="shared" si="2"/>
        <v>2.082899395959175E-2</v>
      </c>
      <c r="AD23" s="9">
        <f t="shared" si="2"/>
        <v>2.7285982087065195</v>
      </c>
      <c r="AE23" s="9">
        <f t="shared" si="2"/>
        <v>1.0206207040199957</v>
      </c>
      <c r="AF23" s="9">
        <f t="shared" si="2"/>
        <v>2.4578212872318268</v>
      </c>
      <c r="AG23" s="9">
        <f t="shared" si="2"/>
        <v>3.020204124140804</v>
      </c>
      <c r="AH23" s="9">
        <f t="shared" si="2"/>
        <v>0.39575088523224322</v>
      </c>
      <c r="AI23" s="9">
        <f t="shared" si="2"/>
        <v>8.3315975838367001E-2</v>
      </c>
      <c r="AJ23" s="9">
        <f t="shared" si="2"/>
        <v>0.35409289731305976</v>
      </c>
      <c r="AK23" s="9">
        <f t="shared" si="1"/>
        <v>2.082899395959175E-2</v>
      </c>
    </row>
    <row r="24" spans="1:37" x14ac:dyDescent="0.25">
      <c r="A24" s="17"/>
      <c r="B24" t="s">
        <v>22</v>
      </c>
      <c r="C24" s="1">
        <v>7361</v>
      </c>
      <c r="D24" s="1">
        <v>125</v>
      </c>
      <c r="E24">
        <v>60</v>
      </c>
      <c r="F24" s="1">
        <v>176</v>
      </c>
      <c r="G24" s="1">
        <v>23</v>
      </c>
      <c r="H24" s="5">
        <v>10</v>
      </c>
      <c r="I24">
        <v>8</v>
      </c>
      <c r="J24">
        <v>32</v>
      </c>
      <c r="K24">
        <v>2</v>
      </c>
      <c r="L24">
        <v>127</v>
      </c>
      <c r="M24">
        <v>60</v>
      </c>
      <c r="N24">
        <v>177</v>
      </c>
      <c r="O24">
        <v>137</v>
      </c>
      <c r="P24">
        <v>12</v>
      </c>
      <c r="Q24">
        <v>10</v>
      </c>
      <c r="R24">
        <v>37</v>
      </c>
      <c r="S24">
        <v>3</v>
      </c>
      <c r="V24" s="9">
        <f t="shared" si="2"/>
        <v>1.6981388398315447</v>
      </c>
      <c r="W24" s="9">
        <f t="shared" si="2"/>
        <v>0.81510664311914138</v>
      </c>
      <c r="X24" s="9">
        <f t="shared" si="2"/>
        <v>2.3909794864828147</v>
      </c>
      <c r="Y24" s="9">
        <f t="shared" si="2"/>
        <v>0.3124575465290042</v>
      </c>
      <c r="Z24" s="9">
        <f t="shared" si="2"/>
        <v>0.13585110718652357</v>
      </c>
      <c r="AA24" s="9">
        <f t="shared" si="2"/>
        <v>0.10868088574921884</v>
      </c>
      <c r="AB24" s="9">
        <f t="shared" si="2"/>
        <v>0.43472354299687538</v>
      </c>
      <c r="AC24" s="9">
        <f t="shared" si="2"/>
        <v>2.7170221437304711E-2</v>
      </c>
      <c r="AD24" s="9">
        <f t="shared" si="2"/>
        <v>1.7253090612688493</v>
      </c>
      <c r="AE24" s="9">
        <f t="shared" si="2"/>
        <v>0.81510664311914138</v>
      </c>
      <c r="AF24" s="9">
        <f t="shared" si="2"/>
        <v>2.4045645972014671</v>
      </c>
      <c r="AG24" s="9">
        <f t="shared" si="2"/>
        <v>1.8611601684553729</v>
      </c>
      <c r="AH24" s="9">
        <f t="shared" si="2"/>
        <v>0.16302132862382829</v>
      </c>
      <c r="AI24" s="9">
        <f t="shared" si="2"/>
        <v>0.13585110718652357</v>
      </c>
      <c r="AJ24" s="9">
        <f t="shared" si="2"/>
        <v>0.50264909659013712</v>
      </c>
      <c r="AK24" s="9">
        <f t="shared" si="1"/>
        <v>4.0755332155957072E-2</v>
      </c>
    </row>
    <row r="25" spans="1:37" x14ac:dyDescent="0.25">
      <c r="A25" s="17"/>
      <c r="B25" t="s">
        <v>23</v>
      </c>
      <c r="C25" s="1">
        <v>5815</v>
      </c>
      <c r="D25" s="1">
        <v>136</v>
      </c>
      <c r="E25">
        <v>116</v>
      </c>
      <c r="F25" s="1">
        <v>174</v>
      </c>
      <c r="G25" s="1">
        <v>58</v>
      </c>
      <c r="H25" s="5">
        <v>18</v>
      </c>
      <c r="I25">
        <v>13</v>
      </c>
      <c r="J25">
        <v>38</v>
      </c>
      <c r="K25">
        <v>7</v>
      </c>
      <c r="L25">
        <v>139</v>
      </c>
      <c r="M25">
        <v>119</v>
      </c>
      <c r="N25">
        <v>178</v>
      </c>
      <c r="O25">
        <v>160</v>
      </c>
      <c r="P25">
        <v>21</v>
      </c>
      <c r="Q25">
        <v>16</v>
      </c>
      <c r="R25">
        <v>44</v>
      </c>
      <c r="S25">
        <v>9</v>
      </c>
      <c r="V25" s="9">
        <f t="shared" si="2"/>
        <v>2.3387790197764402</v>
      </c>
      <c r="W25" s="9">
        <f t="shared" si="2"/>
        <v>1.9948409286328461</v>
      </c>
      <c r="X25" s="9">
        <f t="shared" si="2"/>
        <v>2.9922613929492692</v>
      </c>
      <c r="Y25" s="9">
        <f t="shared" si="2"/>
        <v>0.99742046431642306</v>
      </c>
      <c r="Z25" s="9">
        <f t="shared" si="2"/>
        <v>0.30954428202923473</v>
      </c>
      <c r="AA25" s="9">
        <f t="shared" si="2"/>
        <v>0.22355975924333621</v>
      </c>
      <c r="AB25" s="9">
        <f t="shared" si="2"/>
        <v>0.65348237317282887</v>
      </c>
      <c r="AC25" s="9">
        <f t="shared" si="2"/>
        <v>0.12037833190025796</v>
      </c>
      <c r="AD25" s="9">
        <f t="shared" si="2"/>
        <v>2.3903697334479794</v>
      </c>
      <c r="AE25" s="9">
        <f t="shared" si="2"/>
        <v>2.0464316423043853</v>
      </c>
      <c r="AF25" s="9">
        <f t="shared" si="2"/>
        <v>3.061049011177988</v>
      </c>
      <c r="AG25" s="9">
        <f t="shared" si="2"/>
        <v>2.7515047291487531</v>
      </c>
      <c r="AH25" s="9">
        <f t="shared" si="2"/>
        <v>0.36113499570077384</v>
      </c>
      <c r="AI25" s="9">
        <f t="shared" si="2"/>
        <v>0.27515047291487532</v>
      </c>
      <c r="AJ25" s="9">
        <f t="shared" si="2"/>
        <v>0.7566638005159072</v>
      </c>
      <c r="AK25" s="9">
        <f t="shared" si="1"/>
        <v>0.15477214101461736</v>
      </c>
    </row>
    <row r="26" spans="1:37" x14ac:dyDescent="0.25">
      <c r="A26" s="17"/>
      <c r="B26" t="s">
        <v>24</v>
      </c>
      <c r="C26" s="1">
        <v>5299</v>
      </c>
      <c r="D26" s="1">
        <v>93</v>
      </c>
      <c r="E26">
        <v>53</v>
      </c>
      <c r="F26" s="1">
        <v>204</v>
      </c>
      <c r="G26" s="1">
        <v>30</v>
      </c>
      <c r="H26" s="5">
        <v>5</v>
      </c>
      <c r="I26">
        <v>5</v>
      </c>
      <c r="J26">
        <v>34</v>
      </c>
      <c r="K26">
        <v>3</v>
      </c>
      <c r="L26">
        <v>94</v>
      </c>
      <c r="M26">
        <v>55</v>
      </c>
      <c r="N26">
        <v>207</v>
      </c>
      <c r="O26">
        <v>103</v>
      </c>
      <c r="P26">
        <v>6</v>
      </c>
      <c r="Q26">
        <v>5</v>
      </c>
      <c r="R26">
        <v>41</v>
      </c>
      <c r="S26">
        <v>3</v>
      </c>
      <c r="V26" s="9">
        <f t="shared" si="2"/>
        <v>1.7550481222872241</v>
      </c>
      <c r="W26" s="9">
        <f t="shared" si="2"/>
        <v>1.0001887148518589</v>
      </c>
      <c r="X26" s="9">
        <f t="shared" si="2"/>
        <v>3.8497829779203623</v>
      </c>
      <c r="Y26" s="9">
        <f t="shared" si="2"/>
        <v>0.56614455557652388</v>
      </c>
      <c r="Z26" s="9">
        <f t="shared" si="2"/>
        <v>9.4357425929420646E-2</v>
      </c>
      <c r="AA26" s="9">
        <f t="shared" si="2"/>
        <v>9.4357425929420646E-2</v>
      </c>
      <c r="AB26" s="9">
        <f t="shared" si="2"/>
        <v>0.64163049632006042</v>
      </c>
      <c r="AC26" s="9">
        <f t="shared" si="2"/>
        <v>5.6614455557652391E-2</v>
      </c>
      <c r="AD26" s="9">
        <f t="shared" si="2"/>
        <v>1.7739196074731081</v>
      </c>
      <c r="AE26" s="9">
        <f t="shared" si="2"/>
        <v>1.0379316852236271</v>
      </c>
      <c r="AF26" s="9">
        <f t="shared" si="2"/>
        <v>3.9063974334780149</v>
      </c>
      <c r="AG26" s="9">
        <f t="shared" si="2"/>
        <v>1.9437629741460651</v>
      </c>
      <c r="AH26" s="9">
        <f t="shared" si="2"/>
        <v>0.11322891111530478</v>
      </c>
      <c r="AI26" s="9">
        <f t="shared" si="2"/>
        <v>9.4357425929420646E-2</v>
      </c>
      <c r="AJ26" s="9">
        <f t="shared" si="2"/>
        <v>0.77373089262124928</v>
      </c>
      <c r="AK26" s="9">
        <f t="shared" si="1"/>
        <v>5.6614455557652391E-2</v>
      </c>
    </row>
    <row r="27" spans="1:37" x14ac:dyDescent="0.25">
      <c r="A27" s="17"/>
      <c r="B27" t="s">
        <v>25</v>
      </c>
      <c r="C27" s="1">
        <v>6923</v>
      </c>
      <c r="D27" s="1">
        <v>154</v>
      </c>
      <c r="E27">
        <v>68</v>
      </c>
      <c r="F27" s="1">
        <v>171</v>
      </c>
      <c r="G27" s="1">
        <v>36</v>
      </c>
      <c r="H27" s="5">
        <v>28</v>
      </c>
      <c r="I27">
        <v>12</v>
      </c>
      <c r="J27">
        <v>36</v>
      </c>
      <c r="K27">
        <v>8</v>
      </c>
      <c r="L27">
        <v>155</v>
      </c>
      <c r="M27">
        <v>69</v>
      </c>
      <c r="N27">
        <v>173</v>
      </c>
      <c r="O27">
        <v>173</v>
      </c>
      <c r="P27">
        <v>33</v>
      </c>
      <c r="Q27">
        <v>15</v>
      </c>
      <c r="R27">
        <v>51</v>
      </c>
      <c r="S27">
        <v>11</v>
      </c>
      <c r="V27" s="9">
        <f t="shared" si="2"/>
        <v>2.2244691607684528</v>
      </c>
      <c r="W27" s="9">
        <f t="shared" si="2"/>
        <v>0.9822331359237324</v>
      </c>
      <c r="X27" s="9">
        <f t="shared" si="2"/>
        <v>2.4700274447493862</v>
      </c>
      <c r="Y27" s="9">
        <f t="shared" si="2"/>
        <v>0.52000577784197599</v>
      </c>
      <c r="Z27" s="9">
        <f t="shared" si="2"/>
        <v>0.40444893832153694</v>
      </c>
      <c r="AA27" s="9">
        <f t="shared" si="2"/>
        <v>0.17333525928065865</v>
      </c>
      <c r="AB27" s="9">
        <f t="shared" si="2"/>
        <v>0.52000577784197599</v>
      </c>
      <c r="AC27" s="9">
        <f t="shared" si="2"/>
        <v>0.11555683952043912</v>
      </c>
      <c r="AD27" s="9">
        <f t="shared" si="2"/>
        <v>2.2389137657085079</v>
      </c>
      <c r="AE27" s="9">
        <f t="shared" si="2"/>
        <v>0.99667774086378735</v>
      </c>
      <c r="AF27" s="9">
        <f t="shared" si="2"/>
        <v>2.4989166546294959</v>
      </c>
      <c r="AG27" s="9">
        <f t="shared" si="2"/>
        <v>2.4989166546294959</v>
      </c>
      <c r="AH27" s="9">
        <f t="shared" si="2"/>
        <v>0.47667196302181136</v>
      </c>
      <c r="AI27" s="9">
        <f t="shared" si="2"/>
        <v>0.21666907410082334</v>
      </c>
      <c r="AJ27" s="9">
        <f t="shared" si="2"/>
        <v>0.73667485194279936</v>
      </c>
      <c r="AK27" s="9">
        <f t="shared" si="1"/>
        <v>0.15889065434060379</v>
      </c>
    </row>
    <row r="28" spans="1:37" x14ac:dyDescent="0.25">
      <c r="A28" s="17"/>
      <c r="B28" t="s">
        <v>26</v>
      </c>
      <c r="C28" s="1">
        <v>5735</v>
      </c>
      <c r="D28" s="1">
        <v>87</v>
      </c>
      <c r="E28">
        <v>93</v>
      </c>
      <c r="F28" s="1">
        <v>385</v>
      </c>
      <c r="G28" s="1">
        <v>71</v>
      </c>
      <c r="H28" s="5">
        <v>5</v>
      </c>
      <c r="I28">
        <v>4</v>
      </c>
      <c r="J28">
        <v>24</v>
      </c>
      <c r="K28">
        <v>4</v>
      </c>
      <c r="L28">
        <v>88</v>
      </c>
      <c r="M28">
        <v>94</v>
      </c>
      <c r="N28">
        <v>390</v>
      </c>
      <c r="O28">
        <v>108</v>
      </c>
      <c r="P28">
        <v>6</v>
      </c>
      <c r="Q28">
        <v>5</v>
      </c>
      <c r="R28">
        <v>28</v>
      </c>
      <c r="S28">
        <v>5</v>
      </c>
      <c r="V28" s="9">
        <f t="shared" si="2"/>
        <v>1.5170008718395815</v>
      </c>
      <c r="W28" s="9">
        <f t="shared" si="2"/>
        <v>1.6216216216216217</v>
      </c>
      <c r="X28" s="9">
        <f t="shared" si="2"/>
        <v>6.7131647776809062</v>
      </c>
      <c r="Y28" s="9">
        <f t="shared" si="2"/>
        <v>1.2380122057541414</v>
      </c>
      <c r="Z28" s="9">
        <f t="shared" si="2"/>
        <v>8.7183958151700089E-2</v>
      </c>
      <c r="AA28" s="9">
        <f t="shared" si="2"/>
        <v>6.9747166521360079E-2</v>
      </c>
      <c r="AB28" s="9">
        <f t="shared" si="2"/>
        <v>0.41848299912816039</v>
      </c>
      <c r="AC28" s="9">
        <f t="shared" si="2"/>
        <v>6.9747166521360079E-2</v>
      </c>
      <c r="AD28" s="9">
        <f t="shared" si="2"/>
        <v>1.5344376634699215</v>
      </c>
      <c r="AE28" s="9">
        <f t="shared" si="2"/>
        <v>1.6390584132519617</v>
      </c>
      <c r="AF28" s="9">
        <f t="shared" si="2"/>
        <v>6.8003487358326069</v>
      </c>
      <c r="AG28" s="9">
        <f t="shared" si="2"/>
        <v>1.8831734960767219</v>
      </c>
      <c r="AH28" s="9">
        <f t="shared" si="2"/>
        <v>0.1046207497820401</v>
      </c>
      <c r="AI28" s="9">
        <f t="shared" si="2"/>
        <v>8.7183958151700089E-2</v>
      </c>
      <c r="AJ28" s="9">
        <f t="shared" si="2"/>
        <v>0.48823016564952049</v>
      </c>
      <c r="AK28" s="9">
        <f t="shared" si="1"/>
        <v>8.7183958151700089E-2</v>
      </c>
    </row>
    <row r="29" spans="1:37" x14ac:dyDescent="0.25">
      <c r="A29" s="17"/>
      <c r="B29" t="s">
        <v>27</v>
      </c>
      <c r="C29" s="1">
        <v>5931</v>
      </c>
      <c r="D29" s="1">
        <v>115</v>
      </c>
      <c r="E29">
        <v>72</v>
      </c>
      <c r="F29" s="1">
        <v>136</v>
      </c>
      <c r="G29" s="1">
        <v>24</v>
      </c>
      <c r="H29" s="5">
        <v>7</v>
      </c>
      <c r="I29">
        <v>5</v>
      </c>
      <c r="J29">
        <v>17</v>
      </c>
      <c r="K29">
        <v>0</v>
      </c>
      <c r="L29">
        <v>118</v>
      </c>
      <c r="M29">
        <v>72</v>
      </c>
      <c r="N29">
        <v>136</v>
      </c>
      <c r="O29">
        <v>126</v>
      </c>
      <c r="P29">
        <v>7</v>
      </c>
      <c r="Q29">
        <v>5</v>
      </c>
      <c r="R29">
        <v>17</v>
      </c>
      <c r="S29">
        <v>0</v>
      </c>
      <c r="V29" s="9">
        <f t="shared" si="2"/>
        <v>1.9389647614230316</v>
      </c>
      <c r="W29" s="9">
        <f t="shared" si="2"/>
        <v>1.2139605462822458</v>
      </c>
      <c r="X29" s="9">
        <f t="shared" si="2"/>
        <v>2.2930365874220198</v>
      </c>
      <c r="Y29" s="9">
        <f t="shared" si="2"/>
        <v>0.40465351542741529</v>
      </c>
      <c r="Z29" s="9">
        <f t="shared" si="2"/>
        <v>0.11802394199966278</v>
      </c>
      <c r="AA29" s="9">
        <f t="shared" si="2"/>
        <v>8.430281571404484E-2</v>
      </c>
      <c r="AB29" s="9">
        <f t="shared" si="2"/>
        <v>0.28662957342775247</v>
      </c>
      <c r="AC29" s="9">
        <f t="shared" si="2"/>
        <v>0</v>
      </c>
      <c r="AD29" s="9">
        <f t="shared" si="2"/>
        <v>1.9895464508514582</v>
      </c>
      <c r="AE29" s="9">
        <f t="shared" si="2"/>
        <v>1.2139605462822458</v>
      </c>
      <c r="AF29" s="9">
        <f t="shared" si="2"/>
        <v>2.2930365874220198</v>
      </c>
      <c r="AG29" s="9">
        <f t="shared" si="2"/>
        <v>2.1244309559939301</v>
      </c>
      <c r="AH29" s="9">
        <f t="shared" si="2"/>
        <v>0.11802394199966278</v>
      </c>
      <c r="AI29" s="9">
        <f t="shared" si="2"/>
        <v>8.430281571404484E-2</v>
      </c>
      <c r="AJ29" s="9">
        <f t="shared" si="2"/>
        <v>0.28662957342775247</v>
      </c>
      <c r="AK29" s="9">
        <f t="shared" si="1"/>
        <v>0</v>
      </c>
    </row>
    <row r="30" spans="1:37" x14ac:dyDescent="0.25">
      <c r="A30" s="17" t="s">
        <v>0</v>
      </c>
      <c r="B30" t="s">
        <v>28</v>
      </c>
      <c r="C30" s="1">
        <v>5459</v>
      </c>
      <c r="D30" s="1">
        <v>58</v>
      </c>
      <c r="E30">
        <v>38</v>
      </c>
      <c r="F30" s="1">
        <v>194</v>
      </c>
      <c r="G30" s="1">
        <v>16</v>
      </c>
      <c r="H30" s="5">
        <v>11</v>
      </c>
      <c r="I30">
        <v>4</v>
      </c>
      <c r="J30">
        <v>60</v>
      </c>
      <c r="K30">
        <v>3</v>
      </c>
      <c r="L30">
        <v>60</v>
      </c>
      <c r="M30">
        <v>38</v>
      </c>
      <c r="N30">
        <v>194</v>
      </c>
      <c r="O30">
        <v>68</v>
      </c>
      <c r="P30">
        <v>12</v>
      </c>
      <c r="Q30">
        <v>4</v>
      </c>
      <c r="R30">
        <v>72</v>
      </c>
      <c r="S30">
        <v>3</v>
      </c>
      <c r="V30" s="10">
        <f t="shared" si="2"/>
        <v>1.0624656530500092</v>
      </c>
      <c r="W30" s="10">
        <f t="shared" si="2"/>
        <v>0.69609818648104049</v>
      </c>
      <c r="X30" s="10">
        <f t="shared" si="2"/>
        <v>3.5537644257189962</v>
      </c>
      <c r="Y30" s="10">
        <f t="shared" si="2"/>
        <v>0.29309397325517494</v>
      </c>
      <c r="Z30" s="10">
        <f t="shared" si="2"/>
        <v>0.20150210661293277</v>
      </c>
      <c r="AA30" s="10">
        <f t="shared" si="2"/>
        <v>7.3273493313793736E-2</v>
      </c>
      <c r="AB30" s="10">
        <f t="shared" si="2"/>
        <v>1.099102399706906</v>
      </c>
      <c r="AC30" s="10">
        <f t="shared" si="2"/>
        <v>5.4955119985345302E-2</v>
      </c>
      <c r="AD30" s="10">
        <f t="shared" si="2"/>
        <v>1.099102399706906</v>
      </c>
      <c r="AE30" s="10">
        <f t="shared" si="2"/>
        <v>0.69609818648104049</v>
      </c>
      <c r="AF30" s="10">
        <f t="shared" si="2"/>
        <v>3.5537644257189962</v>
      </c>
      <c r="AG30" s="10">
        <f t="shared" si="2"/>
        <v>1.2456493863344935</v>
      </c>
      <c r="AH30" s="10">
        <f t="shared" si="2"/>
        <v>0.21982047994138121</v>
      </c>
      <c r="AI30" s="10">
        <f t="shared" si="2"/>
        <v>7.3273493313793736E-2</v>
      </c>
      <c r="AJ30" s="10">
        <f t="shared" si="2"/>
        <v>1.3189228796482872</v>
      </c>
      <c r="AK30" s="10">
        <f t="shared" si="1"/>
        <v>5.4955119985345302E-2</v>
      </c>
    </row>
    <row r="31" spans="1:37" x14ac:dyDescent="0.25">
      <c r="A31" s="17"/>
      <c r="B31" t="s">
        <v>29</v>
      </c>
      <c r="C31" s="1">
        <v>5277</v>
      </c>
      <c r="D31" s="1">
        <v>77</v>
      </c>
      <c r="E31">
        <v>54</v>
      </c>
      <c r="F31" s="1">
        <v>123</v>
      </c>
      <c r="G31" s="1">
        <v>23</v>
      </c>
      <c r="H31" s="5">
        <v>9</v>
      </c>
      <c r="I31">
        <v>4</v>
      </c>
      <c r="J31">
        <v>19</v>
      </c>
      <c r="K31">
        <v>1</v>
      </c>
      <c r="L31">
        <v>79</v>
      </c>
      <c r="M31">
        <v>56</v>
      </c>
      <c r="N31">
        <v>124</v>
      </c>
      <c r="O31">
        <v>89</v>
      </c>
      <c r="P31">
        <v>9</v>
      </c>
      <c r="Q31">
        <v>4</v>
      </c>
      <c r="R31">
        <v>19</v>
      </c>
      <c r="S31">
        <v>1</v>
      </c>
      <c r="V31" s="10">
        <f t="shared" si="2"/>
        <v>1.4591624028804244</v>
      </c>
      <c r="W31" s="10">
        <f t="shared" si="2"/>
        <v>1.0233086981239341</v>
      </c>
      <c r="X31" s="10">
        <f t="shared" si="2"/>
        <v>2.3308698123934053</v>
      </c>
      <c r="Y31" s="10">
        <f t="shared" si="2"/>
        <v>0.43585370475649043</v>
      </c>
      <c r="Z31" s="10">
        <f t="shared" si="2"/>
        <v>0.17055144968732233</v>
      </c>
      <c r="AA31" s="10">
        <f t="shared" si="2"/>
        <v>7.5800644305476589E-2</v>
      </c>
      <c r="AB31" s="10">
        <f t="shared" si="2"/>
        <v>0.36005306045101382</v>
      </c>
      <c r="AC31" s="10">
        <f t="shared" si="2"/>
        <v>1.8950161076369147E-2</v>
      </c>
      <c r="AD31" s="10">
        <f t="shared" si="2"/>
        <v>1.4970627250331627</v>
      </c>
      <c r="AE31" s="10">
        <f t="shared" si="2"/>
        <v>1.0612090202766722</v>
      </c>
      <c r="AF31" s="10">
        <f t="shared" si="2"/>
        <v>2.3498199734697742</v>
      </c>
      <c r="AG31" s="10">
        <f t="shared" si="2"/>
        <v>1.6865643357968543</v>
      </c>
      <c r="AH31" s="10">
        <f t="shared" si="2"/>
        <v>0.17055144968732233</v>
      </c>
      <c r="AI31" s="10">
        <f t="shared" si="2"/>
        <v>7.5800644305476589E-2</v>
      </c>
      <c r="AJ31" s="10">
        <f t="shared" si="2"/>
        <v>0.36005306045101382</v>
      </c>
      <c r="AK31" s="10">
        <f t="shared" si="1"/>
        <v>1.8950161076369147E-2</v>
      </c>
    </row>
    <row r="32" spans="1:37" x14ac:dyDescent="0.25">
      <c r="A32" s="17"/>
      <c r="B32" t="s">
        <v>30</v>
      </c>
      <c r="C32" s="1">
        <v>6607</v>
      </c>
      <c r="D32" s="1">
        <v>103</v>
      </c>
      <c r="E32">
        <v>337</v>
      </c>
      <c r="F32" s="1">
        <v>164</v>
      </c>
      <c r="G32" s="1">
        <v>64</v>
      </c>
      <c r="H32" s="5">
        <v>5</v>
      </c>
      <c r="I32">
        <v>24</v>
      </c>
      <c r="J32">
        <v>6</v>
      </c>
      <c r="K32">
        <v>0</v>
      </c>
      <c r="L32">
        <v>107</v>
      </c>
      <c r="M32">
        <v>344</v>
      </c>
      <c r="N32">
        <v>167</v>
      </c>
      <c r="O32">
        <v>128</v>
      </c>
      <c r="P32">
        <v>6</v>
      </c>
      <c r="Q32">
        <v>25</v>
      </c>
      <c r="R32">
        <v>7</v>
      </c>
      <c r="S32">
        <v>0</v>
      </c>
      <c r="V32" s="10">
        <f t="shared" si="2"/>
        <v>1.5589526260027244</v>
      </c>
      <c r="W32" s="10">
        <f t="shared" si="2"/>
        <v>5.1006508248826998</v>
      </c>
      <c r="X32" s="10">
        <f t="shared" si="2"/>
        <v>2.482215831693658</v>
      </c>
      <c r="Y32" s="10">
        <f t="shared" si="2"/>
        <v>0.9686695928560618</v>
      </c>
      <c r="Z32" s="10">
        <f t="shared" si="2"/>
        <v>7.5677311941879821E-2</v>
      </c>
      <c r="AA32" s="10">
        <f t="shared" si="2"/>
        <v>0.36325109732102312</v>
      </c>
      <c r="AB32" s="10">
        <f t="shared" si="2"/>
        <v>9.081277433025578E-2</v>
      </c>
      <c r="AC32" s="10">
        <f t="shared" si="2"/>
        <v>0</v>
      </c>
      <c r="AD32" s="10">
        <f t="shared" si="2"/>
        <v>1.6194944755562282</v>
      </c>
      <c r="AE32" s="10">
        <f t="shared" si="2"/>
        <v>5.2065990616013318</v>
      </c>
      <c r="AF32" s="10">
        <f t="shared" si="2"/>
        <v>2.5276222188587862</v>
      </c>
      <c r="AG32" s="10">
        <f t="shared" si="2"/>
        <v>1.9373391857121236</v>
      </c>
      <c r="AH32" s="10">
        <f t="shared" si="2"/>
        <v>9.081277433025578E-2</v>
      </c>
      <c r="AI32" s="10">
        <f t="shared" si="2"/>
        <v>0.37838655970939916</v>
      </c>
      <c r="AJ32" s="10">
        <f t="shared" si="2"/>
        <v>0.10594823671863177</v>
      </c>
      <c r="AK32" s="10">
        <f t="shared" si="1"/>
        <v>0</v>
      </c>
    </row>
    <row r="33" spans="1:37" x14ac:dyDescent="0.25">
      <c r="A33" s="17"/>
      <c r="B33" t="s">
        <v>31</v>
      </c>
      <c r="C33" s="1">
        <v>4063</v>
      </c>
      <c r="D33" s="1">
        <v>84</v>
      </c>
      <c r="E33">
        <v>39</v>
      </c>
      <c r="F33" s="1">
        <v>38</v>
      </c>
      <c r="G33" s="1">
        <v>8</v>
      </c>
      <c r="H33" s="5">
        <v>6</v>
      </c>
      <c r="I33">
        <v>4</v>
      </c>
      <c r="J33">
        <v>4</v>
      </c>
      <c r="K33">
        <v>0</v>
      </c>
      <c r="L33">
        <v>86</v>
      </c>
      <c r="M33">
        <v>41</v>
      </c>
      <c r="N33">
        <v>41</v>
      </c>
      <c r="O33">
        <v>89</v>
      </c>
      <c r="P33">
        <v>6</v>
      </c>
      <c r="Q33">
        <v>4</v>
      </c>
      <c r="R33">
        <v>4</v>
      </c>
      <c r="S33">
        <v>0</v>
      </c>
      <c r="V33" s="10">
        <f t="shared" si="2"/>
        <v>2.067437853802609</v>
      </c>
      <c r="W33" s="10">
        <f t="shared" si="2"/>
        <v>0.95988186069406833</v>
      </c>
      <c r="X33" s="10">
        <f t="shared" si="2"/>
        <v>0.93526950529165642</v>
      </c>
      <c r="Y33" s="10">
        <f t="shared" si="2"/>
        <v>0.19689884321929607</v>
      </c>
      <c r="Z33" s="10">
        <f t="shared" si="2"/>
        <v>0.14767413241447205</v>
      </c>
      <c r="AA33" s="10">
        <f t="shared" si="2"/>
        <v>9.8449421609648036E-2</v>
      </c>
      <c r="AB33" s="10">
        <f t="shared" si="2"/>
        <v>9.8449421609648036E-2</v>
      </c>
      <c r="AC33" s="10">
        <f t="shared" si="2"/>
        <v>0</v>
      </c>
      <c r="AD33" s="10">
        <f t="shared" si="2"/>
        <v>2.1166625646074331</v>
      </c>
      <c r="AE33" s="10">
        <f t="shared" si="2"/>
        <v>1.0091065714988923</v>
      </c>
      <c r="AF33" s="10">
        <f t="shared" si="2"/>
        <v>1.0091065714988923</v>
      </c>
      <c r="AG33" s="10">
        <f t="shared" si="2"/>
        <v>2.1904996308146689</v>
      </c>
      <c r="AH33" s="10">
        <f t="shared" si="2"/>
        <v>0.14767413241447205</v>
      </c>
      <c r="AI33" s="10">
        <f t="shared" si="2"/>
        <v>9.8449421609648036E-2</v>
      </c>
      <c r="AJ33" s="10">
        <f t="shared" si="2"/>
        <v>9.8449421609648036E-2</v>
      </c>
      <c r="AK33" s="10">
        <f t="shared" si="1"/>
        <v>0</v>
      </c>
    </row>
    <row r="34" spans="1:37" x14ac:dyDescent="0.25">
      <c r="A34" s="17"/>
      <c r="B34" t="s">
        <v>32</v>
      </c>
      <c r="C34" s="1">
        <v>6884</v>
      </c>
      <c r="D34" s="1">
        <v>114</v>
      </c>
      <c r="E34">
        <v>61</v>
      </c>
      <c r="F34" s="1">
        <v>205</v>
      </c>
      <c r="G34" s="1">
        <v>28</v>
      </c>
      <c r="H34" s="5">
        <v>19</v>
      </c>
      <c r="I34">
        <v>9</v>
      </c>
      <c r="J34">
        <v>52</v>
      </c>
      <c r="K34">
        <v>5</v>
      </c>
      <c r="L34">
        <v>116</v>
      </c>
      <c r="M34">
        <v>62</v>
      </c>
      <c r="N34">
        <v>205</v>
      </c>
      <c r="O34">
        <v>129</v>
      </c>
      <c r="P34">
        <v>21</v>
      </c>
      <c r="Q34">
        <v>9</v>
      </c>
      <c r="R34">
        <v>63</v>
      </c>
      <c r="S34">
        <v>5</v>
      </c>
      <c r="V34" s="10">
        <f t="shared" si="2"/>
        <v>1.6560139453805929</v>
      </c>
      <c r="W34" s="10">
        <f t="shared" si="2"/>
        <v>0.88611272515979078</v>
      </c>
      <c r="X34" s="10">
        <f t="shared" si="2"/>
        <v>2.9779198140615923</v>
      </c>
      <c r="Y34" s="10">
        <f t="shared" si="2"/>
        <v>0.40674026728646134</v>
      </c>
      <c r="Z34" s="10">
        <f t="shared" si="2"/>
        <v>0.27600232423009879</v>
      </c>
      <c r="AA34" s="10">
        <f t="shared" si="2"/>
        <v>0.13073794305636258</v>
      </c>
      <c r="AB34" s="10">
        <f t="shared" si="2"/>
        <v>0.75537478210342823</v>
      </c>
      <c r="AC34" s="10">
        <f t="shared" si="2"/>
        <v>7.2632190586868095E-2</v>
      </c>
      <c r="AD34" s="10">
        <f t="shared" si="2"/>
        <v>1.6850668216153399</v>
      </c>
      <c r="AE34" s="10">
        <f t="shared" si="2"/>
        <v>0.90063916327716453</v>
      </c>
      <c r="AF34" s="10">
        <f t="shared" si="2"/>
        <v>2.9779198140615923</v>
      </c>
      <c r="AG34" s="10">
        <f t="shared" si="2"/>
        <v>1.8739105171411969</v>
      </c>
      <c r="AH34" s="10">
        <f t="shared" si="2"/>
        <v>0.30505520046484602</v>
      </c>
      <c r="AI34" s="10">
        <f t="shared" si="2"/>
        <v>0.13073794305636258</v>
      </c>
      <c r="AJ34" s="10">
        <f t="shared" si="2"/>
        <v>0.91516560139453806</v>
      </c>
      <c r="AK34" s="10">
        <f t="shared" si="1"/>
        <v>7.2632190586868095E-2</v>
      </c>
    </row>
    <row r="35" spans="1:37" x14ac:dyDescent="0.25">
      <c r="A35" s="17"/>
      <c r="B35" t="s">
        <v>33</v>
      </c>
      <c r="C35" s="1">
        <v>6014</v>
      </c>
      <c r="D35" s="1">
        <v>68</v>
      </c>
      <c r="E35">
        <v>60</v>
      </c>
      <c r="F35" s="1">
        <v>100</v>
      </c>
      <c r="G35" s="1">
        <v>12</v>
      </c>
      <c r="H35" s="5">
        <v>9</v>
      </c>
      <c r="I35">
        <v>7</v>
      </c>
      <c r="J35">
        <v>25</v>
      </c>
      <c r="K35">
        <v>3</v>
      </c>
      <c r="L35">
        <v>69</v>
      </c>
      <c r="M35">
        <v>60</v>
      </c>
      <c r="N35">
        <v>100</v>
      </c>
      <c r="O35">
        <v>76</v>
      </c>
      <c r="P35">
        <v>9</v>
      </c>
      <c r="Q35">
        <v>7</v>
      </c>
      <c r="R35">
        <v>29</v>
      </c>
      <c r="S35">
        <v>3</v>
      </c>
      <c r="V35" s="10">
        <f t="shared" si="2"/>
        <v>1.1306950448952444</v>
      </c>
      <c r="W35" s="10">
        <f t="shared" si="2"/>
        <v>0.99767209843698046</v>
      </c>
      <c r="X35" s="10">
        <f t="shared" si="2"/>
        <v>1.6627868307283005</v>
      </c>
      <c r="Y35" s="10">
        <f t="shared" si="2"/>
        <v>0.19953441968739608</v>
      </c>
      <c r="Z35" s="10">
        <f t="shared" si="2"/>
        <v>0.14965081476554706</v>
      </c>
      <c r="AA35" s="10">
        <f t="shared" si="2"/>
        <v>0.11639507815098105</v>
      </c>
      <c r="AB35" s="10">
        <f t="shared" si="2"/>
        <v>0.41569670768207512</v>
      </c>
      <c r="AC35" s="10">
        <f t="shared" si="2"/>
        <v>4.9883604921849019E-2</v>
      </c>
      <c r="AD35" s="10">
        <f t="shared" si="2"/>
        <v>1.1473229132025273</v>
      </c>
      <c r="AE35" s="10">
        <f t="shared" si="2"/>
        <v>0.99767209843698046</v>
      </c>
      <c r="AF35" s="10">
        <f t="shared" si="2"/>
        <v>1.6627868307283005</v>
      </c>
      <c r="AG35" s="10">
        <f t="shared" si="2"/>
        <v>1.2637179913535084</v>
      </c>
      <c r="AH35" s="10">
        <f t="shared" si="2"/>
        <v>0.14965081476554706</v>
      </c>
      <c r="AI35" s="10">
        <f t="shared" si="2"/>
        <v>0.11639507815098105</v>
      </c>
      <c r="AJ35" s="10">
        <f t="shared" si="2"/>
        <v>0.48220818091120721</v>
      </c>
      <c r="AK35" s="10">
        <f t="shared" si="1"/>
        <v>4.9883604921849019E-2</v>
      </c>
    </row>
    <row r="36" spans="1:37" x14ac:dyDescent="0.25">
      <c r="A36" s="17"/>
      <c r="B36" t="s">
        <v>34</v>
      </c>
      <c r="C36" s="1">
        <v>5045</v>
      </c>
      <c r="D36" s="1">
        <v>99</v>
      </c>
      <c r="E36">
        <v>32</v>
      </c>
      <c r="F36" s="1">
        <v>70</v>
      </c>
      <c r="G36" s="1">
        <v>15</v>
      </c>
      <c r="H36" s="5">
        <v>14</v>
      </c>
      <c r="I36">
        <v>8</v>
      </c>
      <c r="J36">
        <v>29</v>
      </c>
      <c r="K36">
        <v>5</v>
      </c>
      <c r="L36">
        <v>102</v>
      </c>
      <c r="M36">
        <v>33</v>
      </c>
      <c r="N36">
        <v>70</v>
      </c>
      <c r="O36">
        <v>107</v>
      </c>
      <c r="P36">
        <v>18</v>
      </c>
      <c r="Q36">
        <v>9</v>
      </c>
      <c r="R36">
        <v>33</v>
      </c>
      <c r="S36">
        <v>6</v>
      </c>
      <c r="V36" s="10">
        <f t="shared" ref="V36:AJ52" si="3">(D36/$C36)*100</f>
        <v>1.9623389494549059</v>
      </c>
      <c r="W36" s="10">
        <f t="shared" si="3"/>
        <v>0.63429137760158572</v>
      </c>
      <c r="X36" s="10">
        <f t="shared" si="3"/>
        <v>1.3875123885034688</v>
      </c>
      <c r="Y36" s="10">
        <f t="shared" si="3"/>
        <v>0.29732408325074333</v>
      </c>
      <c r="Z36" s="10">
        <f t="shared" si="3"/>
        <v>0.27750247770069375</v>
      </c>
      <c r="AA36" s="10">
        <f t="shared" si="3"/>
        <v>0.15857284440039643</v>
      </c>
      <c r="AB36" s="10">
        <f t="shared" si="3"/>
        <v>0.57482656095143714</v>
      </c>
      <c r="AC36" s="10">
        <f t="shared" si="3"/>
        <v>9.9108027750247768E-2</v>
      </c>
      <c r="AD36" s="10">
        <f t="shared" si="3"/>
        <v>2.0218037661050547</v>
      </c>
      <c r="AE36" s="10">
        <f t="shared" si="3"/>
        <v>0.65411298315163524</v>
      </c>
      <c r="AF36" s="10">
        <f t="shared" si="3"/>
        <v>1.3875123885034688</v>
      </c>
      <c r="AG36" s="10">
        <f t="shared" si="3"/>
        <v>2.1209117938553024</v>
      </c>
      <c r="AH36" s="10">
        <f t="shared" si="3"/>
        <v>0.35678889990089196</v>
      </c>
      <c r="AI36" s="10">
        <f t="shared" si="3"/>
        <v>0.17839444995044598</v>
      </c>
      <c r="AJ36" s="10">
        <f t="shared" si="3"/>
        <v>0.65411298315163524</v>
      </c>
      <c r="AK36" s="10">
        <f t="shared" si="1"/>
        <v>0.11892963330029734</v>
      </c>
    </row>
    <row r="37" spans="1:37" x14ac:dyDescent="0.25">
      <c r="A37" s="17"/>
      <c r="B37" t="s">
        <v>35</v>
      </c>
      <c r="C37" s="1">
        <v>6084</v>
      </c>
      <c r="D37" s="1">
        <v>83</v>
      </c>
      <c r="E37">
        <v>68</v>
      </c>
      <c r="F37" s="1">
        <v>171</v>
      </c>
      <c r="G37" s="1">
        <v>28</v>
      </c>
      <c r="H37" s="5">
        <v>9</v>
      </c>
      <c r="I37">
        <v>5</v>
      </c>
      <c r="J37">
        <v>26</v>
      </c>
      <c r="K37">
        <v>3</v>
      </c>
      <c r="L37">
        <v>86</v>
      </c>
      <c r="M37">
        <v>69</v>
      </c>
      <c r="N37">
        <v>171</v>
      </c>
      <c r="O37">
        <v>97</v>
      </c>
      <c r="P37">
        <v>10</v>
      </c>
      <c r="Q37">
        <v>6</v>
      </c>
      <c r="R37">
        <v>29</v>
      </c>
      <c r="S37">
        <v>3</v>
      </c>
      <c r="V37" s="10">
        <f t="shared" si="3"/>
        <v>1.3642340565417488</v>
      </c>
      <c r="W37" s="10">
        <f t="shared" si="3"/>
        <v>1.1176857330703485</v>
      </c>
      <c r="X37" s="10">
        <f t="shared" si="3"/>
        <v>2.8106508875739644</v>
      </c>
      <c r="Y37" s="10">
        <f t="shared" si="3"/>
        <v>0.46022353714661407</v>
      </c>
      <c r="Z37" s="10">
        <f t="shared" si="3"/>
        <v>0.14792899408284024</v>
      </c>
      <c r="AA37" s="10">
        <f t="shared" si="3"/>
        <v>8.2182774490466806E-2</v>
      </c>
      <c r="AB37" s="10">
        <f t="shared" si="3"/>
        <v>0.42735042735042739</v>
      </c>
      <c r="AC37" s="10">
        <f t="shared" si="3"/>
        <v>4.9309664694280081E-2</v>
      </c>
      <c r="AD37" s="10">
        <f t="shared" si="3"/>
        <v>1.4135437212360289</v>
      </c>
      <c r="AE37" s="10">
        <f t="shared" si="3"/>
        <v>1.1341222879684418</v>
      </c>
      <c r="AF37" s="10">
        <f t="shared" si="3"/>
        <v>2.8106508875739644</v>
      </c>
      <c r="AG37" s="10">
        <f t="shared" si="3"/>
        <v>1.594345825115056</v>
      </c>
      <c r="AH37" s="10">
        <f t="shared" si="3"/>
        <v>0.16436554898093361</v>
      </c>
      <c r="AI37" s="10">
        <f t="shared" si="3"/>
        <v>9.8619329388560162E-2</v>
      </c>
      <c r="AJ37" s="10">
        <f t="shared" si="3"/>
        <v>0.47666009204470744</v>
      </c>
      <c r="AK37" s="10">
        <f t="shared" si="1"/>
        <v>4.9309664694280081E-2</v>
      </c>
    </row>
    <row r="38" spans="1:37" x14ac:dyDescent="0.25">
      <c r="A38" s="17"/>
      <c r="B38" t="s">
        <v>36</v>
      </c>
      <c r="C38" s="1">
        <v>4630</v>
      </c>
      <c r="D38" s="1">
        <v>75</v>
      </c>
      <c r="E38">
        <v>90</v>
      </c>
      <c r="F38" s="1">
        <v>175</v>
      </c>
      <c r="G38" s="1">
        <v>30</v>
      </c>
      <c r="H38" s="5">
        <v>11</v>
      </c>
      <c r="I38">
        <v>12</v>
      </c>
      <c r="J38">
        <v>39</v>
      </c>
      <c r="K38">
        <v>3</v>
      </c>
      <c r="L38">
        <v>77</v>
      </c>
      <c r="M38">
        <v>94</v>
      </c>
      <c r="N38">
        <v>177</v>
      </c>
      <c r="O38">
        <v>95</v>
      </c>
      <c r="P38">
        <v>13</v>
      </c>
      <c r="Q38">
        <v>15</v>
      </c>
      <c r="R38">
        <v>49</v>
      </c>
      <c r="S38">
        <v>5</v>
      </c>
      <c r="V38" s="10">
        <f t="shared" si="3"/>
        <v>1.6198704103671708</v>
      </c>
      <c r="W38" s="10">
        <f t="shared" si="3"/>
        <v>1.9438444924406046</v>
      </c>
      <c r="X38" s="10">
        <f t="shared" si="3"/>
        <v>3.7796976241900646</v>
      </c>
      <c r="Y38" s="10">
        <f t="shared" si="3"/>
        <v>0.64794816414686829</v>
      </c>
      <c r="Z38" s="10">
        <f t="shared" si="3"/>
        <v>0.23758099352051837</v>
      </c>
      <c r="AA38" s="10">
        <f t="shared" si="3"/>
        <v>0.25917926565874733</v>
      </c>
      <c r="AB38" s="10">
        <f t="shared" si="3"/>
        <v>0.84233261339092869</v>
      </c>
      <c r="AC38" s="10">
        <f t="shared" si="3"/>
        <v>6.4794816414686832E-2</v>
      </c>
      <c r="AD38" s="10">
        <f t="shared" si="3"/>
        <v>1.6630669546436285</v>
      </c>
      <c r="AE38" s="10">
        <f t="shared" si="3"/>
        <v>2.0302375809935205</v>
      </c>
      <c r="AF38" s="10">
        <f t="shared" si="3"/>
        <v>3.8228941684665232</v>
      </c>
      <c r="AG38" s="10">
        <f t="shared" si="3"/>
        <v>2.0518358531317493</v>
      </c>
      <c r="AH38" s="10">
        <f t="shared" si="3"/>
        <v>0.28077753779697623</v>
      </c>
      <c r="AI38" s="10">
        <f t="shared" si="3"/>
        <v>0.32397408207343414</v>
      </c>
      <c r="AJ38" s="10">
        <f t="shared" si="3"/>
        <v>1.0583153347732182</v>
      </c>
      <c r="AK38" s="10">
        <f t="shared" si="1"/>
        <v>0.10799136069114472</v>
      </c>
    </row>
    <row r="39" spans="1:37" x14ac:dyDescent="0.25">
      <c r="A39" s="17"/>
      <c r="B39" t="s">
        <v>37</v>
      </c>
      <c r="C39" s="1">
        <v>5670</v>
      </c>
      <c r="D39" s="1">
        <v>90</v>
      </c>
      <c r="E39">
        <v>111</v>
      </c>
      <c r="F39" s="1">
        <v>107</v>
      </c>
      <c r="G39" s="1">
        <v>29</v>
      </c>
      <c r="H39" s="5">
        <v>8</v>
      </c>
      <c r="I39">
        <v>14</v>
      </c>
      <c r="J39">
        <v>24</v>
      </c>
      <c r="K39">
        <v>3</v>
      </c>
      <c r="L39">
        <v>90</v>
      </c>
      <c r="M39">
        <v>118</v>
      </c>
      <c r="N39">
        <v>110</v>
      </c>
      <c r="O39">
        <v>104</v>
      </c>
      <c r="P39">
        <v>9</v>
      </c>
      <c r="Q39">
        <v>15</v>
      </c>
      <c r="R39">
        <v>26</v>
      </c>
      <c r="S39">
        <v>4</v>
      </c>
      <c r="V39" s="10">
        <f t="shared" si="3"/>
        <v>1.5873015873015872</v>
      </c>
      <c r="W39" s="10">
        <f t="shared" si="3"/>
        <v>1.9576719576719577</v>
      </c>
      <c r="X39" s="10">
        <f t="shared" si="3"/>
        <v>1.8871252204585538</v>
      </c>
      <c r="Y39" s="10">
        <f t="shared" si="3"/>
        <v>0.5114638447971781</v>
      </c>
      <c r="Z39" s="10">
        <f t="shared" si="3"/>
        <v>0.14109347442680778</v>
      </c>
      <c r="AA39" s="10">
        <f t="shared" si="3"/>
        <v>0.24691358024691357</v>
      </c>
      <c r="AB39" s="10">
        <f t="shared" si="3"/>
        <v>0.42328042328042331</v>
      </c>
      <c r="AC39" s="10">
        <f t="shared" si="3"/>
        <v>5.2910052910052914E-2</v>
      </c>
      <c r="AD39" s="10">
        <f t="shared" si="3"/>
        <v>1.5873015873015872</v>
      </c>
      <c r="AE39" s="10">
        <f t="shared" si="3"/>
        <v>2.0811287477954146</v>
      </c>
      <c r="AF39" s="10">
        <f t="shared" si="3"/>
        <v>1.9400352733686066</v>
      </c>
      <c r="AG39" s="10">
        <f t="shared" si="3"/>
        <v>1.834215167548501</v>
      </c>
      <c r="AH39" s="10">
        <f t="shared" si="3"/>
        <v>0.15873015873015872</v>
      </c>
      <c r="AI39" s="10">
        <f t="shared" si="3"/>
        <v>0.26455026455026454</v>
      </c>
      <c r="AJ39" s="10">
        <f t="shared" si="3"/>
        <v>0.45855379188712525</v>
      </c>
      <c r="AK39" s="10">
        <f t="shared" si="1"/>
        <v>7.054673721340389E-2</v>
      </c>
    </row>
    <row r="40" spans="1:37" x14ac:dyDescent="0.25">
      <c r="A40" s="17"/>
      <c r="B40" t="s">
        <v>38</v>
      </c>
      <c r="C40" s="1">
        <v>6339</v>
      </c>
      <c r="D40" s="1">
        <v>85</v>
      </c>
      <c r="E40">
        <v>82</v>
      </c>
      <c r="F40" s="1">
        <v>240</v>
      </c>
      <c r="G40" s="1">
        <v>35</v>
      </c>
      <c r="H40" s="5">
        <v>19</v>
      </c>
      <c r="I40">
        <v>11</v>
      </c>
      <c r="J40">
        <v>53</v>
      </c>
      <c r="K40">
        <v>5</v>
      </c>
      <c r="L40">
        <v>89</v>
      </c>
      <c r="M40">
        <v>85</v>
      </c>
      <c r="N40">
        <v>243</v>
      </c>
      <c r="O40">
        <v>108</v>
      </c>
      <c r="P40">
        <v>23</v>
      </c>
      <c r="Q40">
        <v>17</v>
      </c>
      <c r="R40">
        <v>64</v>
      </c>
      <c r="S40">
        <v>8</v>
      </c>
      <c r="V40" s="10">
        <f t="shared" si="3"/>
        <v>1.3409055056002523</v>
      </c>
      <c r="W40" s="10">
        <f t="shared" si="3"/>
        <v>1.2935794289320082</v>
      </c>
      <c r="X40" s="10">
        <f t="shared" si="3"/>
        <v>3.7860861334595359</v>
      </c>
      <c r="Y40" s="10">
        <f t="shared" si="3"/>
        <v>0.55213756112951573</v>
      </c>
      <c r="Z40" s="10">
        <f t="shared" si="3"/>
        <v>0.29973181889887995</v>
      </c>
      <c r="AA40" s="10">
        <f t="shared" si="3"/>
        <v>0.17352894778356207</v>
      </c>
      <c r="AB40" s="10">
        <f t="shared" si="3"/>
        <v>0.8360940211389809</v>
      </c>
      <c r="AC40" s="10">
        <f t="shared" si="3"/>
        <v>7.887679444707367E-2</v>
      </c>
      <c r="AD40" s="10">
        <f t="shared" si="3"/>
        <v>1.4040069411579112</v>
      </c>
      <c r="AE40" s="10">
        <f t="shared" si="3"/>
        <v>1.3409055056002523</v>
      </c>
      <c r="AF40" s="10">
        <f t="shared" si="3"/>
        <v>3.8334122101277806</v>
      </c>
      <c r="AG40" s="10">
        <f t="shared" si="3"/>
        <v>1.7037387600567913</v>
      </c>
      <c r="AH40" s="10">
        <f t="shared" si="3"/>
        <v>0.36283325445653891</v>
      </c>
      <c r="AI40" s="10">
        <f t="shared" si="3"/>
        <v>0.2681811011200505</v>
      </c>
      <c r="AJ40" s="10">
        <f t="shared" si="3"/>
        <v>1.0096229689225431</v>
      </c>
      <c r="AK40" s="10">
        <f t="shared" si="1"/>
        <v>0.12620287111531789</v>
      </c>
    </row>
    <row r="41" spans="1:37" x14ac:dyDescent="0.25">
      <c r="A41" s="17" t="s">
        <v>1</v>
      </c>
      <c r="B41" t="s">
        <v>28</v>
      </c>
      <c r="C41" s="1">
        <v>5459</v>
      </c>
      <c r="D41" s="1">
        <v>58</v>
      </c>
      <c r="E41">
        <v>38</v>
      </c>
      <c r="F41" s="1">
        <v>194</v>
      </c>
      <c r="G41" s="1">
        <v>16</v>
      </c>
      <c r="H41" s="5">
        <v>11</v>
      </c>
      <c r="I41">
        <v>4</v>
      </c>
      <c r="J41">
        <v>60</v>
      </c>
      <c r="K41">
        <v>3</v>
      </c>
      <c r="L41">
        <v>60</v>
      </c>
      <c r="M41">
        <v>38</v>
      </c>
      <c r="N41">
        <v>194</v>
      </c>
      <c r="O41">
        <v>68</v>
      </c>
      <c r="P41">
        <v>12</v>
      </c>
      <c r="Q41">
        <v>4</v>
      </c>
      <c r="R41">
        <v>72</v>
      </c>
      <c r="S41">
        <v>3</v>
      </c>
      <c r="V41" s="11">
        <f t="shared" si="3"/>
        <v>1.0624656530500092</v>
      </c>
      <c r="W41" s="11">
        <f t="shared" si="3"/>
        <v>0.69609818648104049</v>
      </c>
      <c r="X41" s="11">
        <f t="shared" si="3"/>
        <v>3.5537644257189962</v>
      </c>
      <c r="Y41" s="11">
        <f t="shared" si="3"/>
        <v>0.29309397325517494</v>
      </c>
      <c r="Z41" s="11">
        <f t="shared" si="3"/>
        <v>0.20150210661293277</v>
      </c>
      <c r="AA41" s="11">
        <f t="shared" si="3"/>
        <v>7.3273493313793736E-2</v>
      </c>
      <c r="AB41" s="11">
        <f t="shared" si="3"/>
        <v>1.099102399706906</v>
      </c>
      <c r="AC41" s="11">
        <f t="shared" si="3"/>
        <v>5.4955119985345302E-2</v>
      </c>
      <c r="AD41" s="11">
        <f t="shared" si="3"/>
        <v>1.099102399706906</v>
      </c>
      <c r="AE41" s="11">
        <f t="shared" si="3"/>
        <v>0.69609818648104049</v>
      </c>
      <c r="AF41" s="11">
        <f t="shared" si="3"/>
        <v>3.5537644257189962</v>
      </c>
      <c r="AG41" s="11">
        <f t="shared" si="3"/>
        <v>1.2456493863344935</v>
      </c>
      <c r="AH41" s="11">
        <f t="shared" si="3"/>
        <v>0.21982047994138121</v>
      </c>
      <c r="AI41" s="11">
        <f t="shared" si="3"/>
        <v>7.3273493313793736E-2</v>
      </c>
      <c r="AJ41" s="11">
        <f t="shared" si="3"/>
        <v>1.3189228796482872</v>
      </c>
      <c r="AK41" s="11">
        <f t="shared" si="1"/>
        <v>5.4955119985345302E-2</v>
      </c>
    </row>
    <row r="42" spans="1:37" x14ac:dyDescent="0.25">
      <c r="A42" s="17"/>
      <c r="B42" t="s">
        <v>29</v>
      </c>
      <c r="C42" s="1">
        <v>5277</v>
      </c>
      <c r="D42" s="1">
        <v>77</v>
      </c>
      <c r="E42">
        <v>54</v>
      </c>
      <c r="F42" s="1">
        <v>123</v>
      </c>
      <c r="G42" s="1">
        <v>23</v>
      </c>
      <c r="H42" s="5">
        <v>9</v>
      </c>
      <c r="I42">
        <v>4</v>
      </c>
      <c r="J42">
        <v>19</v>
      </c>
      <c r="K42">
        <v>1</v>
      </c>
      <c r="L42">
        <v>79</v>
      </c>
      <c r="M42">
        <v>56</v>
      </c>
      <c r="N42">
        <v>124</v>
      </c>
      <c r="O42">
        <v>89</v>
      </c>
      <c r="P42">
        <v>9</v>
      </c>
      <c r="Q42">
        <v>4</v>
      </c>
      <c r="R42">
        <v>19</v>
      </c>
      <c r="S42">
        <v>1</v>
      </c>
      <c r="V42" s="11">
        <f t="shared" si="3"/>
        <v>1.4591624028804244</v>
      </c>
      <c r="W42" s="11">
        <f t="shared" si="3"/>
        <v>1.0233086981239341</v>
      </c>
      <c r="X42" s="11">
        <f t="shared" si="3"/>
        <v>2.3308698123934053</v>
      </c>
      <c r="Y42" s="11">
        <f t="shared" si="3"/>
        <v>0.43585370475649043</v>
      </c>
      <c r="Z42" s="11">
        <f t="shared" si="3"/>
        <v>0.17055144968732233</v>
      </c>
      <c r="AA42" s="11">
        <f t="shared" si="3"/>
        <v>7.5800644305476589E-2</v>
      </c>
      <c r="AB42" s="11">
        <f t="shared" si="3"/>
        <v>0.36005306045101382</v>
      </c>
      <c r="AC42" s="11">
        <f t="shared" si="3"/>
        <v>1.8950161076369147E-2</v>
      </c>
      <c r="AD42" s="11">
        <f t="shared" si="3"/>
        <v>1.4970627250331627</v>
      </c>
      <c r="AE42" s="11">
        <f t="shared" si="3"/>
        <v>1.0612090202766722</v>
      </c>
      <c r="AF42" s="11">
        <f t="shared" si="3"/>
        <v>2.3498199734697742</v>
      </c>
      <c r="AG42" s="11">
        <f t="shared" si="3"/>
        <v>1.6865643357968543</v>
      </c>
      <c r="AH42" s="11">
        <f t="shared" si="3"/>
        <v>0.17055144968732233</v>
      </c>
      <c r="AI42" s="11">
        <f t="shared" si="3"/>
        <v>7.5800644305476589E-2</v>
      </c>
      <c r="AJ42" s="11">
        <f t="shared" si="3"/>
        <v>0.36005306045101382</v>
      </c>
      <c r="AK42" s="11">
        <f t="shared" si="1"/>
        <v>1.8950161076369147E-2</v>
      </c>
    </row>
    <row r="43" spans="1:37" x14ac:dyDescent="0.25">
      <c r="A43" s="17"/>
      <c r="B43" t="s">
        <v>30</v>
      </c>
      <c r="C43" s="1">
        <v>6607</v>
      </c>
      <c r="D43" s="1">
        <v>103</v>
      </c>
      <c r="E43">
        <v>337</v>
      </c>
      <c r="F43" s="1">
        <v>164</v>
      </c>
      <c r="G43" s="1">
        <v>64</v>
      </c>
      <c r="H43" s="5">
        <v>5</v>
      </c>
      <c r="I43">
        <v>24</v>
      </c>
      <c r="J43">
        <v>6</v>
      </c>
      <c r="K43">
        <v>0</v>
      </c>
      <c r="L43">
        <v>107</v>
      </c>
      <c r="M43">
        <v>344</v>
      </c>
      <c r="N43">
        <v>167</v>
      </c>
      <c r="O43">
        <v>128</v>
      </c>
      <c r="P43">
        <v>6</v>
      </c>
      <c r="Q43">
        <v>25</v>
      </c>
      <c r="R43">
        <v>7</v>
      </c>
      <c r="S43">
        <v>0</v>
      </c>
      <c r="V43" s="11">
        <f t="shared" si="3"/>
        <v>1.5589526260027244</v>
      </c>
      <c r="W43" s="11">
        <f t="shared" si="3"/>
        <v>5.1006508248826998</v>
      </c>
      <c r="X43" s="11">
        <f t="shared" si="3"/>
        <v>2.482215831693658</v>
      </c>
      <c r="Y43" s="11">
        <f t="shared" si="3"/>
        <v>0.9686695928560618</v>
      </c>
      <c r="Z43" s="11">
        <f t="shared" si="3"/>
        <v>7.5677311941879821E-2</v>
      </c>
      <c r="AA43" s="11">
        <f t="shared" si="3"/>
        <v>0.36325109732102312</v>
      </c>
      <c r="AB43" s="11">
        <f t="shared" si="3"/>
        <v>9.081277433025578E-2</v>
      </c>
      <c r="AC43" s="11">
        <f t="shared" si="3"/>
        <v>0</v>
      </c>
      <c r="AD43" s="11">
        <f t="shared" si="3"/>
        <v>1.6194944755562282</v>
      </c>
      <c r="AE43" s="11">
        <f t="shared" si="3"/>
        <v>5.2065990616013318</v>
      </c>
      <c r="AF43" s="11">
        <f t="shared" si="3"/>
        <v>2.5276222188587862</v>
      </c>
      <c r="AG43" s="11">
        <f t="shared" si="3"/>
        <v>1.9373391857121236</v>
      </c>
      <c r="AH43" s="11">
        <f t="shared" si="3"/>
        <v>9.081277433025578E-2</v>
      </c>
      <c r="AI43" s="11">
        <f t="shared" si="3"/>
        <v>0.37838655970939916</v>
      </c>
      <c r="AJ43" s="11">
        <f t="shared" si="3"/>
        <v>0.10594823671863177</v>
      </c>
      <c r="AK43" s="11">
        <f t="shared" si="1"/>
        <v>0</v>
      </c>
    </row>
    <row r="44" spans="1:37" x14ac:dyDescent="0.25">
      <c r="A44" s="17"/>
      <c r="B44" t="s">
        <v>31</v>
      </c>
      <c r="C44" s="1">
        <v>4063</v>
      </c>
      <c r="D44" s="1">
        <v>84</v>
      </c>
      <c r="E44">
        <v>39</v>
      </c>
      <c r="F44" s="1">
        <v>38</v>
      </c>
      <c r="G44" s="1">
        <v>8</v>
      </c>
      <c r="H44" s="5">
        <v>6</v>
      </c>
      <c r="I44">
        <v>4</v>
      </c>
      <c r="J44">
        <v>4</v>
      </c>
      <c r="K44">
        <v>0</v>
      </c>
      <c r="L44">
        <v>86</v>
      </c>
      <c r="M44">
        <v>41</v>
      </c>
      <c r="N44">
        <v>41</v>
      </c>
      <c r="O44">
        <v>89</v>
      </c>
      <c r="P44">
        <v>6</v>
      </c>
      <c r="Q44">
        <v>4</v>
      </c>
      <c r="R44">
        <v>4</v>
      </c>
      <c r="S44">
        <v>0</v>
      </c>
      <c r="V44" s="11">
        <f t="shared" si="3"/>
        <v>2.067437853802609</v>
      </c>
      <c r="W44" s="11">
        <f t="shared" si="3"/>
        <v>0.95988186069406833</v>
      </c>
      <c r="X44" s="11">
        <f t="shared" si="3"/>
        <v>0.93526950529165642</v>
      </c>
      <c r="Y44" s="11">
        <f t="shared" si="3"/>
        <v>0.19689884321929607</v>
      </c>
      <c r="Z44" s="11">
        <f t="shared" si="3"/>
        <v>0.14767413241447205</v>
      </c>
      <c r="AA44" s="11">
        <f t="shared" si="3"/>
        <v>9.8449421609648036E-2</v>
      </c>
      <c r="AB44" s="11">
        <f t="shared" si="3"/>
        <v>9.8449421609648036E-2</v>
      </c>
      <c r="AC44" s="11">
        <f t="shared" si="3"/>
        <v>0</v>
      </c>
      <c r="AD44" s="11">
        <f t="shared" si="3"/>
        <v>2.1166625646074331</v>
      </c>
      <c r="AE44" s="11">
        <f t="shared" si="3"/>
        <v>1.0091065714988923</v>
      </c>
      <c r="AF44" s="11">
        <f t="shared" si="3"/>
        <v>1.0091065714988923</v>
      </c>
      <c r="AG44" s="11">
        <f t="shared" si="3"/>
        <v>2.1904996308146689</v>
      </c>
      <c r="AH44" s="11">
        <f t="shared" si="3"/>
        <v>0.14767413241447205</v>
      </c>
      <c r="AI44" s="11">
        <f t="shared" si="3"/>
        <v>9.8449421609648036E-2</v>
      </c>
      <c r="AJ44" s="11">
        <f t="shared" si="3"/>
        <v>9.8449421609648036E-2</v>
      </c>
      <c r="AK44" s="11">
        <f t="shared" si="1"/>
        <v>0</v>
      </c>
    </row>
    <row r="45" spans="1:37" x14ac:dyDescent="0.25">
      <c r="A45" s="17"/>
      <c r="B45" t="s">
        <v>32</v>
      </c>
      <c r="C45" s="1">
        <v>6884</v>
      </c>
      <c r="D45" s="1">
        <v>114</v>
      </c>
      <c r="E45">
        <v>61</v>
      </c>
      <c r="F45" s="1">
        <v>205</v>
      </c>
      <c r="G45" s="1">
        <v>28</v>
      </c>
      <c r="H45" s="5">
        <v>19</v>
      </c>
      <c r="I45">
        <v>9</v>
      </c>
      <c r="J45">
        <v>52</v>
      </c>
      <c r="K45">
        <v>5</v>
      </c>
      <c r="L45">
        <v>116</v>
      </c>
      <c r="M45">
        <v>62</v>
      </c>
      <c r="N45">
        <v>205</v>
      </c>
      <c r="O45">
        <v>129</v>
      </c>
      <c r="P45">
        <v>21</v>
      </c>
      <c r="Q45">
        <v>9</v>
      </c>
      <c r="R45">
        <v>63</v>
      </c>
      <c r="S45">
        <v>5</v>
      </c>
      <c r="V45" s="11">
        <f t="shared" si="3"/>
        <v>1.6560139453805929</v>
      </c>
      <c r="W45" s="11">
        <f t="shared" si="3"/>
        <v>0.88611272515979078</v>
      </c>
      <c r="X45" s="11">
        <f t="shared" si="3"/>
        <v>2.9779198140615923</v>
      </c>
      <c r="Y45" s="11">
        <f t="shared" si="3"/>
        <v>0.40674026728646134</v>
      </c>
      <c r="Z45" s="11">
        <f t="shared" si="3"/>
        <v>0.27600232423009879</v>
      </c>
      <c r="AA45" s="11">
        <f t="shared" si="3"/>
        <v>0.13073794305636258</v>
      </c>
      <c r="AB45" s="11">
        <f t="shared" si="3"/>
        <v>0.75537478210342823</v>
      </c>
      <c r="AC45" s="11">
        <f t="shared" si="3"/>
        <v>7.2632190586868095E-2</v>
      </c>
      <c r="AD45" s="11">
        <f t="shared" si="3"/>
        <v>1.6850668216153399</v>
      </c>
      <c r="AE45" s="11">
        <f t="shared" si="3"/>
        <v>0.90063916327716453</v>
      </c>
      <c r="AF45" s="11">
        <f t="shared" si="3"/>
        <v>2.9779198140615923</v>
      </c>
      <c r="AG45" s="11">
        <f t="shared" si="3"/>
        <v>1.8739105171411969</v>
      </c>
      <c r="AH45" s="11">
        <f t="shared" si="3"/>
        <v>0.30505520046484602</v>
      </c>
      <c r="AI45" s="11">
        <f t="shared" si="3"/>
        <v>0.13073794305636258</v>
      </c>
      <c r="AJ45" s="11">
        <f t="shared" si="3"/>
        <v>0.91516560139453806</v>
      </c>
      <c r="AK45" s="11">
        <f t="shared" si="1"/>
        <v>7.2632190586868095E-2</v>
      </c>
    </row>
    <row r="46" spans="1:37" x14ac:dyDescent="0.25">
      <c r="A46" s="17"/>
      <c r="B46" t="s">
        <v>33</v>
      </c>
      <c r="C46" s="1">
        <v>6014</v>
      </c>
      <c r="D46" s="1">
        <v>68</v>
      </c>
      <c r="E46">
        <v>60</v>
      </c>
      <c r="F46" s="1">
        <v>100</v>
      </c>
      <c r="G46" s="1">
        <v>12</v>
      </c>
      <c r="H46" s="5">
        <v>9</v>
      </c>
      <c r="I46">
        <v>7</v>
      </c>
      <c r="J46">
        <v>25</v>
      </c>
      <c r="K46">
        <v>3</v>
      </c>
      <c r="L46">
        <v>69</v>
      </c>
      <c r="M46">
        <v>60</v>
      </c>
      <c r="N46">
        <v>100</v>
      </c>
      <c r="O46">
        <v>76</v>
      </c>
      <c r="P46">
        <v>9</v>
      </c>
      <c r="Q46">
        <v>7</v>
      </c>
      <c r="R46">
        <v>29</v>
      </c>
      <c r="S46">
        <v>3</v>
      </c>
      <c r="V46" s="11">
        <f t="shared" si="3"/>
        <v>1.1306950448952444</v>
      </c>
      <c r="W46" s="11">
        <f t="shared" si="3"/>
        <v>0.99767209843698046</v>
      </c>
      <c r="X46" s="11">
        <f t="shared" si="3"/>
        <v>1.6627868307283005</v>
      </c>
      <c r="Y46" s="11">
        <f t="shared" si="3"/>
        <v>0.19953441968739608</v>
      </c>
      <c r="Z46" s="11">
        <f t="shared" si="3"/>
        <v>0.14965081476554706</v>
      </c>
      <c r="AA46" s="11">
        <f t="shared" si="3"/>
        <v>0.11639507815098105</v>
      </c>
      <c r="AB46" s="11">
        <f t="shared" si="3"/>
        <v>0.41569670768207512</v>
      </c>
      <c r="AC46" s="11">
        <f t="shared" si="3"/>
        <v>4.9883604921849019E-2</v>
      </c>
      <c r="AD46" s="11">
        <f t="shared" si="3"/>
        <v>1.1473229132025273</v>
      </c>
      <c r="AE46" s="11">
        <f t="shared" si="3"/>
        <v>0.99767209843698046</v>
      </c>
      <c r="AF46" s="11">
        <f t="shared" si="3"/>
        <v>1.6627868307283005</v>
      </c>
      <c r="AG46" s="11">
        <f t="shared" si="3"/>
        <v>1.2637179913535084</v>
      </c>
      <c r="AH46" s="11">
        <f t="shared" si="3"/>
        <v>0.14965081476554706</v>
      </c>
      <c r="AI46" s="11">
        <f t="shared" si="3"/>
        <v>0.11639507815098105</v>
      </c>
      <c r="AJ46" s="11">
        <f t="shared" si="3"/>
        <v>0.48220818091120721</v>
      </c>
      <c r="AK46" s="11">
        <f t="shared" si="1"/>
        <v>4.9883604921849019E-2</v>
      </c>
    </row>
    <row r="47" spans="1:37" x14ac:dyDescent="0.25">
      <c r="A47" s="17"/>
      <c r="B47" t="s">
        <v>34</v>
      </c>
      <c r="C47" s="1">
        <v>5045</v>
      </c>
      <c r="D47" s="1">
        <v>99</v>
      </c>
      <c r="E47">
        <v>32</v>
      </c>
      <c r="F47" s="1">
        <v>70</v>
      </c>
      <c r="G47" s="1">
        <v>15</v>
      </c>
      <c r="H47" s="5">
        <v>14</v>
      </c>
      <c r="I47">
        <v>8</v>
      </c>
      <c r="J47">
        <v>29</v>
      </c>
      <c r="K47">
        <v>5</v>
      </c>
      <c r="L47">
        <v>102</v>
      </c>
      <c r="M47">
        <v>33</v>
      </c>
      <c r="N47">
        <v>70</v>
      </c>
      <c r="O47">
        <v>107</v>
      </c>
      <c r="P47">
        <v>18</v>
      </c>
      <c r="Q47">
        <v>9</v>
      </c>
      <c r="R47">
        <v>33</v>
      </c>
      <c r="S47">
        <v>6</v>
      </c>
      <c r="V47" s="11">
        <f t="shared" si="3"/>
        <v>1.9623389494549059</v>
      </c>
      <c r="W47" s="11">
        <f t="shared" si="3"/>
        <v>0.63429137760158572</v>
      </c>
      <c r="X47" s="11">
        <f t="shared" si="3"/>
        <v>1.3875123885034688</v>
      </c>
      <c r="Y47" s="11">
        <f t="shared" si="3"/>
        <v>0.29732408325074333</v>
      </c>
      <c r="Z47" s="11">
        <f t="shared" si="3"/>
        <v>0.27750247770069375</v>
      </c>
      <c r="AA47" s="11">
        <f t="shared" si="3"/>
        <v>0.15857284440039643</v>
      </c>
      <c r="AB47" s="11">
        <f t="shared" si="3"/>
        <v>0.57482656095143714</v>
      </c>
      <c r="AC47" s="11">
        <f t="shared" si="3"/>
        <v>9.9108027750247768E-2</v>
      </c>
      <c r="AD47" s="11">
        <f t="shared" si="3"/>
        <v>2.0218037661050547</v>
      </c>
      <c r="AE47" s="11">
        <f t="shared" si="3"/>
        <v>0.65411298315163524</v>
      </c>
      <c r="AF47" s="11">
        <f t="shared" si="3"/>
        <v>1.3875123885034688</v>
      </c>
      <c r="AG47" s="11">
        <f t="shared" si="3"/>
        <v>2.1209117938553024</v>
      </c>
      <c r="AH47" s="11">
        <f t="shared" si="3"/>
        <v>0.35678889990089196</v>
      </c>
      <c r="AI47" s="11">
        <f t="shared" si="3"/>
        <v>0.17839444995044598</v>
      </c>
      <c r="AJ47" s="11">
        <f t="shared" si="3"/>
        <v>0.65411298315163524</v>
      </c>
      <c r="AK47" s="11">
        <f t="shared" si="1"/>
        <v>0.11892963330029734</v>
      </c>
    </row>
    <row r="48" spans="1:37" x14ac:dyDescent="0.25">
      <c r="A48" s="17"/>
      <c r="B48" t="s">
        <v>35</v>
      </c>
      <c r="C48" s="1">
        <v>6084</v>
      </c>
      <c r="D48" s="1">
        <v>83</v>
      </c>
      <c r="E48">
        <v>68</v>
      </c>
      <c r="F48" s="1">
        <v>171</v>
      </c>
      <c r="G48" s="1">
        <v>28</v>
      </c>
      <c r="H48" s="5">
        <v>9</v>
      </c>
      <c r="I48">
        <v>5</v>
      </c>
      <c r="J48">
        <v>26</v>
      </c>
      <c r="K48">
        <v>3</v>
      </c>
      <c r="L48">
        <v>86</v>
      </c>
      <c r="M48">
        <v>69</v>
      </c>
      <c r="N48">
        <v>171</v>
      </c>
      <c r="O48">
        <v>97</v>
      </c>
      <c r="P48">
        <v>10</v>
      </c>
      <c r="Q48">
        <v>6</v>
      </c>
      <c r="R48">
        <v>29</v>
      </c>
      <c r="S48">
        <v>3</v>
      </c>
      <c r="V48" s="11">
        <f t="shared" si="3"/>
        <v>1.3642340565417488</v>
      </c>
      <c r="W48" s="11">
        <f t="shared" si="3"/>
        <v>1.1176857330703485</v>
      </c>
      <c r="X48" s="11">
        <f t="shared" si="3"/>
        <v>2.8106508875739644</v>
      </c>
      <c r="Y48" s="11">
        <f t="shared" si="3"/>
        <v>0.46022353714661407</v>
      </c>
      <c r="Z48" s="11">
        <f t="shared" si="3"/>
        <v>0.14792899408284024</v>
      </c>
      <c r="AA48" s="11">
        <f t="shared" si="3"/>
        <v>8.2182774490466806E-2</v>
      </c>
      <c r="AB48" s="11">
        <f t="shared" si="3"/>
        <v>0.42735042735042739</v>
      </c>
      <c r="AC48" s="11">
        <f t="shared" si="3"/>
        <v>4.9309664694280081E-2</v>
      </c>
      <c r="AD48" s="11">
        <f t="shared" si="3"/>
        <v>1.4135437212360289</v>
      </c>
      <c r="AE48" s="11">
        <f t="shared" si="3"/>
        <v>1.1341222879684418</v>
      </c>
      <c r="AF48" s="11">
        <f t="shared" si="3"/>
        <v>2.8106508875739644</v>
      </c>
      <c r="AG48" s="11">
        <f t="shared" si="3"/>
        <v>1.594345825115056</v>
      </c>
      <c r="AH48" s="11">
        <f t="shared" si="3"/>
        <v>0.16436554898093361</v>
      </c>
      <c r="AI48" s="11">
        <f t="shared" si="3"/>
        <v>9.8619329388560162E-2</v>
      </c>
      <c r="AJ48" s="11">
        <f t="shared" si="3"/>
        <v>0.47666009204470744</v>
      </c>
      <c r="AK48" s="11">
        <f t="shared" si="1"/>
        <v>4.9309664694280081E-2</v>
      </c>
    </row>
    <row r="49" spans="1:37" x14ac:dyDescent="0.25">
      <c r="A49" s="17"/>
      <c r="B49" t="s">
        <v>36</v>
      </c>
      <c r="C49" s="1">
        <v>4630</v>
      </c>
      <c r="D49" s="1">
        <v>75</v>
      </c>
      <c r="E49">
        <v>90</v>
      </c>
      <c r="F49" s="1">
        <v>175</v>
      </c>
      <c r="G49" s="1">
        <v>30</v>
      </c>
      <c r="H49" s="5">
        <v>11</v>
      </c>
      <c r="I49">
        <v>12</v>
      </c>
      <c r="J49">
        <v>39</v>
      </c>
      <c r="K49">
        <v>3</v>
      </c>
      <c r="L49">
        <v>77</v>
      </c>
      <c r="M49">
        <v>94</v>
      </c>
      <c r="N49">
        <v>177</v>
      </c>
      <c r="O49">
        <v>95</v>
      </c>
      <c r="P49">
        <v>13</v>
      </c>
      <c r="Q49">
        <v>15</v>
      </c>
      <c r="R49">
        <v>49</v>
      </c>
      <c r="S49">
        <v>5</v>
      </c>
      <c r="V49" s="11">
        <f t="shared" si="3"/>
        <v>1.6198704103671708</v>
      </c>
      <c r="W49" s="11">
        <f t="shared" si="3"/>
        <v>1.9438444924406046</v>
      </c>
      <c r="X49" s="11">
        <f t="shared" si="3"/>
        <v>3.7796976241900646</v>
      </c>
      <c r="Y49" s="11">
        <f t="shared" si="3"/>
        <v>0.64794816414686829</v>
      </c>
      <c r="Z49" s="11">
        <f t="shared" si="3"/>
        <v>0.23758099352051837</v>
      </c>
      <c r="AA49" s="11">
        <f t="shared" si="3"/>
        <v>0.25917926565874733</v>
      </c>
      <c r="AB49" s="11">
        <f t="shared" si="3"/>
        <v>0.84233261339092869</v>
      </c>
      <c r="AC49" s="11">
        <f t="shared" si="3"/>
        <v>6.4794816414686832E-2</v>
      </c>
      <c r="AD49" s="11">
        <f t="shared" si="3"/>
        <v>1.6630669546436285</v>
      </c>
      <c r="AE49" s="11">
        <f t="shared" si="3"/>
        <v>2.0302375809935205</v>
      </c>
      <c r="AF49" s="11">
        <f t="shared" si="3"/>
        <v>3.8228941684665232</v>
      </c>
      <c r="AG49" s="11">
        <f t="shared" si="3"/>
        <v>2.0518358531317493</v>
      </c>
      <c r="AH49" s="11">
        <f t="shared" si="3"/>
        <v>0.28077753779697623</v>
      </c>
      <c r="AI49" s="11">
        <f t="shared" si="3"/>
        <v>0.32397408207343414</v>
      </c>
      <c r="AJ49" s="11">
        <f t="shared" si="3"/>
        <v>1.0583153347732182</v>
      </c>
      <c r="AK49" s="11">
        <f t="shared" si="1"/>
        <v>0.10799136069114472</v>
      </c>
    </row>
    <row r="50" spans="1:37" x14ac:dyDescent="0.25">
      <c r="A50" s="17"/>
      <c r="B50" t="s">
        <v>37</v>
      </c>
      <c r="C50" s="1">
        <v>5670</v>
      </c>
      <c r="D50" s="1">
        <v>90</v>
      </c>
      <c r="E50">
        <v>111</v>
      </c>
      <c r="F50" s="1">
        <v>107</v>
      </c>
      <c r="G50" s="1">
        <v>29</v>
      </c>
      <c r="H50" s="5">
        <v>8</v>
      </c>
      <c r="I50">
        <v>14</v>
      </c>
      <c r="J50">
        <v>24</v>
      </c>
      <c r="K50">
        <v>3</v>
      </c>
      <c r="L50">
        <v>90</v>
      </c>
      <c r="M50">
        <v>118</v>
      </c>
      <c r="N50">
        <v>110</v>
      </c>
      <c r="O50">
        <v>104</v>
      </c>
      <c r="P50">
        <v>9</v>
      </c>
      <c r="Q50">
        <v>15</v>
      </c>
      <c r="R50">
        <v>26</v>
      </c>
      <c r="S50">
        <v>4</v>
      </c>
      <c r="V50" s="11">
        <f t="shared" si="3"/>
        <v>1.5873015873015872</v>
      </c>
      <c r="W50" s="11">
        <f t="shared" si="3"/>
        <v>1.9576719576719577</v>
      </c>
      <c r="X50" s="11">
        <f t="shared" si="3"/>
        <v>1.8871252204585538</v>
      </c>
      <c r="Y50" s="11">
        <f t="shared" si="3"/>
        <v>0.5114638447971781</v>
      </c>
      <c r="Z50" s="11">
        <f t="shared" si="3"/>
        <v>0.14109347442680778</v>
      </c>
      <c r="AA50" s="11">
        <f t="shared" si="3"/>
        <v>0.24691358024691357</v>
      </c>
      <c r="AB50" s="11">
        <f t="shared" si="3"/>
        <v>0.42328042328042331</v>
      </c>
      <c r="AC50" s="11">
        <f t="shared" si="3"/>
        <v>5.2910052910052914E-2</v>
      </c>
      <c r="AD50" s="11">
        <f t="shared" si="3"/>
        <v>1.5873015873015872</v>
      </c>
      <c r="AE50" s="11">
        <f t="shared" si="3"/>
        <v>2.0811287477954146</v>
      </c>
      <c r="AF50" s="11">
        <f t="shared" si="3"/>
        <v>1.9400352733686066</v>
      </c>
      <c r="AG50" s="11">
        <f t="shared" si="3"/>
        <v>1.834215167548501</v>
      </c>
      <c r="AH50" s="11">
        <f t="shared" si="3"/>
        <v>0.15873015873015872</v>
      </c>
      <c r="AI50" s="11">
        <f t="shared" si="3"/>
        <v>0.26455026455026454</v>
      </c>
      <c r="AJ50" s="11">
        <f t="shared" si="3"/>
        <v>0.45855379188712525</v>
      </c>
      <c r="AK50" s="11">
        <f t="shared" si="1"/>
        <v>7.054673721340389E-2</v>
      </c>
    </row>
    <row r="51" spans="1:37" x14ac:dyDescent="0.25">
      <c r="A51" s="17"/>
      <c r="B51" t="s">
        <v>38</v>
      </c>
      <c r="C51" s="1">
        <v>6339</v>
      </c>
      <c r="D51" s="1">
        <v>85</v>
      </c>
      <c r="E51">
        <v>82</v>
      </c>
      <c r="F51" s="1">
        <v>240</v>
      </c>
      <c r="G51" s="1">
        <v>35</v>
      </c>
      <c r="H51" s="5">
        <v>19</v>
      </c>
      <c r="I51">
        <v>11</v>
      </c>
      <c r="J51">
        <v>53</v>
      </c>
      <c r="K51">
        <v>5</v>
      </c>
      <c r="L51">
        <v>89</v>
      </c>
      <c r="M51">
        <v>85</v>
      </c>
      <c r="N51">
        <v>243</v>
      </c>
      <c r="O51">
        <v>108</v>
      </c>
      <c r="P51">
        <v>23</v>
      </c>
      <c r="Q51">
        <v>17</v>
      </c>
      <c r="R51">
        <v>64</v>
      </c>
      <c r="S51">
        <v>8</v>
      </c>
      <c r="V51" s="11">
        <f t="shared" si="3"/>
        <v>1.3409055056002523</v>
      </c>
      <c r="W51" s="11">
        <f t="shared" si="3"/>
        <v>1.2935794289320082</v>
      </c>
      <c r="X51" s="11">
        <f t="shared" si="3"/>
        <v>3.7860861334595359</v>
      </c>
      <c r="Y51" s="11">
        <f t="shared" si="3"/>
        <v>0.55213756112951573</v>
      </c>
      <c r="Z51" s="11">
        <f t="shared" si="3"/>
        <v>0.29973181889887995</v>
      </c>
      <c r="AA51" s="11">
        <f t="shared" si="3"/>
        <v>0.17352894778356207</v>
      </c>
      <c r="AB51" s="11">
        <f t="shared" si="3"/>
        <v>0.8360940211389809</v>
      </c>
      <c r="AC51" s="11">
        <f t="shared" si="3"/>
        <v>7.887679444707367E-2</v>
      </c>
      <c r="AD51" s="11">
        <f t="shared" si="3"/>
        <v>1.4040069411579112</v>
      </c>
      <c r="AE51" s="11">
        <f t="shared" si="3"/>
        <v>1.3409055056002523</v>
      </c>
      <c r="AF51" s="11">
        <f t="shared" si="3"/>
        <v>3.8334122101277806</v>
      </c>
      <c r="AG51" s="11">
        <f t="shared" si="3"/>
        <v>1.7037387600567913</v>
      </c>
      <c r="AH51" s="11">
        <f t="shared" si="3"/>
        <v>0.36283325445653891</v>
      </c>
      <c r="AI51" s="11">
        <f t="shared" si="3"/>
        <v>0.2681811011200505</v>
      </c>
      <c r="AJ51" s="11">
        <f t="shared" si="3"/>
        <v>1.0096229689225431</v>
      </c>
      <c r="AK51" s="11">
        <f t="shared" si="1"/>
        <v>0.12620287111531789</v>
      </c>
    </row>
    <row r="52" spans="1:37" x14ac:dyDescent="0.25">
      <c r="A52" s="17" t="s">
        <v>63</v>
      </c>
      <c r="B52" t="s">
        <v>39</v>
      </c>
      <c r="C52" s="1">
        <v>6346</v>
      </c>
      <c r="D52" s="1">
        <v>68</v>
      </c>
      <c r="E52">
        <v>39</v>
      </c>
      <c r="F52" s="1">
        <v>120</v>
      </c>
      <c r="G52" s="1">
        <v>14</v>
      </c>
      <c r="H52" s="5">
        <v>7</v>
      </c>
      <c r="I52">
        <v>10</v>
      </c>
      <c r="J52">
        <v>47</v>
      </c>
      <c r="K52">
        <v>3</v>
      </c>
      <c r="L52">
        <v>68</v>
      </c>
      <c r="M52">
        <v>39</v>
      </c>
      <c r="N52">
        <v>122</v>
      </c>
      <c r="O52">
        <v>70</v>
      </c>
      <c r="P52">
        <v>7</v>
      </c>
      <c r="Q52">
        <v>11</v>
      </c>
      <c r="R52">
        <v>58</v>
      </c>
      <c r="S52">
        <v>3</v>
      </c>
      <c r="V52" s="7">
        <f t="shared" si="3"/>
        <v>1.0715411282697762</v>
      </c>
      <c r="W52" s="7">
        <f t="shared" si="3"/>
        <v>0.61456035297825407</v>
      </c>
      <c r="X52" s="7">
        <f t="shared" si="3"/>
        <v>1.8909549322407817</v>
      </c>
      <c r="Y52" s="7">
        <f t="shared" si="3"/>
        <v>0.22061140876142452</v>
      </c>
      <c r="Z52" s="7">
        <f t="shared" si="3"/>
        <v>0.11030570438071226</v>
      </c>
      <c r="AA52" s="7">
        <f t="shared" si="3"/>
        <v>0.15757957768673178</v>
      </c>
      <c r="AB52" s="7">
        <f t="shared" si="3"/>
        <v>0.74062401512763942</v>
      </c>
      <c r="AC52" s="7">
        <f t="shared" si="3"/>
        <v>4.7273873306019537E-2</v>
      </c>
      <c r="AD52" s="7">
        <f t="shared" si="3"/>
        <v>1.0715411282697762</v>
      </c>
      <c r="AE52" s="7">
        <f t="shared" si="3"/>
        <v>0.61456035297825407</v>
      </c>
      <c r="AF52" s="7">
        <f t="shared" si="3"/>
        <v>1.922470847778128</v>
      </c>
      <c r="AG52" s="7">
        <f t="shared" si="3"/>
        <v>1.1030570438071228</v>
      </c>
      <c r="AH52" s="7">
        <f t="shared" si="3"/>
        <v>0.11030570438071226</v>
      </c>
      <c r="AI52" s="7">
        <f t="shared" si="3"/>
        <v>0.17333753545540498</v>
      </c>
      <c r="AJ52" s="7">
        <f t="shared" si="3"/>
        <v>0.9139615505830444</v>
      </c>
      <c r="AK52" s="7">
        <f t="shared" si="1"/>
        <v>4.7273873306019537E-2</v>
      </c>
    </row>
    <row r="53" spans="1:37" x14ac:dyDescent="0.25">
      <c r="A53" s="17"/>
      <c r="B53" t="s">
        <v>40</v>
      </c>
      <c r="C53" s="1">
        <v>5546</v>
      </c>
      <c r="D53" s="1">
        <v>75</v>
      </c>
      <c r="E53">
        <v>30</v>
      </c>
      <c r="F53" s="1">
        <v>141</v>
      </c>
      <c r="G53" s="1">
        <v>15</v>
      </c>
      <c r="H53" s="5">
        <v>12</v>
      </c>
      <c r="I53">
        <v>7</v>
      </c>
      <c r="J53">
        <v>25</v>
      </c>
      <c r="K53">
        <v>4</v>
      </c>
      <c r="L53">
        <v>78</v>
      </c>
      <c r="M53">
        <v>30</v>
      </c>
      <c r="N53">
        <v>141</v>
      </c>
      <c r="O53">
        <v>85</v>
      </c>
      <c r="P53">
        <v>13</v>
      </c>
      <c r="Q53">
        <v>8</v>
      </c>
      <c r="R53">
        <v>29</v>
      </c>
      <c r="S53">
        <v>4</v>
      </c>
      <c r="V53" s="7">
        <f t="shared" ref="V53:AJ69" si="4">(D53/$C53)*100</f>
        <v>1.3523260007212405</v>
      </c>
      <c r="W53" s="7">
        <f t="shared" si="4"/>
        <v>0.54093040028849626</v>
      </c>
      <c r="X53" s="7">
        <f t="shared" si="4"/>
        <v>2.5423728813559325</v>
      </c>
      <c r="Y53" s="7">
        <f t="shared" si="4"/>
        <v>0.27046520014424813</v>
      </c>
      <c r="Z53" s="7">
        <f t="shared" si="4"/>
        <v>0.2163721601153985</v>
      </c>
      <c r="AA53" s="7">
        <f t="shared" si="4"/>
        <v>0.12621709340064913</v>
      </c>
      <c r="AB53" s="7">
        <f t="shared" si="4"/>
        <v>0.45077533357374688</v>
      </c>
      <c r="AC53" s="7">
        <f t="shared" si="4"/>
        <v>7.2124053371799501E-2</v>
      </c>
      <c r="AD53" s="7">
        <f t="shared" si="4"/>
        <v>1.4064190407500903</v>
      </c>
      <c r="AE53" s="7">
        <f t="shared" si="4"/>
        <v>0.54093040028849626</v>
      </c>
      <c r="AF53" s="7">
        <f t="shared" si="4"/>
        <v>2.5423728813559325</v>
      </c>
      <c r="AG53" s="7">
        <f t="shared" si="4"/>
        <v>1.5326361341507393</v>
      </c>
      <c r="AH53" s="7">
        <f t="shared" si="4"/>
        <v>0.23440317345834838</v>
      </c>
      <c r="AI53" s="7">
        <f t="shared" si="4"/>
        <v>0.144248106743599</v>
      </c>
      <c r="AJ53" s="7">
        <f t="shared" si="4"/>
        <v>0.52289938694554638</v>
      </c>
      <c r="AK53" s="7">
        <f t="shared" si="1"/>
        <v>7.2124053371799501E-2</v>
      </c>
    </row>
    <row r="54" spans="1:37" x14ac:dyDescent="0.25">
      <c r="A54" s="17"/>
      <c r="B54" t="s">
        <v>41</v>
      </c>
      <c r="C54" s="1">
        <v>6586</v>
      </c>
      <c r="D54" s="1">
        <v>64</v>
      </c>
      <c r="E54">
        <v>78</v>
      </c>
      <c r="F54" s="1">
        <v>136</v>
      </c>
      <c r="G54" s="1">
        <v>23</v>
      </c>
      <c r="H54" s="5">
        <v>10</v>
      </c>
      <c r="I54">
        <v>12</v>
      </c>
      <c r="J54">
        <v>35</v>
      </c>
      <c r="K54">
        <v>5</v>
      </c>
      <c r="L54">
        <v>66</v>
      </c>
      <c r="M54">
        <v>78</v>
      </c>
      <c r="N54">
        <v>136</v>
      </c>
      <c r="O54">
        <v>73</v>
      </c>
      <c r="P54">
        <v>12</v>
      </c>
      <c r="Q54">
        <v>14</v>
      </c>
      <c r="R54">
        <v>42</v>
      </c>
      <c r="S54">
        <v>5</v>
      </c>
      <c r="V54" s="7">
        <f t="shared" si="4"/>
        <v>0.97175827512906177</v>
      </c>
      <c r="W54" s="7">
        <f t="shared" si="4"/>
        <v>1.1843303978135438</v>
      </c>
      <c r="X54" s="7">
        <f t="shared" si="4"/>
        <v>2.0649863346492561</v>
      </c>
      <c r="Y54" s="7">
        <f t="shared" si="4"/>
        <v>0.34922563012450653</v>
      </c>
      <c r="Z54" s="7">
        <f t="shared" si="4"/>
        <v>0.1518372304889159</v>
      </c>
      <c r="AA54" s="7">
        <f t="shared" si="4"/>
        <v>0.18220467658669906</v>
      </c>
      <c r="AB54" s="7">
        <f t="shared" si="4"/>
        <v>0.53143030671120561</v>
      </c>
      <c r="AC54" s="7">
        <f t="shared" si="4"/>
        <v>7.5918615244457949E-2</v>
      </c>
      <c r="AD54" s="7">
        <f t="shared" si="4"/>
        <v>1.0021257212268448</v>
      </c>
      <c r="AE54" s="7">
        <f t="shared" si="4"/>
        <v>1.1843303978135438</v>
      </c>
      <c r="AF54" s="7">
        <f t="shared" si="4"/>
        <v>2.0649863346492561</v>
      </c>
      <c r="AG54" s="7">
        <f t="shared" si="4"/>
        <v>1.1084117825690858</v>
      </c>
      <c r="AH54" s="7">
        <f t="shared" si="4"/>
        <v>0.18220467658669906</v>
      </c>
      <c r="AI54" s="7">
        <f t="shared" si="4"/>
        <v>0.21257212268448225</v>
      </c>
      <c r="AJ54" s="7">
        <f t="shared" si="4"/>
        <v>0.63771636805344678</v>
      </c>
      <c r="AK54" s="7">
        <f t="shared" si="1"/>
        <v>7.5918615244457949E-2</v>
      </c>
    </row>
    <row r="55" spans="1:37" x14ac:dyDescent="0.25">
      <c r="A55" s="17"/>
      <c r="B55" t="s">
        <v>42</v>
      </c>
      <c r="C55" s="1">
        <v>8318</v>
      </c>
      <c r="D55" s="1">
        <v>86</v>
      </c>
      <c r="E55">
        <v>77</v>
      </c>
      <c r="F55" s="1">
        <v>176</v>
      </c>
      <c r="G55" s="1">
        <v>36</v>
      </c>
      <c r="H55" s="5">
        <v>12</v>
      </c>
      <c r="I55">
        <v>8</v>
      </c>
      <c r="J55">
        <v>36</v>
      </c>
      <c r="K55">
        <v>5</v>
      </c>
      <c r="L55">
        <v>88</v>
      </c>
      <c r="M55">
        <v>82</v>
      </c>
      <c r="N55">
        <v>176</v>
      </c>
      <c r="O55">
        <v>104</v>
      </c>
      <c r="P55">
        <v>13</v>
      </c>
      <c r="Q55">
        <v>8</v>
      </c>
      <c r="R55">
        <v>43</v>
      </c>
      <c r="S55">
        <v>5</v>
      </c>
      <c r="V55" s="7">
        <f t="shared" si="4"/>
        <v>1.033902380379899</v>
      </c>
      <c r="W55" s="7">
        <f t="shared" si="4"/>
        <v>0.92570329406107232</v>
      </c>
      <c r="X55" s="7">
        <f t="shared" si="4"/>
        <v>2.1158932435681654</v>
      </c>
      <c r="Y55" s="7">
        <f t="shared" si="4"/>
        <v>0.43279634527530658</v>
      </c>
      <c r="Z55" s="7">
        <f t="shared" si="4"/>
        <v>0.14426544842510219</v>
      </c>
      <c r="AA55" s="7">
        <f t="shared" si="4"/>
        <v>9.6176965616734791E-2</v>
      </c>
      <c r="AB55" s="7">
        <f t="shared" si="4"/>
        <v>0.43279634527530658</v>
      </c>
      <c r="AC55" s="7">
        <f t="shared" si="4"/>
        <v>6.0110603510459243E-2</v>
      </c>
      <c r="AD55" s="7">
        <f t="shared" si="4"/>
        <v>1.0579466217840827</v>
      </c>
      <c r="AE55" s="7">
        <f t="shared" si="4"/>
        <v>0.98581389757153159</v>
      </c>
      <c r="AF55" s="7">
        <f t="shared" si="4"/>
        <v>2.1158932435681654</v>
      </c>
      <c r="AG55" s="7">
        <f t="shared" si="4"/>
        <v>1.2503005530175522</v>
      </c>
      <c r="AH55" s="7">
        <f t="shared" si="4"/>
        <v>0.15628756912719402</v>
      </c>
      <c r="AI55" s="7">
        <f t="shared" si="4"/>
        <v>9.6176965616734791E-2</v>
      </c>
      <c r="AJ55" s="7">
        <f t="shared" si="4"/>
        <v>0.51695119018994951</v>
      </c>
      <c r="AK55" s="7">
        <f t="shared" si="1"/>
        <v>6.0110603510459243E-2</v>
      </c>
    </row>
    <row r="56" spans="1:37" x14ac:dyDescent="0.25">
      <c r="A56" s="17"/>
      <c r="B56" t="s">
        <v>43</v>
      </c>
      <c r="C56" s="1">
        <v>4172</v>
      </c>
      <c r="D56" s="1">
        <v>60</v>
      </c>
      <c r="E56">
        <v>17</v>
      </c>
      <c r="F56" s="1">
        <v>62</v>
      </c>
      <c r="G56" s="1">
        <v>8</v>
      </c>
      <c r="H56" s="5">
        <v>16</v>
      </c>
      <c r="I56">
        <v>4</v>
      </c>
      <c r="J56">
        <v>25</v>
      </c>
      <c r="K56">
        <v>3</v>
      </c>
      <c r="L56">
        <v>62</v>
      </c>
      <c r="M56">
        <v>18</v>
      </c>
      <c r="N56">
        <v>63</v>
      </c>
      <c r="O56">
        <v>67</v>
      </c>
      <c r="P56">
        <v>20</v>
      </c>
      <c r="Q56">
        <v>5</v>
      </c>
      <c r="R56">
        <v>35</v>
      </c>
      <c r="S56">
        <v>4</v>
      </c>
      <c r="V56" s="7">
        <f t="shared" si="4"/>
        <v>1.4381591562799616</v>
      </c>
      <c r="W56" s="7">
        <f t="shared" si="4"/>
        <v>0.40747842761265579</v>
      </c>
      <c r="X56" s="7">
        <f t="shared" si="4"/>
        <v>1.486097794822627</v>
      </c>
      <c r="Y56" s="7">
        <f t="shared" si="4"/>
        <v>0.19175455417066153</v>
      </c>
      <c r="Z56" s="7">
        <f t="shared" si="4"/>
        <v>0.38350910834132307</v>
      </c>
      <c r="AA56" s="7">
        <f t="shared" si="4"/>
        <v>9.5877277085330767E-2</v>
      </c>
      <c r="AB56" s="7">
        <f t="shared" si="4"/>
        <v>0.59923298178331741</v>
      </c>
      <c r="AC56" s="7">
        <f t="shared" si="4"/>
        <v>7.1907957813998086E-2</v>
      </c>
      <c r="AD56" s="7">
        <f t="shared" si="4"/>
        <v>1.486097794822627</v>
      </c>
      <c r="AE56" s="7">
        <f t="shared" si="4"/>
        <v>0.43144774688398851</v>
      </c>
      <c r="AF56" s="7">
        <f t="shared" si="4"/>
        <v>1.5100671140939599</v>
      </c>
      <c r="AG56" s="7">
        <f t="shared" si="4"/>
        <v>1.6059443911792906</v>
      </c>
      <c r="AH56" s="7">
        <f t="shared" si="4"/>
        <v>0.4793863854266539</v>
      </c>
      <c r="AI56" s="7">
        <f t="shared" si="4"/>
        <v>0.11984659635666348</v>
      </c>
      <c r="AJ56" s="7">
        <f t="shared" si="4"/>
        <v>0.83892617449664431</v>
      </c>
      <c r="AK56" s="7">
        <f t="shared" si="1"/>
        <v>9.5877277085330767E-2</v>
      </c>
    </row>
    <row r="57" spans="1:37" x14ac:dyDescent="0.25">
      <c r="A57" s="17"/>
      <c r="B57" t="s">
        <v>44</v>
      </c>
      <c r="C57" s="1">
        <v>7116</v>
      </c>
      <c r="D57" s="1">
        <v>90</v>
      </c>
      <c r="E57">
        <v>47</v>
      </c>
      <c r="F57" s="1">
        <v>129</v>
      </c>
      <c r="G57" s="1">
        <v>17</v>
      </c>
      <c r="H57" s="5">
        <v>7</v>
      </c>
      <c r="I57">
        <v>7</v>
      </c>
      <c r="J57">
        <v>27</v>
      </c>
      <c r="K57">
        <v>2</v>
      </c>
      <c r="L57">
        <v>92</v>
      </c>
      <c r="M57">
        <v>47</v>
      </c>
      <c r="N57">
        <v>130</v>
      </c>
      <c r="O57">
        <v>99</v>
      </c>
      <c r="P57">
        <v>7</v>
      </c>
      <c r="Q57">
        <v>7</v>
      </c>
      <c r="R57">
        <v>34</v>
      </c>
      <c r="S57">
        <v>2</v>
      </c>
      <c r="V57" s="7">
        <f t="shared" si="4"/>
        <v>1.2647554806070826</v>
      </c>
      <c r="W57" s="7">
        <f t="shared" si="4"/>
        <v>0.66048341765036545</v>
      </c>
      <c r="X57" s="7">
        <f t="shared" si="4"/>
        <v>1.8128161888701519</v>
      </c>
      <c r="Y57" s="7">
        <f t="shared" si="4"/>
        <v>0.23889825744800453</v>
      </c>
      <c r="Z57" s="7">
        <f t="shared" si="4"/>
        <v>9.8369870713884214E-2</v>
      </c>
      <c r="AA57" s="7">
        <f t="shared" si="4"/>
        <v>9.8369870713884214E-2</v>
      </c>
      <c r="AB57" s="7">
        <f t="shared" si="4"/>
        <v>0.37942664418212479</v>
      </c>
      <c r="AC57" s="7">
        <f t="shared" si="4"/>
        <v>2.8105677346824058E-2</v>
      </c>
      <c r="AD57" s="7">
        <f t="shared" si="4"/>
        <v>1.2928611579539067</v>
      </c>
      <c r="AE57" s="7">
        <f t="shared" si="4"/>
        <v>0.66048341765036545</v>
      </c>
      <c r="AF57" s="7">
        <f t="shared" si="4"/>
        <v>1.8268690275435637</v>
      </c>
      <c r="AG57" s="7">
        <f t="shared" si="4"/>
        <v>1.3912310286677909</v>
      </c>
      <c r="AH57" s="7">
        <f t="shared" si="4"/>
        <v>9.8369870713884214E-2</v>
      </c>
      <c r="AI57" s="7">
        <f t="shared" si="4"/>
        <v>9.8369870713884214E-2</v>
      </c>
      <c r="AJ57" s="7">
        <f t="shared" si="4"/>
        <v>0.47779651489600905</v>
      </c>
      <c r="AK57" s="7">
        <f t="shared" si="1"/>
        <v>2.8105677346824058E-2</v>
      </c>
    </row>
    <row r="58" spans="1:37" x14ac:dyDescent="0.25">
      <c r="A58" s="17"/>
      <c r="B58" t="s">
        <v>45</v>
      </c>
      <c r="C58" s="1">
        <v>8099</v>
      </c>
      <c r="D58" s="1">
        <v>88</v>
      </c>
      <c r="E58">
        <v>112</v>
      </c>
      <c r="F58" s="1">
        <v>236</v>
      </c>
      <c r="G58" s="1">
        <v>30</v>
      </c>
      <c r="H58" s="5">
        <v>10</v>
      </c>
      <c r="I58">
        <v>7</v>
      </c>
      <c r="J58">
        <v>53</v>
      </c>
      <c r="K58">
        <v>4</v>
      </c>
      <c r="L58">
        <v>88</v>
      </c>
      <c r="M58">
        <v>116</v>
      </c>
      <c r="N58">
        <v>240</v>
      </c>
      <c r="O58">
        <v>105</v>
      </c>
      <c r="P58">
        <v>13</v>
      </c>
      <c r="Q58">
        <v>10</v>
      </c>
      <c r="R58">
        <v>63</v>
      </c>
      <c r="S58">
        <v>7</v>
      </c>
      <c r="V58" s="7">
        <f t="shared" si="4"/>
        <v>1.0865538955426597</v>
      </c>
      <c r="W58" s="7">
        <f t="shared" si="4"/>
        <v>1.3828867761452031</v>
      </c>
      <c r="X58" s="7">
        <f t="shared" si="4"/>
        <v>2.9139399925916782</v>
      </c>
      <c r="Y58" s="7">
        <f t="shared" si="4"/>
        <v>0.37041610075317938</v>
      </c>
      <c r="Z58" s="7">
        <f t="shared" si="4"/>
        <v>0.12347203358439314</v>
      </c>
      <c r="AA58" s="7">
        <f t="shared" si="4"/>
        <v>8.6430423509075191E-2</v>
      </c>
      <c r="AB58" s="7">
        <f t="shared" si="4"/>
        <v>0.65440177799728361</v>
      </c>
      <c r="AC58" s="7">
        <f t="shared" si="4"/>
        <v>4.9388813433757256E-2</v>
      </c>
      <c r="AD58" s="7">
        <f t="shared" si="4"/>
        <v>1.0865538955426597</v>
      </c>
      <c r="AE58" s="7">
        <f t="shared" si="4"/>
        <v>1.4322755895789603</v>
      </c>
      <c r="AF58" s="7">
        <f t="shared" si="4"/>
        <v>2.963328806025435</v>
      </c>
      <c r="AG58" s="7">
        <f t="shared" si="4"/>
        <v>1.2964563526361279</v>
      </c>
      <c r="AH58" s="7">
        <f t="shared" si="4"/>
        <v>0.16051364365971107</v>
      </c>
      <c r="AI58" s="7">
        <f t="shared" si="4"/>
        <v>0.12347203358439314</v>
      </c>
      <c r="AJ58" s="7">
        <f t="shared" si="4"/>
        <v>0.77787381158167668</v>
      </c>
      <c r="AK58" s="7">
        <f t="shared" si="1"/>
        <v>8.6430423509075191E-2</v>
      </c>
    </row>
    <row r="59" spans="1:37" x14ac:dyDescent="0.25">
      <c r="A59" s="17"/>
      <c r="B59" t="s">
        <v>46</v>
      </c>
      <c r="C59" s="1">
        <v>5653</v>
      </c>
      <c r="D59" s="1">
        <v>36</v>
      </c>
      <c r="E59">
        <v>17</v>
      </c>
      <c r="F59" s="1">
        <v>96</v>
      </c>
      <c r="G59" s="1">
        <v>9</v>
      </c>
      <c r="H59" s="5">
        <v>4</v>
      </c>
      <c r="I59">
        <v>1</v>
      </c>
      <c r="J59">
        <v>25</v>
      </c>
      <c r="K59">
        <v>1</v>
      </c>
      <c r="L59">
        <v>37</v>
      </c>
      <c r="M59">
        <v>17</v>
      </c>
      <c r="N59">
        <v>98</v>
      </c>
      <c r="O59">
        <v>41</v>
      </c>
      <c r="P59">
        <v>4</v>
      </c>
      <c r="Q59">
        <v>1</v>
      </c>
      <c r="R59">
        <v>28</v>
      </c>
      <c r="S59">
        <v>1</v>
      </c>
      <c r="V59" s="7">
        <f t="shared" si="4"/>
        <v>0.6368300017689722</v>
      </c>
      <c r="W59" s="7">
        <f t="shared" si="4"/>
        <v>0.30072527861312581</v>
      </c>
      <c r="X59" s="7">
        <f t="shared" si="4"/>
        <v>1.6982133380505926</v>
      </c>
      <c r="Y59" s="7">
        <f t="shared" si="4"/>
        <v>0.15920750044224305</v>
      </c>
      <c r="Z59" s="7">
        <f t="shared" si="4"/>
        <v>7.0758889085441354E-2</v>
      </c>
      <c r="AA59" s="7">
        <f t="shared" si="4"/>
        <v>1.7689722271360338E-2</v>
      </c>
      <c r="AB59" s="7">
        <f t="shared" si="4"/>
        <v>0.44224305678400844</v>
      </c>
      <c r="AC59" s="7">
        <f t="shared" si="4"/>
        <v>1.7689722271360338E-2</v>
      </c>
      <c r="AD59" s="7">
        <f t="shared" si="4"/>
        <v>0.65451972404033254</v>
      </c>
      <c r="AE59" s="7">
        <f t="shared" si="4"/>
        <v>0.30072527861312581</v>
      </c>
      <c r="AF59" s="7">
        <f t="shared" si="4"/>
        <v>1.7335927825933133</v>
      </c>
      <c r="AG59" s="7">
        <f t="shared" si="4"/>
        <v>0.72527861312577391</v>
      </c>
      <c r="AH59" s="7">
        <f t="shared" si="4"/>
        <v>7.0758889085441354E-2</v>
      </c>
      <c r="AI59" s="7">
        <f t="shared" si="4"/>
        <v>1.7689722271360338E-2</v>
      </c>
      <c r="AJ59" s="7">
        <f t="shared" si="4"/>
        <v>0.49531222359808952</v>
      </c>
      <c r="AK59" s="7">
        <f t="shared" si="1"/>
        <v>1.7689722271360338E-2</v>
      </c>
    </row>
    <row r="60" spans="1:37" x14ac:dyDescent="0.25">
      <c r="A60" s="17" t="s">
        <v>64</v>
      </c>
      <c r="B60" t="s">
        <v>47</v>
      </c>
      <c r="C60" s="1">
        <v>5596</v>
      </c>
      <c r="D60" s="1">
        <v>60</v>
      </c>
      <c r="E60">
        <v>56</v>
      </c>
      <c r="F60" s="1">
        <v>89</v>
      </c>
      <c r="G60" s="1">
        <v>13</v>
      </c>
      <c r="H60" s="5">
        <v>7</v>
      </c>
      <c r="I60">
        <v>4</v>
      </c>
      <c r="J60">
        <v>11</v>
      </c>
      <c r="K60">
        <v>0</v>
      </c>
      <c r="L60">
        <v>61</v>
      </c>
      <c r="M60">
        <v>56</v>
      </c>
      <c r="N60">
        <v>89</v>
      </c>
      <c r="O60">
        <v>69</v>
      </c>
      <c r="P60">
        <v>8</v>
      </c>
      <c r="Q60">
        <v>4</v>
      </c>
      <c r="R60">
        <v>13</v>
      </c>
      <c r="S60">
        <v>0</v>
      </c>
      <c r="V60" s="8">
        <f t="shared" si="4"/>
        <v>1.0721944245889923</v>
      </c>
      <c r="W60" s="8">
        <f t="shared" si="4"/>
        <v>1.0007147962830594</v>
      </c>
      <c r="X60" s="8">
        <f t="shared" si="4"/>
        <v>1.5904217298070049</v>
      </c>
      <c r="Y60" s="8">
        <f t="shared" si="4"/>
        <v>0.23230879199428162</v>
      </c>
      <c r="Z60" s="8">
        <f t="shared" si="4"/>
        <v>0.12508934953538242</v>
      </c>
      <c r="AA60" s="8">
        <f t="shared" si="4"/>
        <v>7.147962830593281E-2</v>
      </c>
      <c r="AB60" s="8">
        <f t="shared" si="4"/>
        <v>0.19656897784131522</v>
      </c>
      <c r="AC60" s="8">
        <f t="shared" si="4"/>
        <v>0</v>
      </c>
      <c r="AD60" s="8">
        <f t="shared" si="4"/>
        <v>1.0900643316654752</v>
      </c>
      <c r="AE60" s="8">
        <f t="shared" si="4"/>
        <v>1.0007147962830594</v>
      </c>
      <c r="AF60" s="8">
        <f t="shared" si="4"/>
        <v>1.5904217298070049</v>
      </c>
      <c r="AG60" s="8">
        <f t="shared" si="4"/>
        <v>1.233023588277341</v>
      </c>
      <c r="AH60" s="8">
        <f t="shared" si="4"/>
        <v>0.14295925661186562</v>
      </c>
      <c r="AI60" s="8">
        <f t="shared" si="4"/>
        <v>7.147962830593281E-2</v>
      </c>
      <c r="AJ60" s="8">
        <f t="shared" si="4"/>
        <v>0.23230879199428162</v>
      </c>
      <c r="AK60" s="8">
        <f t="shared" si="1"/>
        <v>0</v>
      </c>
    </row>
    <row r="61" spans="1:37" x14ac:dyDescent="0.25">
      <c r="A61" s="17"/>
      <c r="B61" t="s">
        <v>48</v>
      </c>
      <c r="C61" s="1">
        <v>5802</v>
      </c>
      <c r="D61" s="1">
        <v>90</v>
      </c>
      <c r="E61">
        <v>57</v>
      </c>
      <c r="F61" s="1">
        <v>67</v>
      </c>
      <c r="G61" s="1">
        <v>21</v>
      </c>
      <c r="H61" s="5">
        <v>4</v>
      </c>
      <c r="I61">
        <v>4</v>
      </c>
      <c r="J61">
        <v>7</v>
      </c>
      <c r="K61">
        <v>0</v>
      </c>
      <c r="L61">
        <v>91</v>
      </c>
      <c r="M61">
        <v>59</v>
      </c>
      <c r="N61">
        <v>68</v>
      </c>
      <c r="O61">
        <v>98</v>
      </c>
      <c r="P61">
        <v>4</v>
      </c>
      <c r="Q61">
        <v>5</v>
      </c>
      <c r="R61">
        <v>7</v>
      </c>
      <c r="S61">
        <v>0</v>
      </c>
      <c r="V61" s="8">
        <f t="shared" si="4"/>
        <v>1.5511892450879008</v>
      </c>
      <c r="W61" s="8">
        <f t="shared" si="4"/>
        <v>0.9824198552223371</v>
      </c>
      <c r="X61" s="8">
        <f t="shared" si="4"/>
        <v>1.1547742157876593</v>
      </c>
      <c r="Y61" s="8">
        <f t="shared" si="4"/>
        <v>0.36194415718717682</v>
      </c>
      <c r="Z61" s="8">
        <f t="shared" si="4"/>
        <v>6.894174422612892E-2</v>
      </c>
      <c r="AA61" s="8">
        <f t="shared" si="4"/>
        <v>6.894174422612892E-2</v>
      </c>
      <c r="AB61" s="8">
        <f t="shared" si="4"/>
        <v>0.12064805239572561</v>
      </c>
      <c r="AC61" s="8">
        <f t="shared" si="4"/>
        <v>0</v>
      </c>
      <c r="AD61" s="8">
        <f t="shared" si="4"/>
        <v>1.5684246811444331</v>
      </c>
      <c r="AE61" s="8">
        <f t="shared" si="4"/>
        <v>1.0168907273354015</v>
      </c>
      <c r="AF61" s="8">
        <f t="shared" si="4"/>
        <v>1.1720096518441918</v>
      </c>
      <c r="AG61" s="8">
        <f t="shared" si="4"/>
        <v>1.6890727335401585</v>
      </c>
      <c r="AH61" s="8">
        <f t="shared" si="4"/>
        <v>6.894174422612892E-2</v>
      </c>
      <c r="AI61" s="8">
        <f t="shared" si="4"/>
        <v>8.617718028266115E-2</v>
      </c>
      <c r="AJ61" s="8">
        <f t="shared" si="4"/>
        <v>0.12064805239572561</v>
      </c>
      <c r="AK61" s="8">
        <f t="shared" si="1"/>
        <v>0</v>
      </c>
    </row>
    <row r="62" spans="1:37" x14ac:dyDescent="0.25">
      <c r="A62" s="17"/>
      <c r="B62" t="s">
        <v>49</v>
      </c>
      <c r="C62" s="1">
        <v>3288</v>
      </c>
      <c r="D62" s="1">
        <v>31</v>
      </c>
      <c r="E62">
        <v>6</v>
      </c>
      <c r="F62" s="1">
        <v>34</v>
      </c>
      <c r="G62" s="1">
        <v>2</v>
      </c>
      <c r="H62" s="5">
        <v>0</v>
      </c>
      <c r="I62">
        <v>2</v>
      </c>
      <c r="J62">
        <v>12</v>
      </c>
      <c r="K62">
        <v>0</v>
      </c>
      <c r="L62">
        <v>31</v>
      </c>
      <c r="M62">
        <v>6</v>
      </c>
      <c r="N62">
        <v>34</v>
      </c>
      <c r="O62">
        <v>33</v>
      </c>
      <c r="P62">
        <v>0</v>
      </c>
      <c r="Q62">
        <v>2</v>
      </c>
      <c r="R62">
        <v>16</v>
      </c>
      <c r="S62">
        <v>0</v>
      </c>
      <c r="V62" s="8">
        <f t="shared" si="4"/>
        <v>0.94282238442822386</v>
      </c>
      <c r="W62" s="8">
        <f t="shared" si="4"/>
        <v>0.18248175182481752</v>
      </c>
      <c r="X62" s="8">
        <f t="shared" si="4"/>
        <v>1.0340632603406326</v>
      </c>
      <c r="Y62" s="8">
        <f t="shared" si="4"/>
        <v>6.0827250608272508E-2</v>
      </c>
      <c r="Z62" s="8">
        <f t="shared" si="4"/>
        <v>0</v>
      </c>
      <c r="AA62" s="8">
        <f t="shared" si="4"/>
        <v>6.0827250608272508E-2</v>
      </c>
      <c r="AB62" s="8">
        <f t="shared" si="4"/>
        <v>0.36496350364963503</v>
      </c>
      <c r="AC62" s="8">
        <f t="shared" si="4"/>
        <v>0</v>
      </c>
      <c r="AD62" s="8">
        <f t="shared" si="4"/>
        <v>0.94282238442822386</v>
      </c>
      <c r="AE62" s="8">
        <f t="shared" si="4"/>
        <v>0.18248175182481752</v>
      </c>
      <c r="AF62" s="8">
        <f t="shared" si="4"/>
        <v>1.0340632603406326</v>
      </c>
      <c r="AG62" s="8">
        <f t="shared" si="4"/>
        <v>1.0036496350364963</v>
      </c>
      <c r="AH62" s="8">
        <f t="shared" si="4"/>
        <v>0</v>
      </c>
      <c r="AI62" s="8">
        <f t="shared" si="4"/>
        <v>6.0827250608272508E-2</v>
      </c>
      <c r="AJ62" s="8">
        <f t="shared" si="4"/>
        <v>0.48661800486618007</v>
      </c>
      <c r="AK62" s="8">
        <f t="shared" si="1"/>
        <v>0</v>
      </c>
    </row>
    <row r="63" spans="1:37" x14ac:dyDescent="0.25">
      <c r="A63" s="17"/>
      <c r="B63" t="s">
        <v>50</v>
      </c>
      <c r="C63" s="1">
        <v>3405</v>
      </c>
      <c r="D63" s="1">
        <v>45</v>
      </c>
      <c r="E63">
        <v>38</v>
      </c>
      <c r="F63" s="1">
        <v>69</v>
      </c>
      <c r="G63" s="1">
        <v>13</v>
      </c>
      <c r="H63" s="5">
        <v>12</v>
      </c>
      <c r="I63">
        <v>7</v>
      </c>
      <c r="J63">
        <v>27</v>
      </c>
      <c r="K63">
        <v>5</v>
      </c>
      <c r="L63">
        <v>48</v>
      </c>
      <c r="M63">
        <v>40</v>
      </c>
      <c r="N63">
        <v>71</v>
      </c>
      <c r="O63">
        <v>53</v>
      </c>
      <c r="P63">
        <v>14</v>
      </c>
      <c r="Q63">
        <v>8</v>
      </c>
      <c r="R63">
        <v>31</v>
      </c>
      <c r="S63">
        <v>6</v>
      </c>
      <c r="V63" s="8">
        <f t="shared" si="4"/>
        <v>1.3215859030837005</v>
      </c>
      <c r="W63" s="8">
        <f t="shared" si="4"/>
        <v>1.1160058737151248</v>
      </c>
      <c r="X63" s="8">
        <f t="shared" si="4"/>
        <v>2.0264317180616742</v>
      </c>
      <c r="Y63" s="8">
        <f t="shared" si="4"/>
        <v>0.38179148311306904</v>
      </c>
      <c r="Z63" s="8">
        <f t="shared" si="4"/>
        <v>0.3524229074889868</v>
      </c>
      <c r="AA63" s="8">
        <f t="shared" si="4"/>
        <v>0.20558002936857561</v>
      </c>
      <c r="AB63" s="8">
        <f t="shared" si="4"/>
        <v>0.79295154185022032</v>
      </c>
      <c r="AC63" s="8">
        <f t="shared" si="4"/>
        <v>0.14684287812041116</v>
      </c>
      <c r="AD63" s="8">
        <f t="shared" si="4"/>
        <v>1.4096916299559472</v>
      </c>
      <c r="AE63" s="8">
        <f t="shared" si="4"/>
        <v>1.1747430249632893</v>
      </c>
      <c r="AF63" s="8">
        <f t="shared" si="4"/>
        <v>2.0851688693098382</v>
      </c>
      <c r="AG63" s="8">
        <f t="shared" si="4"/>
        <v>1.5565345080763582</v>
      </c>
      <c r="AH63" s="8">
        <f t="shared" si="4"/>
        <v>0.41116005873715122</v>
      </c>
      <c r="AI63" s="8">
        <f t="shared" si="4"/>
        <v>0.23494860499265785</v>
      </c>
      <c r="AJ63" s="8">
        <f t="shared" si="4"/>
        <v>0.91042584434654927</v>
      </c>
      <c r="AK63" s="8">
        <f t="shared" si="1"/>
        <v>0.1762114537444934</v>
      </c>
    </row>
    <row r="64" spans="1:37" x14ac:dyDescent="0.25">
      <c r="A64" s="17"/>
      <c r="B64" t="s">
        <v>51</v>
      </c>
      <c r="C64" s="1">
        <v>5363</v>
      </c>
      <c r="D64" s="1">
        <v>81</v>
      </c>
      <c r="E64">
        <v>44</v>
      </c>
      <c r="F64" s="1">
        <v>137</v>
      </c>
      <c r="G64" s="1">
        <v>20</v>
      </c>
      <c r="H64" s="5">
        <v>2</v>
      </c>
      <c r="I64">
        <v>0</v>
      </c>
      <c r="J64">
        <v>26</v>
      </c>
      <c r="K64">
        <v>0</v>
      </c>
      <c r="L64">
        <v>84</v>
      </c>
      <c r="M64">
        <v>45</v>
      </c>
      <c r="N64">
        <v>137</v>
      </c>
      <c r="O64">
        <v>95</v>
      </c>
      <c r="P64">
        <v>2</v>
      </c>
      <c r="Q64">
        <v>0</v>
      </c>
      <c r="R64">
        <v>30</v>
      </c>
      <c r="S64">
        <v>0</v>
      </c>
      <c r="V64" s="8">
        <f t="shared" si="4"/>
        <v>1.5103486854372552</v>
      </c>
      <c r="W64" s="8">
        <f t="shared" si="4"/>
        <v>0.82043632295357072</v>
      </c>
      <c r="X64" s="8">
        <f t="shared" si="4"/>
        <v>2.5545403691963453</v>
      </c>
      <c r="Y64" s="8">
        <f t="shared" si="4"/>
        <v>0.37292560134253216</v>
      </c>
      <c r="Z64" s="8">
        <f t="shared" si="4"/>
        <v>3.7292560134253215E-2</v>
      </c>
      <c r="AA64" s="8">
        <f t="shared" si="4"/>
        <v>0</v>
      </c>
      <c r="AB64" s="8">
        <f t="shared" si="4"/>
        <v>0.4848032817452918</v>
      </c>
      <c r="AC64" s="8">
        <f t="shared" si="4"/>
        <v>0</v>
      </c>
      <c r="AD64" s="8">
        <f t="shared" si="4"/>
        <v>1.5662875256386348</v>
      </c>
      <c r="AE64" s="8">
        <f t="shared" si="4"/>
        <v>0.83908260302069726</v>
      </c>
      <c r="AF64" s="8">
        <f t="shared" si="4"/>
        <v>2.5545403691963453</v>
      </c>
      <c r="AG64" s="8">
        <f t="shared" si="4"/>
        <v>1.7713966063770279</v>
      </c>
      <c r="AH64" s="8">
        <f t="shared" si="4"/>
        <v>3.7292560134253215E-2</v>
      </c>
      <c r="AI64" s="8">
        <f t="shared" si="4"/>
        <v>0</v>
      </c>
      <c r="AJ64" s="8">
        <f t="shared" si="4"/>
        <v>0.55938840201379825</v>
      </c>
      <c r="AK64" s="8">
        <f t="shared" si="1"/>
        <v>0</v>
      </c>
    </row>
    <row r="65" spans="1:37" x14ac:dyDescent="0.25">
      <c r="A65" s="17" t="s">
        <v>65</v>
      </c>
      <c r="B65" t="s">
        <v>47</v>
      </c>
      <c r="C65" s="1">
        <v>5596</v>
      </c>
      <c r="D65" s="1">
        <v>60</v>
      </c>
      <c r="E65">
        <v>56</v>
      </c>
      <c r="F65" s="1">
        <v>89</v>
      </c>
      <c r="G65" s="1">
        <v>13</v>
      </c>
      <c r="H65" s="5">
        <v>7</v>
      </c>
      <c r="I65">
        <v>4</v>
      </c>
      <c r="J65">
        <v>11</v>
      </c>
      <c r="K65">
        <v>0</v>
      </c>
      <c r="L65">
        <v>61</v>
      </c>
      <c r="M65">
        <v>56</v>
      </c>
      <c r="N65">
        <v>89</v>
      </c>
      <c r="O65">
        <v>69</v>
      </c>
      <c r="P65">
        <v>8</v>
      </c>
      <c r="Q65">
        <v>4</v>
      </c>
      <c r="R65">
        <v>13</v>
      </c>
      <c r="S65">
        <v>0</v>
      </c>
      <c r="V65" s="9">
        <f t="shared" si="4"/>
        <v>1.0721944245889923</v>
      </c>
      <c r="W65" s="9">
        <f t="shared" si="4"/>
        <v>1.0007147962830594</v>
      </c>
      <c r="X65" s="9">
        <f t="shared" si="4"/>
        <v>1.5904217298070049</v>
      </c>
      <c r="Y65" s="9">
        <f t="shared" si="4"/>
        <v>0.23230879199428162</v>
      </c>
      <c r="Z65" s="9">
        <f t="shared" si="4"/>
        <v>0.12508934953538242</v>
      </c>
      <c r="AA65" s="9">
        <f t="shared" si="4"/>
        <v>7.147962830593281E-2</v>
      </c>
      <c r="AB65" s="9">
        <f t="shared" si="4"/>
        <v>0.19656897784131522</v>
      </c>
      <c r="AC65" s="9">
        <f t="shared" si="4"/>
        <v>0</v>
      </c>
      <c r="AD65" s="9">
        <f t="shared" si="4"/>
        <v>1.0900643316654752</v>
      </c>
      <c r="AE65" s="9">
        <f t="shared" si="4"/>
        <v>1.0007147962830594</v>
      </c>
      <c r="AF65" s="9">
        <f t="shared" si="4"/>
        <v>1.5904217298070049</v>
      </c>
      <c r="AG65" s="9">
        <f t="shared" si="4"/>
        <v>1.233023588277341</v>
      </c>
      <c r="AH65" s="9">
        <f t="shared" si="4"/>
        <v>0.14295925661186562</v>
      </c>
      <c r="AI65" s="9">
        <f t="shared" si="4"/>
        <v>7.147962830593281E-2</v>
      </c>
      <c r="AJ65" s="9">
        <f t="shared" si="4"/>
        <v>0.23230879199428162</v>
      </c>
      <c r="AK65" s="9">
        <f t="shared" si="1"/>
        <v>0</v>
      </c>
    </row>
    <row r="66" spans="1:37" x14ac:dyDescent="0.25">
      <c r="A66" s="17"/>
      <c r="B66" t="s">
        <v>48</v>
      </c>
      <c r="C66" s="1">
        <v>5802</v>
      </c>
      <c r="D66" s="1">
        <v>90</v>
      </c>
      <c r="E66">
        <v>57</v>
      </c>
      <c r="F66" s="1">
        <v>67</v>
      </c>
      <c r="G66" s="1">
        <v>21</v>
      </c>
      <c r="H66" s="5">
        <v>4</v>
      </c>
      <c r="I66">
        <v>4</v>
      </c>
      <c r="J66">
        <v>7</v>
      </c>
      <c r="K66">
        <v>0</v>
      </c>
      <c r="L66">
        <v>91</v>
      </c>
      <c r="M66">
        <v>59</v>
      </c>
      <c r="N66">
        <v>68</v>
      </c>
      <c r="O66">
        <v>98</v>
      </c>
      <c r="P66">
        <v>4</v>
      </c>
      <c r="Q66">
        <v>5</v>
      </c>
      <c r="R66">
        <v>7</v>
      </c>
      <c r="S66">
        <v>0</v>
      </c>
      <c r="V66" s="9">
        <f t="shared" si="4"/>
        <v>1.5511892450879008</v>
      </c>
      <c r="W66" s="9">
        <f t="shared" si="4"/>
        <v>0.9824198552223371</v>
      </c>
      <c r="X66" s="9">
        <f t="shared" si="4"/>
        <v>1.1547742157876593</v>
      </c>
      <c r="Y66" s="9">
        <f t="shared" si="4"/>
        <v>0.36194415718717682</v>
      </c>
      <c r="Z66" s="9">
        <f t="shared" si="4"/>
        <v>6.894174422612892E-2</v>
      </c>
      <c r="AA66" s="9">
        <f t="shared" si="4"/>
        <v>6.894174422612892E-2</v>
      </c>
      <c r="AB66" s="9">
        <f t="shared" si="4"/>
        <v>0.12064805239572561</v>
      </c>
      <c r="AC66" s="9">
        <f t="shared" si="4"/>
        <v>0</v>
      </c>
      <c r="AD66" s="9">
        <f t="shared" si="4"/>
        <v>1.5684246811444331</v>
      </c>
      <c r="AE66" s="9">
        <f t="shared" si="4"/>
        <v>1.0168907273354015</v>
      </c>
      <c r="AF66" s="9">
        <f t="shared" si="4"/>
        <v>1.1720096518441918</v>
      </c>
      <c r="AG66" s="9">
        <f t="shared" si="4"/>
        <v>1.6890727335401585</v>
      </c>
      <c r="AH66" s="9">
        <f t="shared" si="4"/>
        <v>6.894174422612892E-2</v>
      </c>
      <c r="AI66" s="9">
        <f t="shared" si="4"/>
        <v>8.617718028266115E-2</v>
      </c>
      <c r="AJ66" s="9">
        <f t="shared" si="4"/>
        <v>0.12064805239572561</v>
      </c>
      <c r="AK66" s="9">
        <f t="shared" si="1"/>
        <v>0</v>
      </c>
    </row>
    <row r="67" spans="1:37" x14ac:dyDescent="0.25">
      <c r="A67" s="17"/>
      <c r="B67" t="s">
        <v>49</v>
      </c>
      <c r="C67" s="1">
        <v>3288</v>
      </c>
      <c r="D67" s="1">
        <v>31</v>
      </c>
      <c r="E67">
        <v>6</v>
      </c>
      <c r="F67" s="1">
        <v>34</v>
      </c>
      <c r="G67" s="1">
        <v>2</v>
      </c>
      <c r="H67" s="5">
        <v>0</v>
      </c>
      <c r="I67">
        <v>2</v>
      </c>
      <c r="J67">
        <v>12</v>
      </c>
      <c r="K67">
        <v>0</v>
      </c>
      <c r="L67">
        <v>31</v>
      </c>
      <c r="M67">
        <v>6</v>
      </c>
      <c r="N67">
        <v>34</v>
      </c>
      <c r="O67">
        <v>33</v>
      </c>
      <c r="P67">
        <v>0</v>
      </c>
      <c r="Q67">
        <v>2</v>
      </c>
      <c r="R67">
        <v>16</v>
      </c>
      <c r="S67">
        <v>0</v>
      </c>
      <c r="V67" s="9">
        <f t="shared" si="4"/>
        <v>0.94282238442822386</v>
      </c>
      <c r="W67" s="9">
        <f t="shared" si="4"/>
        <v>0.18248175182481752</v>
      </c>
      <c r="X67" s="9">
        <f t="shared" si="4"/>
        <v>1.0340632603406326</v>
      </c>
      <c r="Y67" s="9">
        <f t="shared" si="4"/>
        <v>6.0827250608272508E-2</v>
      </c>
      <c r="Z67" s="9">
        <f t="shared" si="4"/>
        <v>0</v>
      </c>
      <c r="AA67" s="9">
        <f t="shared" si="4"/>
        <v>6.0827250608272508E-2</v>
      </c>
      <c r="AB67" s="9">
        <f t="shared" si="4"/>
        <v>0.36496350364963503</v>
      </c>
      <c r="AC67" s="9">
        <f t="shared" si="4"/>
        <v>0</v>
      </c>
      <c r="AD67" s="9">
        <f t="shared" si="4"/>
        <v>0.94282238442822386</v>
      </c>
      <c r="AE67" s="9">
        <f t="shared" si="4"/>
        <v>0.18248175182481752</v>
      </c>
      <c r="AF67" s="9">
        <f t="shared" si="4"/>
        <v>1.0340632603406326</v>
      </c>
      <c r="AG67" s="9">
        <f t="shared" si="4"/>
        <v>1.0036496350364963</v>
      </c>
      <c r="AH67" s="9">
        <f t="shared" si="4"/>
        <v>0</v>
      </c>
      <c r="AI67" s="9">
        <f t="shared" si="4"/>
        <v>6.0827250608272508E-2</v>
      </c>
      <c r="AJ67" s="9">
        <f t="shared" si="4"/>
        <v>0.48661800486618007</v>
      </c>
      <c r="AK67" s="9">
        <f t="shared" si="1"/>
        <v>0</v>
      </c>
    </row>
    <row r="68" spans="1:37" x14ac:dyDescent="0.25">
      <c r="A68" s="17"/>
      <c r="B68" t="s">
        <v>50</v>
      </c>
      <c r="C68" s="1">
        <v>3405</v>
      </c>
      <c r="D68" s="1">
        <v>45</v>
      </c>
      <c r="E68">
        <v>38</v>
      </c>
      <c r="F68" s="1">
        <v>69</v>
      </c>
      <c r="G68" s="1">
        <v>13</v>
      </c>
      <c r="H68" s="5">
        <v>12</v>
      </c>
      <c r="I68">
        <v>7</v>
      </c>
      <c r="J68">
        <v>27</v>
      </c>
      <c r="K68">
        <v>5</v>
      </c>
      <c r="L68">
        <v>48</v>
      </c>
      <c r="M68">
        <v>40</v>
      </c>
      <c r="N68">
        <v>71</v>
      </c>
      <c r="O68">
        <v>53</v>
      </c>
      <c r="P68">
        <v>14</v>
      </c>
      <c r="Q68">
        <v>8</v>
      </c>
      <c r="R68">
        <v>31</v>
      </c>
      <c r="S68">
        <v>6</v>
      </c>
      <c r="V68" s="9">
        <f t="shared" si="4"/>
        <v>1.3215859030837005</v>
      </c>
      <c r="W68" s="9">
        <f t="shared" si="4"/>
        <v>1.1160058737151248</v>
      </c>
      <c r="X68" s="9">
        <f t="shared" si="4"/>
        <v>2.0264317180616742</v>
      </c>
      <c r="Y68" s="9">
        <f t="shared" si="4"/>
        <v>0.38179148311306904</v>
      </c>
      <c r="Z68" s="9">
        <f t="shared" si="4"/>
        <v>0.3524229074889868</v>
      </c>
      <c r="AA68" s="9">
        <f t="shared" si="4"/>
        <v>0.20558002936857561</v>
      </c>
      <c r="AB68" s="9">
        <f t="shared" si="4"/>
        <v>0.79295154185022032</v>
      </c>
      <c r="AC68" s="9">
        <f t="shared" si="4"/>
        <v>0.14684287812041116</v>
      </c>
      <c r="AD68" s="9">
        <f t="shared" si="4"/>
        <v>1.4096916299559472</v>
      </c>
      <c r="AE68" s="9">
        <f t="shared" si="4"/>
        <v>1.1747430249632893</v>
      </c>
      <c r="AF68" s="9">
        <f t="shared" si="4"/>
        <v>2.0851688693098382</v>
      </c>
      <c r="AG68" s="9">
        <f t="shared" si="4"/>
        <v>1.5565345080763582</v>
      </c>
      <c r="AH68" s="9">
        <f t="shared" si="4"/>
        <v>0.41116005873715122</v>
      </c>
      <c r="AI68" s="9">
        <f t="shared" si="4"/>
        <v>0.23494860499265785</v>
      </c>
      <c r="AJ68" s="9">
        <f t="shared" si="4"/>
        <v>0.91042584434654927</v>
      </c>
      <c r="AK68" s="9">
        <f t="shared" si="1"/>
        <v>0.1762114537444934</v>
      </c>
    </row>
    <row r="69" spans="1:37" x14ac:dyDescent="0.25">
      <c r="A69" s="17"/>
      <c r="B69" t="s">
        <v>51</v>
      </c>
      <c r="C69" s="1">
        <v>5363</v>
      </c>
      <c r="D69" s="1">
        <v>81</v>
      </c>
      <c r="E69">
        <v>44</v>
      </c>
      <c r="F69" s="1">
        <v>137</v>
      </c>
      <c r="G69" s="1">
        <v>20</v>
      </c>
      <c r="H69" s="5">
        <v>2</v>
      </c>
      <c r="I69">
        <v>0</v>
      </c>
      <c r="J69">
        <v>26</v>
      </c>
      <c r="K69">
        <v>0</v>
      </c>
      <c r="L69">
        <v>84</v>
      </c>
      <c r="M69">
        <v>45</v>
      </c>
      <c r="N69">
        <v>137</v>
      </c>
      <c r="O69">
        <v>95</v>
      </c>
      <c r="P69">
        <v>2</v>
      </c>
      <c r="Q69">
        <v>0</v>
      </c>
      <c r="R69">
        <v>30</v>
      </c>
      <c r="S69">
        <v>0</v>
      </c>
      <c r="V69" s="9">
        <f t="shared" si="4"/>
        <v>1.5103486854372552</v>
      </c>
      <c r="W69" s="9">
        <f t="shared" si="4"/>
        <v>0.82043632295357072</v>
      </c>
      <c r="X69" s="9">
        <f t="shared" si="4"/>
        <v>2.5545403691963453</v>
      </c>
      <c r="Y69" s="9">
        <f t="shared" si="4"/>
        <v>0.37292560134253216</v>
      </c>
      <c r="Z69" s="9">
        <f t="shared" si="4"/>
        <v>3.7292560134253215E-2</v>
      </c>
      <c r="AA69" s="9">
        <f t="shared" si="4"/>
        <v>0</v>
      </c>
      <c r="AB69" s="9">
        <f t="shared" si="4"/>
        <v>0.4848032817452918</v>
      </c>
      <c r="AC69" s="9">
        <f t="shared" si="4"/>
        <v>0</v>
      </c>
      <c r="AD69" s="9">
        <f t="shared" si="4"/>
        <v>1.5662875256386348</v>
      </c>
      <c r="AE69" s="9">
        <f t="shared" si="4"/>
        <v>0.83908260302069726</v>
      </c>
      <c r="AF69" s="9">
        <f t="shared" si="4"/>
        <v>2.5545403691963453</v>
      </c>
      <c r="AG69" s="9">
        <f t="shared" si="4"/>
        <v>1.7713966063770279</v>
      </c>
      <c r="AH69" s="9">
        <f t="shared" si="4"/>
        <v>3.7292560134253215E-2</v>
      </c>
      <c r="AI69" s="9">
        <f t="shared" si="4"/>
        <v>0</v>
      </c>
      <c r="AJ69" s="9">
        <f t="shared" si="4"/>
        <v>0.55938840201379825</v>
      </c>
      <c r="AK69" s="9">
        <f t="shared" si="1"/>
        <v>0</v>
      </c>
    </row>
    <row r="70" spans="1:37" x14ac:dyDescent="0.25">
      <c r="A70" s="17" t="s">
        <v>66</v>
      </c>
      <c r="B70" t="s">
        <v>52</v>
      </c>
      <c r="C70" s="1">
        <v>7177</v>
      </c>
      <c r="D70" s="1">
        <v>77</v>
      </c>
      <c r="E70">
        <v>45</v>
      </c>
      <c r="F70" s="1">
        <v>116</v>
      </c>
      <c r="G70" s="1">
        <v>14</v>
      </c>
      <c r="H70" s="5">
        <v>8</v>
      </c>
      <c r="I70">
        <v>7</v>
      </c>
      <c r="J70">
        <v>19</v>
      </c>
      <c r="K70">
        <v>2</v>
      </c>
      <c r="L70">
        <v>77</v>
      </c>
      <c r="M70">
        <v>47</v>
      </c>
      <c r="N70">
        <v>118</v>
      </c>
      <c r="O70">
        <v>78</v>
      </c>
      <c r="P70">
        <v>9</v>
      </c>
      <c r="Q70">
        <v>9</v>
      </c>
      <c r="R70">
        <v>19</v>
      </c>
      <c r="S70">
        <v>2</v>
      </c>
      <c r="V70" s="10">
        <f t="shared" ref="V70:AK85" si="5">(D70/$C70)*100</f>
        <v>1.0728716734011425</v>
      </c>
      <c r="W70" s="10">
        <f t="shared" si="5"/>
        <v>0.6270029260136547</v>
      </c>
      <c r="X70" s="10">
        <f t="shared" si="5"/>
        <v>1.6162742092796434</v>
      </c>
      <c r="Y70" s="10">
        <f t="shared" si="5"/>
        <v>0.19506757698202593</v>
      </c>
      <c r="Z70" s="10">
        <f t="shared" si="5"/>
        <v>0.11146718684687194</v>
      </c>
      <c r="AA70" s="10">
        <f t="shared" si="5"/>
        <v>9.7533788491012963E-2</v>
      </c>
      <c r="AB70" s="10">
        <f t="shared" si="5"/>
        <v>0.2647345687613209</v>
      </c>
      <c r="AC70" s="10">
        <f t="shared" si="5"/>
        <v>2.7866796711717986E-2</v>
      </c>
      <c r="AD70" s="10">
        <f t="shared" si="5"/>
        <v>1.0728716734011425</v>
      </c>
      <c r="AE70" s="10">
        <f t="shared" si="5"/>
        <v>0.65486972272537269</v>
      </c>
      <c r="AF70" s="10">
        <f t="shared" si="5"/>
        <v>1.6441410059913613</v>
      </c>
      <c r="AG70" s="10">
        <f t="shared" si="5"/>
        <v>1.0868050717570017</v>
      </c>
      <c r="AH70" s="10">
        <f t="shared" si="5"/>
        <v>0.12540058520273095</v>
      </c>
      <c r="AI70" s="10">
        <f t="shared" si="5"/>
        <v>0.12540058520273095</v>
      </c>
      <c r="AJ70" s="10">
        <f t="shared" si="5"/>
        <v>0.2647345687613209</v>
      </c>
      <c r="AK70" s="10">
        <f t="shared" si="1"/>
        <v>2.7866796711717986E-2</v>
      </c>
    </row>
    <row r="71" spans="1:37" x14ac:dyDescent="0.25">
      <c r="A71" s="17"/>
      <c r="B71" t="s">
        <v>53</v>
      </c>
      <c r="C71" s="1">
        <v>7031</v>
      </c>
      <c r="D71" s="1">
        <v>103</v>
      </c>
      <c r="E71">
        <v>35</v>
      </c>
      <c r="F71" s="1">
        <v>93</v>
      </c>
      <c r="G71" s="1">
        <v>16</v>
      </c>
      <c r="H71" s="5">
        <v>15</v>
      </c>
      <c r="I71">
        <v>12</v>
      </c>
      <c r="J71">
        <v>37</v>
      </c>
      <c r="K71">
        <v>7</v>
      </c>
      <c r="L71">
        <v>104</v>
      </c>
      <c r="M71">
        <v>36</v>
      </c>
      <c r="N71">
        <v>94</v>
      </c>
      <c r="O71">
        <v>111</v>
      </c>
      <c r="P71">
        <v>17</v>
      </c>
      <c r="Q71">
        <v>14</v>
      </c>
      <c r="R71">
        <v>48</v>
      </c>
      <c r="S71">
        <v>8</v>
      </c>
      <c r="V71" s="10">
        <f t="shared" si="5"/>
        <v>1.4649409756791352</v>
      </c>
      <c r="W71" s="10">
        <f t="shared" si="5"/>
        <v>0.49779547717252171</v>
      </c>
      <c r="X71" s="10">
        <f t="shared" si="5"/>
        <v>1.3227136964869861</v>
      </c>
      <c r="Y71" s="10">
        <f t="shared" si="5"/>
        <v>0.2275636467074385</v>
      </c>
      <c r="Z71" s="10">
        <f t="shared" si="5"/>
        <v>0.21334091878822359</v>
      </c>
      <c r="AA71" s="10">
        <f t="shared" si="5"/>
        <v>0.17067273503057886</v>
      </c>
      <c r="AB71" s="10">
        <f t="shared" si="5"/>
        <v>0.52624093301095154</v>
      </c>
      <c r="AC71" s="10">
        <f t="shared" si="5"/>
        <v>9.9559095434504336E-2</v>
      </c>
      <c r="AD71" s="10">
        <f t="shared" si="5"/>
        <v>1.4791637035983503</v>
      </c>
      <c r="AE71" s="10">
        <f t="shared" si="5"/>
        <v>0.51201820509173657</v>
      </c>
      <c r="AF71" s="10">
        <f t="shared" si="5"/>
        <v>1.3369364244062012</v>
      </c>
      <c r="AG71" s="10">
        <f t="shared" si="5"/>
        <v>1.5787227990328545</v>
      </c>
      <c r="AH71" s="10">
        <f t="shared" si="5"/>
        <v>0.24178637462665339</v>
      </c>
      <c r="AI71" s="10">
        <f t="shared" si="5"/>
        <v>0.19911819086900867</v>
      </c>
      <c r="AJ71" s="10">
        <f t="shared" si="5"/>
        <v>0.68269094012231546</v>
      </c>
      <c r="AK71" s="10">
        <f t="shared" si="1"/>
        <v>0.11378182335371925</v>
      </c>
    </row>
    <row r="72" spans="1:37" x14ac:dyDescent="0.25">
      <c r="A72" s="17"/>
      <c r="B72" t="s">
        <v>54</v>
      </c>
      <c r="C72" s="1">
        <v>6276</v>
      </c>
      <c r="D72" s="1">
        <v>95</v>
      </c>
      <c r="E72">
        <v>97</v>
      </c>
      <c r="F72" s="1">
        <v>219</v>
      </c>
      <c r="G72" s="1">
        <v>33</v>
      </c>
      <c r="H72" s="5">
        <v>19</v>
      </c>
      <c r="I72">
        <v>19</v>
      </c>
      <c r="J72">
        <v>62</v>
      </c>
      <c r="K72">
        <v>8</v>
      </c>
      <c r="L72">
        <v>98</v>
      </c>
      <c r="M72">
        <v>98</v>
      </c>
      <c r="N72">
        <v>222</v>
      </c>
      <c r="O72">
        <v>108</v>
      </c>
      <c r="P72">
        <v>20</v>
      </c>
      <c r="Q72">
        <v>22</v>
      </c>
      <c r="R72">
        <v>76</v>
      </c>
      <c r="S72">
        <v>8</v>
      </c>
      <c r="V72" s="10">
        <f t="shared" si="5"/>
        <v>1.5137029955385597</v>
      </c>
      <c r="W72" s="10">
        <f t="shared" si="5"/>
        <v>1.5455704270235819</v>
      </c>
      <c r="X72" s="10">
        <f t="shared" si="5"/>
        <v>3.4894837476099427</v>
      </c>
      <c r="Y72" s="10">
        <f t="shared" si="5"/>
        <v>0.52581261950286806</v>
      </c>
      <c r="Z72" s="10">
        <f t="shared" si="5"/>
        <v>0.30274059910771189</v>
      </c>
      <c r="AA72" s="10">
        <f t="shared" si="5"/>
        <v>0.30274059910771189</v>
      </c>
      <c r="AB72" s="10">
        <f t="shared" si="5"/>
        <v>0.98789037603569163</v>
      </c>
      <c r="AC72" s="10">
        <f t="shared" si="5"/>
        <v>0.12746972594008923</v>
      </c>
      <c r="AD72" s="10">
        <f t="shared" si="5"/>
        <v>1.561504142766093</v>
      </c>
      <c r="AE72" s="10">
        <f t="shared" si="5"/>
        <v>1.561504142766093</v>
      </c>
      <c r="AF72" s="10">
        <f t="shared" si="5"/>
        <v>3.5372848948374758</v>
      </c>
      <c r="AG72" s="10">
        <f t="shared" si="5"/>
        <v>1.7208413001912046</v>
      </c>
      <c r="AH72" s="10">
        <f t="shared" si="5"/>
        <v>0.31867431485022307</v>
      </c>
      <c r="AI72" s="10">
        <f t="shared" si="5"/>
        <v>0.35054174633524537</v>
      </c>
      <c r="AJ72" s="10">
        <f t="shared" si="5"/>
        <v>1.2109623964308476</v>
      </c>
      <c r="AK72" s="10">
        <f t="shared" si="1"/>
        <v>0.12746972594008923</v>
      </c>
    </row>
    <row r="73" spans="1:37" x14ac:dyDescent="0.25">
      <c r="A73" s="17"/>
      <c r="B73" t="s">
        <v>55</v>
      </c>
      <c r="C73" s="1">
        <v>5532</v>
      </c>
      <c r="D73" s="1">
        <v>59</v>
      </c>
      <c r="E73">
        <v>78</v>
      </c>
      <c r="F73" s="1">
        <v>111</v>
      </c>
      <c r="G73" s="1">
        <v>15</v>
      </c>
      <c r="H73" s="5">
        <v>6</v>
      </c>
      <c r="I73">
        <v>9</v>
      </c>
      <c r="J73">
        <v>26</v>
      </c>
      <c r="K73">
        <v>4</v>
      </c>
      <c r="L73">
        <v>59</v>
      </c>
      <c r="M73">
        <v>79</v>
      </c>
      <c r="N73">
        <v>111</v>
      </c>
      <c r="O73">
        <v>60</v>
      </c>
      <c r="P73">
        <v>8</v>
      </c>
      <c r="Q73">
        <v>9</v>
      </c>
      <c r="R73">
        <v>29</v>
      </c>
      <c r="S73">
        <v>4</v>
      </c>
      <c r="V73" s="10">
        <f t="shared" si="5"/>
        <v>1.0665220535068691</v>
      </c>
      <c r="W73" s="10">
        <f t="shared" si="5"/>
        <v>1.4099783080260302</v>
      </c>
      <c r="X73" s="10">
        <f t="shared" si="5"/>
        <v>2.0065075921908893</v>
      </c>
      <c r="Y73" s="10">
        <f t="shared" si="5"/>
        <v>0.27114967462039047</v>
      </c>
      <c r="Z73" s="10">
        <f t="shared" si="5"/>
        <v>0.10845986984815618</v>
      </c>
      <c r="AA73" s="10">
        <f t="shared" si="5"/>
        <v>0.16268980477223427</v>
      </c>
      <c r="AB73" s="10">
        <f t="shared" si="5"/>
        <v>0.46999276934201012</v>
      </c>
      <c r="AC73" s="10">
        <f t="shared" si="5"/>
        <v>7.230657989877079E-2</v>
      </c>
      <c r="AD73" s="10">
        <f t="shared" si="5"/>
        <v>1.0665220535068691</v>
      </c>
      <c r="AE73" s="10">
        <f t="shared" si="5"/>
        <v>1.4280549530007232</v>
      </c>
      <c r="AF73" s="10">
        <f t="shared" si="5"/>
        <v>2.0065075921908893</v>
      </c>
      <c r="AG73" s="10">
        <f t="shared" si="5"/>
        <v>1.0845986984815619</v>
      </c>
      <c r="AH73" s="10">
        <f t="shared" si="5"/>
        <v>0.14461315979754158</v>
      </c>
      <c r="AI73" s="10">
        <f t="shared" si="5"/>
        <v>0.16268980477223427</v>
      </c>
      <c r="AJ73" s="10">
        <f t="shared" si="5"/>
        <v>0.52422270426608819</v>
      </c>
      <c r="AK73" s="10">
        <f t="shared" si="1"/>
        <v>7.230657989877079E-2</v>
      </c>
    </row>
    <row r="74" spans="1:37" x14ac:dyDescent="0.25">
      <c r="A74" s="17"/>
      <c r="B74" t="s">
        <v>56</v>
      </c>
      <c r="C74" s="1">
        <v>5045</v>
      </c>
      <c r="D74" s="1">
        <v>48</v>
      </c>
      <c r="E74">
        <v>47</v>
      </c>
      <c r="F74" s="1">
        <v>133</v>
      </c>
      <c r="G74" s="1">
        <v>13</v>
      </c>
      <c r="H74" s="5">
        <v>13</v>
      </c>
      <c r="I74">
        <v>5</v>
      </c>
      <c r="J74">
        <v>20</v>
      </c>
      <c r="K74">
        <v>3</v>
      </c>
      <c r="L74">
        <v>51</v>
      </c>
      <c r="M74">
        <v>47</v>
      </c>
      <c r="N74">
        <v>133</v>
      </c>
      <c r="O74">
        <v>58</v>
      </c>
      <c r="P74">
        <v>16</v>
      </c>
      <c r="Q74">
        <v>5</v>
      </c>
      <c r="R74">
        <v>23</v>
      </c>
      <c r="S74">
        <v>3</v>
      </c>
      <c r="V74" s="10">
        <f t="shared" si="5"/>
        <v>0.95143706640237868</v>
      </c>
      <c r="W74" s="10">
        <f t="shared" si="5"/>
        <v>0.93161546085232905</v>
      </c>
      <c r="X74" s="10">
        <f t="shared" si="5"/>
        <v>2.6362735381565905</v>
      </c>
      <c r="Y74" s="10">
        <f t="shared" si="5"/>
        <v>0.25768087215064422</v>
      </c>
      <c r="Z74" s="10">
        <f t="shared" si="5"/>
        <v>0.25768087215064422</v>
      </c>
      <c r="AA74" s="10">
        <f t="shared" si="5"/>
        <v>9.9108027750247768E-2</v>
      </c>
      <c r="AB74" s="10">
        <f t="shared" si="5"/>
        <v>0.39643211100099107</v>
      </c>
      <c r="AC74" s="10">
        <f t="shared" si="5"/>
        <v>5.9464816650148668E-2</v>
      </c>
      <c r="AD74" s="10">
        <f t="shared" si="5"/>
        <v>1.0109018830525274</v>
      </c>
      <c r="AE74" s="10">
        <f t="shared" si="5"/>
        <v>0.93161546085232905</v>
      </c>
      <c r="AF74" s="10">
        <f t="shared" si="5"/>
        <v>2.6362735381565905</v>
      </c>
      <c r="AG74" s="10">
        <f t="shared" si="5"/>
        <v>1.1496531219028743</v>
      </c>
      <c r="AH74" s="10">
        <f t="shared" si="5"/>
        <v>0.31714568880079286</v>
      </c>
      <c r="AI74" s="10">
        <f t="shared" si="5"/>
        <v>9.9108027750247768E-2</v>
      </c>
      <c r="AJ74" s="10">
        <f t="shared" si="5"/>
        <v>0.45589692765113976</v>
      </c>
      <c r="AK74" s="10">
        <f t="shared" si="1"/>
        <v>5.9464816650148668E-2</v>
      </c>
    </row>
    <row r="75" spans="1:37" x14ac:dyDescent="0.25">
      <c r="A75" s="17"/>
      <c r="B75" t="s">
        <v>57</v>
      </c>
      <c r="C75" s="1">
        <v>8377</v>
      </c>
      <c r="D75" s="1">
        <v>99</v>
      </c>
      <c r="E75">
        <v>120</v>
      </c>
      <c r="F75" s="1">
        <v>195</v>
      </c>
      <c r="G75" s="1">
        <v>34</v>
      </c>
      <c r="H75" s="5">
        <v>18</v>
      </c>
      <c r="I75">
        <v>16</v>
      </c>
      <c r="J75">
        <v>51</v>
      </c>
      <c r="K75">
        <v>1</v>
      </c>
      <c r="L75">
        <v>102</v>
      </c>
      <c r="M75">
        <v>121</v>
      </c>
      <c r="N75">
        <v>196</v>
      </c>
      <c r="O75">
        <v>123</v>
      </c>
      <c r="P75">
        <v>20</v>
      </c>
      <c r="Q75">
        <v>22</v>
      </c>
      <c r="R75">
        <v>60</v>
      </c>
      <c r="S75">
        <v>1</v>
      </c>
      <c r="V75" s="10">
        <f t="shared" si="5"/>
        <v>1.181807329592933</v>
      </c>
      <c r="W75" s="10">
        <f t="shared" si="5"/>
        <v>1.4324937328399188</v>
      </c>
      <c r="X75" s="10">
        <f t="shared" si="5"/>
        <v>2.3278023158648677</v>
      </c>
      <c r="Y75" s="10">
        <f t="shared" si="5"/>
        <v>0.40587322430464368</v>
      </c>
      <c r="Z75" s="10">
        <f t="shared" si="5"/>
        <v>0.21487405992598785</v>
      </c>
      <c r="AA75" s="10">
        <f t="shared" si="5"/>
        <v>0.19099916437865583</v>
      </c>
      <c r="AB75" s="10">
        <f t="shared" si="5"/>
        <v>0.60880983645696551</v>
      </c>
      <c r="AC75" s="10">
        <f t="shared" si="5"/>
        <v>1.1937447773665989E-2</v>
      </c>
      <c r="AD75" s="10">
        <f t="shared" si="5"/>
        <v>1.217619672913931</v>
      </c>
      <c r="AE75" s="10">
        <f t="shared" si="5"/>
        <v>1.4444311806135848</v>
      </c>
      <c r="AF75" s="10">
        <f t="shared" si="5"/>
        <v>2.339739763638534</v>
      </c>
      <c r="AG75" s="10">
        <f t="shared" si="5"/>
        <v>1.4683060761609168</v>
      </c>
      <c r="AH75" s="10">
        <f t="shared" si="5"/>
        <v>0.23874895547331981</v>
      </c>
      <c r="AI75" s="10">
        <f t="shared" si="5"/>
        <v>0.26262385102065178</v>
      </c>
      <c r="AJ75" s="10">
        <f t="shared" si="5"/>
        <v>0.71624686641995938</v>
      </c>
      <c r="AK75" s="10">
        <f t="shared" si="1"/>
        <v>1.1937447773665989E-2</v>
      </c>
    </row>
    <row r="76" spans="1:37" x14ac:dyDescent="0.25">
      <c r="A76" s="17"/>
      <c r="B76" t="s">
        <v>58</v>
      </c>
      <c r="C76" s="1">
        <v>7323</v>
      </c>
      <c r="D76" s="1">
        <v>80</v>
      </c>
      <c r="E76">
        <v>58</v>
      </c>
      <c r="F76" s="1">
        <v>232</v>
      </c>
      <c r="G76" s="1">
        <v>35</v>
      </c>
      <c r="H76" s="5">
        <v>13</v>
      </c>
      <c r="I76">
        <v>8</v>
      </c>
      <c r="J76">
        <v>70</v>
      </c>
      <c r="K76">
        <v>6</v>
      </c>
      <c r="L76">
        <v>81</v>
      </c>
      <c r="M76">
        <v>59</v>
      </c>
      <c r="N76">
        <v>233</v>
      </c>
      <c r="O76">
        <v>93</v>
      </c>
      <c r="P76">
        <v>17</v>
      </c>
      <c r="Q76">
        <v>10</v>
      </c>
      <c r="R76">
        <v>87</v>
      </c>
      <c r="S76">
        <v>8</v>
      </c>
      <c r="V76" s="10">
        <f t="shared" si="5"/>
        <v>1.0924484500887615</v>
      </c>
      <c r="W76" s="10">
        <f t="shared" si="5"/>
        <v>0.79202512631435207</v>
      </c>
      <c r="X76" s="10">
        <f t="shared" si="5"/>
        <v>3.1681005052574083</v>
      </c>
      <c r="Y76" s="10">
        <f t="shared" si="5"/>
        <v>0.47794619691383317</v>
      </c>
      <c r="Z76" s="10">
        <f t="shared" si="5"/>
        <v>0.17752287313942372</v>
      </c>
      <c r="AA76" s="10">
        <f t="shared" si="5"/>
        <v>0.10924484500887614</v>
      </c>
      <c r="AB76" s="10">
        <f t="shared" si="5"/>
        <v>0.95589239382766633</v>
      </c>
      <c r="AC76" s="10">
        <f t="shared" si="5"/>
        <v>8.1933633756657104E-2</v>
      </c>
      <c r="AD76" s="10">
        <f t="shared" si="5"/>
        <v>1.1061040557148711</v>
      </c>
      <c r="AE76" s="10">
        <f t="shared" si="5"/>
        <v>0.80568073194046153</v>
      </c>
      <c r="AF76" s="10">
        <f t="shared" si="5"/>
        <v>3.181756110883518</v>
      </c>
      <c r="AG76" s="10">
        <f t="shared" si="5"/>
        <v>1.2699713232281851</v>
      </c>
      <c r="AH76" s="10">
        <f t="shared" si="5"/>
        <v>0.2321452956438618</v>
      </c>
      <c r="AI76" s="10">
        <f t="shared" si="5"/>
        <v>0.13655605626109518</v>
      </c>
      <c r="AJ76" s="10">
        <f t="shared" si="5"/>
        <v>1.1880376894715281</v>
      </c>
      <c r="AK76" s="10">
        <f t="shared" si="1"/>
        <v>0.10924484500887614</v>
      </c>
    </row>
    <row r="77" spans="1:37" x14ac:dyDescent="0.25">
      <c r="A77" s="17"/>
      <c r="B77" t="s">
        <v>59</v>
      </c>
      <c r="C77" s="1">
        <v>5952</v>
      </c>
      <c r="D77" s="1">
        <v>155</v>
      </c>
      <c r="E77">
        <v>84</v>
      </c>
      <c r="F77" s="1">
        <v>207</v>
      </c>
      <c r="G77" s="1">
        <v>41</v>
      </c>
      <c r="H77" s="5">
        <v>32</v>
      </c>
      <c r="I77">
        <v>13</v>
      </c>
      <c r="J77">
        <v>68</v>
      </c>
      <c r="K77">
        <v>9</v>
      </c>
      <c r="L77">
        <v>162</v>
      </c>
      <c r="M77">
        <v>86</v>
      </c>
      <c r="N77">
        <v>209</v>
      </c>
      <c r="O77">
        <v>180</v>
      </c>
      <c r="P77">
        <v>40</v>
      </c>
      <c r="Q77">
        <v>17</v>
      </c>
      <c r="R77">
        <v>96</v>
      </c>
      <c r="S77">
        <v>13</v>
      </c>
      <c r="V77" s="10">
        <f t="shared" si="5"/>
        <v>2.604166666666667</v>
      </c>
      <c r="W77" s="10">
        <f t="shared" si="5"/>
        <v>1.411290322580645</v>
      </c>
      <c r="X77" s="10">
        <f t="shared" si="5"/>
        <v>3.477822580645161</v>
      </c>
      <c r="Y77" s="10">
        <f t="shared" si="5"/>
        <v>0.68884408602150538</v>
      </c>
      <c r="Z77" s="10">
        <f t="shared" si="5"/>
        <v>0.53763440860215062</v>
      </c>
      <c r="AA77" s="10">
        <f t="shared" si="5"/>
        <v>0.21841397849462363</v>
      </c>
      <c r="AB77" s="10">
        <f t="shared" si="5"/>
        <v>1.14247311827957</v>
      </c>
      <c r="AC77" s="10">
        <f t="shared" si="5"/>
        <v>0.15120967741935484</v>
      </c>
      <c r="AD77" s="10">
        <f t="shared" si="5"/>
        <v>2.721774193548387</v>
      </c>
      <c r="AE77" s="10">
        <f t="shared" si="5"/>
        <v>1.4448924731182795</v>
      </c>
      <c r="AF77" s="10">
        <f t="shared" si="5"/>
        <v>3.5114247311827955</v>
      </c>
      <c r="AG77" s="10">
        <f t="shared" si="5"/>
        <v>3.024193548387097</v>
      </c>
      <c r="AH77" s="10">
        <f t="shared" si="5"/>
        <v>0.67204301075268813</v>
      </c>
      <c r="AI77" s="10">
        <f t="shared" si="5"/>
        <v>0.2856182795698925</v>
      </c>
      <c r="AJ77" s="10">
        <f t="shared" si="5"/>
        <v>1.6129032258064515</v>
      </c>
      <c r="AK77" s="10">
        <f t="shared" si="1"/>
        <v>0.21841397849462363</v>
      </c>
    </row>
    <row r="78" spans="1:37" x14ac:dyDescent="0.25">
      <c r="A78" s="17" t="s">
        <v>67</v>
      </c>
      <c r="B78" t="s">
        <v>52</v>
      </c>
      <c r="C78" s="1">
        <v>7177</v>
      </c>
      <c r="D78" s="1">
        <v>77</v>
      </c>
      <c r="E78">
        <v>45</v>
      </c>
      <c r="F78" s="1">
        <v>116</v>
      </c>
      <c r="G78" s="1">
        <v>14</v>
      </c>
      <c r="H78" s="5">
        <v>8</v>
      </c>
      <c r="I78">
        <v>7</v>
      </c>
      <c r="J78">
        <v>19</v>
      </c>
      <c r="K78">
        <v>2</v>
      </c>
      <c r="L78">
        <v>77</v>
      </c>
      <c r="M78">
        <v>47</v>
      </c>
      <c r="N78">
        <v>118</v>
      </c>
      <c r="O78">
        <v>78</v>
      </c>
      <c r="P78">
        <v>9</v>
      </c>
      <c r="Q78">
        <v>9</v>
      </c>
      <c r="R78">
        <v>19</v>
      </c>
      <c r="S78">
        <v>2</v>
      </c>
      <c r="V78" s="11">
        <f t="shared" si="5"/>
        <v>1.0728716734011425</v>
      </c>
      <c r="W78" s="11">
        <f t="shared" si="5"/>
        <v>0.6270029260136547</v>
      </c>
      <c r="X78" s="11">
        <f t="shared" si="5"/>
        <v>1.6162742092796434</v>
      </c>
      <c r="Y78" s="11">
        <f t="shared" si="5"/>
        <v>0.19506757698202593</v>
      </c>
      <c r="Z78" s="11">
        <f t="shared" si="5"/>
        <v>0.11146718684687194</v>
      </c>
      <c r="AA78" s="11">
        <f t="shared" si="5"/>
        <v>9.7533788491012963E-2</v>
      </c>
      <c r="AB78" s="11">
        <f t="shared" si="5"/>
        <v>0.2647345687613209</v>
      </c>
      <c r="AC78" s="11">
        <f t="shared" si="5"/>
        <v>2.7866796711717986E-2</v>
      </c>
      <c r="AD78" s="11">
        <f t="shared" si="5"/>
        <v>1.0728716734011425</v>
      </c>
      <c r="AE78" s="11">
        <f t="shared" si="5"/>
        <v>0.65486972272537269</v>
      </c>
      <c r="AF78" s="11">
        <f t="shared" si="5"/>
        <v>1.6441410059913613</v>
      </c>
      <c r="AG78" s="11">
        <f t="shared" si="5"/>
        <v>1.0868050717570017</v>
      </c>
      <c r="AH78" s="11">
        <f t="shared" si="5"/>
        <v>0.12540058520273095</v>
      </c>
      <c r="AI78" s="11">
        <f t="shared" si="5"/>
        <v>0.12540058520273095</v>
      </c>
      <c r="AJ78" s="11">
        <f t="shared" si="5"/>
        <v>0.2647345687613209</v>
      </c>
      <c r="AK78" s="11">
        <f t="shared" si="1"/>
        <v>2.7866796711717986E-2</v>
      </c>
    </row>
    <row r="79" spans="1:37" x14ac:dyDescent="0.25">
      <c r="A79" s="17"/>
      <c r="B79" t="s">
        <v>53</v>
      </c>
      <c r="C79" s="1">
        <v>7031</v>
      </c>
      <c r="D79" s="1">
        <v>103</v>
      </c>
      <c r="E79">
        <v>35</v>
      </c>
      <c r="F79" s="1">
        <v>93</v>
      </c>
      <c r="G79" s="1">
        <v>16</v>
      </c>
      <c r="H79" s="5">
        <v>15</v>
      </c>
      <c r="I79">
        <v>12</v>
      </c>
      <c r="J79">
        <v>37</v>
      </c>
      <c r="K79">
        <v>7</v>
      </c>
      <c r="L79">
        <v>104</v>
      </c>
      <c r="M79">
        <v>36</v>
      </c>
      <c r="N79">
        <v>94</v>
      </c>
      <c r="O79">
        <v>111</v>
      </c>
      <c r="P79">
        <v>17</v>
      </c>
      <c r="Q79">
        <v>14</v>
      </c>
      <c r="R79">
        <v>48</v>
      </c>
      <c r="S79">
        <v>8</v>
      </c>
      <c r="V79" s="11">
        <f t="shared" si="5"/>
        <v>1.4649409756791352</v>
      </c>
      <c r="W79" s="11">
        <f t="shared" si="5"/>
        <v>0.49779547717252171</v>
      </c>
      <c r="X79" s="11">
        <f t="shared" si="5"/>
        <v>1.3227136964869861</v>
      </c>
      <c r="Y79" s="11">
        <f t="shared" si="5"/>
        <v>0.2275636467074385</v>
      </c>
      <c r="Z79" s="11">
        <f t="shared" si="5"/>
        <v>0.21334091878822359</v>
      </c>
      <c r="AA79" s="11">
        <f t="shared" si="5"/>
        <v>0.17067273503057886</v>
      </c>
      <c r="AB79" s="11">
        <f t="shared" si="5"/>
        <v>0.52624093301095154</v>
      </c>
      <c r="AC79" s="11">
        <f t="shared" si="5"/>
        <v>9.9559095434504336E-2</v>
      </c>
      <c r="AD79" s="11">
        <f t="shared" si="5"/>
        <v>1.4791637035983503</v>
      </c>
      <c r="AE79" s="11">
        <f t="shared" si="5"/>
        <v>0.51201820509173657</v>
      </c>
      <c r="AF79" s="11">
        <f t="shared" si="5"/>
        <v>1.3369364244062012</v>
      </c>
      <c r="AG79" s="11">
        <f t="shared" si="5"/>
        <v>1.5787227990328545</v>
      </c>
      <c r="AH79" s="11">
        <f t="shared" si="5"/>
        <v>0.24178637462665339</v>
      </c>
      <c r="AI79" s="11">
        <f t="shared" si="5"/>
        <v>0.19911819086900867</v>
      </c>
      <c r="AJ79" s="11">
        <f t="shared" si="5"/>
        <v>0.68269094012231546</v>
      </c>
      <c r="AK79" s="11">
        <f t="shared" si="1"/>
        <v>0.11378182335371925</v>
      </c>
    </row>
    <row r="80" spans="1:37" x14ac:dyDescent="0.25">
      <c r="A80" s="17"/>
      <c r="B80" t="s">
        <v>54</v>
      </c>
      <c r="C80" s="1">
        <v>6276</v>
      </c>
      <c r="D80" s="1">
        <v>95</v>
      </c>
      <c r="E80">
        <v>97</v>
      </c>
      <c r="F80" s="1">
        <v>219</v>
      </c>
      <c r="G80" s="1">
        <v>33</v>
      </c>
      <c r="H80" s="5">
        <v>19</v>
      </c>
      <c r="I80">
        <v>19</v>
      </c>
      <c r="J80">
        <v>62</v>
      </c>
      <c r="K80">
        <v>8</v>
      </c>
      <c r="L80">
        <v>98</v>
      </c>
      <c r="M80">
        <v>98</v>
      </c>
      <c r="N80">
        <v>222</v>
      </c>
      <c r="O80">
        <v>108</v>
      </c>
      <c r="P80">
        <v>20</v>
      </c>
      <c r="Q80">
        <v>22</v>
      </c>
      <c r="R80">
        <v>76</v>
      </c>
      <c r="S80">
        <v>8</v>
      </c>
      <c r="V80" s="11">
        <f t="shared" si="5"/>
        <v>1.5137029955385597</v>
      </c>
      <c r="W80" s="11">
        <f t="shared" si="5"/>
        <v>1.5455704270235819</v>
      </c>
      <c r="X80" s="11">
        <f t="shared" si="5"/>
        <v>3.4894837476099427</v>
      </c>
      <c r="Y80" s="11">
        <f t="shared" si="5"/>
        <v>0.52581261950286806</v>
      </c>
      <c r="Z80" s="11">
        <f t="shared" si="5"/>
        <v>0.30274059910771189</v>
      </c>
      <c r="AA80" s="11">
        <f t="shared" si="5"/>
        <v>0.30274059910771189</v>
      </c>
      <c r="AB80" s="11">
        <f t="shared" si="5"/>
        <v>0.98789037603569163</v>
      </c>
      <c r="AC80" s="11">
        <f t="shared" si="5"/>
        <v>0.12746972594008923</v>
      </c>
      <c r="AD80" s="11">
        <f t="shared" si="5"/>
        <v>1.561504142766093</v>
      </c>
      <c r="AE80" s="11">
        <f t="shared" si="5"/>
        <v>1.561504142766093</v>
      </c>
      <c r="AF80" s="11">
        <f t="shared" si="5"/>
        <v>3.5372848948374758</v>
      </c>
      <c r="AG80" s="11">
        <f t="shared" si="5"/>
        <v>1.7208413001912046</v>
      </c>
      <c r="AH80" s="11">
        <f t="shared" si="5"/>
        <v>0.31867431485022307</v>
      </c>
      <c r="AI80" s="11">
        <f t="shared" si="5"/>
        <v>0.35054174633524537</v>
      </c>
      <c r="AJ80" s="11">
        <f t="shared" si="5"/>
        <v>1.2109623964308476</v>
      </c>
      <c r="AK80" s="11">
        <f t="shared" si="1"/>
        <v>0.12746972594008923</v>
      </c>
    </row>
    <row r="81" spans="1:37" x14ac:dyDescent="0.25">
      <c r="A81" s="17"/>
      <c r="B81" t="s">
        <v>55</v>
      </c>
      <c r="C81" s="1">
        <v>5532</v>
      </c>
      <c r="D81" s="1">
        <v>59</v>
      </c>
      <c r="E81">
        <v>78</v>
      </c>
      <c r="F81" s="1">
        <v>111</v>
      </c>
      <c r="G81" s="1">
        <v>15</v>
      </c>
      <c r="H81" s="5">
        <v>6</v>
      </c>
      <c r="I81">
        <v>9</v>
      </c>
      <c r="J81">
        <v>26</v>
      </c>
      <c r="K81">
        <v>4</v>
      </c>
      <c r="L81">
        <v>59</v>
      </c>
      <c r="M81">
        <v>79</v>
      </c>
      <c r="N81">
        <v>111</v>
      </c>
      <c r="O81">
        <v>60</v>
      </c>
      <c r="P81">
        <v>8</v>
      </c>
      <c r="Q81">
        <v>9</v>
      </c>
      <c r="R81">
        <v>29</v>
      </c>
      <c r="S81">
        <v>4</v>
      </c>
      <c r="V81" s="11">
        <f t="shared" si="5"/>
        <v>1.0665220535068691</v>
      </c>
      <c r="W81" s="11">
        <f t="shared" si="5"/>
        <v>1.4099783080260302</v>
      </c>
      <c r="X81" s="11">
        <f t="shared" si="5"/>
        <v>2.0065075921908893</v>
      </c>
      <c r="Y81" s="11">
        <f t="shared" si="5"/>
        <v>0.27114967462039047</v>
      </c>
      <c r="Z81" s="11">
        <f t="shared" si="5"/>
        <v>0.10845986984815618</v>
      </c>
      <c r="AA81" s="11">
        <f t="shared" si="5"/>
        <v>0.16268980477223427</v>
      </c>
      <c r="AB81" s="11">
        <f t="shared" si="5"/>
        <v>0.46999276934201012</v>
      </c>
      <c r="AC81" s="11">
        <f t="shared" si="5"/>
        <v>7.230657989877079E-2</v>
      </c>
      <c r="AD81" s="11">
        <f t="shared" si="5"/>
        <v>1.0665220535068691</v>
      </c>
      <c r="AE81" s="11">
        <f t="shared" si="5"/>
        <v>1.4280549530007232</v>
      </c>
      <c r="AF81" s="11">
        <f t="shared" si="5"/>
        <v>2.0065075921908893</v>
      </c>
      <c r="AG81" s="11">
        <f t="shared" si="5"/>
        <v>1.0845986984815619</v>
      </c>
      <c r="AH81" s="11">
        <f t="shared" si="5"/>
        <v>0.14461315979754158</v>
      </c>
      <c r="AI81" s="11">
        <f t="shared" si="5"/>
        <v>0.16268980477223427</v>
      </c>
      <c r="AJ81" s="11">
        <f t="shared" si="5"/>
        <v>0.52422270426608819</v>
      </c>
      <c r="AK81" s="11">
        <f t="shared" si="1"/>
        <v>7.230657989877079E-2</v>
      </c>
    </row>
    <row r="82" spans="1:37" x14ac:dyDescent="0.25">
      <c r="A82" s="17"/>
      <c r="B82" t="s">
        <v>56</v>
      </c>
      <c r="C82" s="1">
        <v>5045</v>
      </c>
      <c r="D82" s="1">
        <v>48</v>
      </c>
      <c r="E82">
        <v>47</v>
      </c>
      <c r="F82" s="1">
        <v>133</v>
      </c>
      <c r="G82" s="1">
        <v>13</v>
      </c>
      <c r="H82" s="5">
        <v>13</v>
      </c>
      <c r="I82">
        <v>5</v>
      </c>
      <c r="J82">
        <v>20</v>
      </c>
      <c r="K82">
        <v>3</v>
      </c>
      <c r="L82">
        <v>51</v>
      </c>
      <c r="M82">
        <v>47</v>
      </c>
      <c r="N82">
        <v>133</v>
      </c>
      <c r="O82">
        <v>58</v>
      </c>
      <c r="P82">
        <v>16</v>
      </c>
      <c r="Q82">
        <v>5</v>
      </c>
      <c r="R82">
        <v>23</v>
      </c>
      <c r="S82">
        <v>3</v>
      </c>
      <c r="V82" s="11">
        <f t="shared" si="5"/>
        <v>0.95143706640237868</v>
      </c>
      <c r="W82" s="11">
        <f t="shared" si="5"/>
        <v>0.93161546085232905</v>
      </c>
      <c r="X82" s="11">
        <f t="shared" si="5"/>
        <v>2.6362735381565905</v>
      </c>
      <c r="Y82" s="11">
        <f t="shared" si="5"/>
        <v>0.25768087215064422</v>
      </c>
      <c r="Z82" s="11">
        <f t="shared" si="5"/>
        <v>0.25768087215064422</v>
      </c>
      <c r="AA82" s="11">
        <f t="shared" si="5"/>
        <v>9.9108027750247768E-2</v>
      </c>
      <c r="AB82" s="11">
        <f t="shared" si="5"/>
        <v>0.39643211100099107</v>
      </c>
      <c r="AC82" s="11">
        <f t="shared" si="5"/>
        <v>5.9464816650148668E-2</v>
      </c>
      <c r="AD82" s="11">
        <f t="shared" si="5"/>
        <v>1.0109018830525274</v>
      </c>
      <c r="AE82" s="11">
        <f t="shared" si="5"/>
        <v>0.93161546085232905</v>
      </c>
      <c r="AF82" s="11">
        <f t="shared" si="5"/>
        <v>2.6362735381565905</v>
      </c>
      <c r="AG82" s="11">
        <f t="shared" si="5"/>
        <v>1.1496531219028743</v>
      </c>
      <c r="AH82" s="11">
        <f t="shared" si="5"/>
        <v>0.31714568880079286</v>
      </c>
      <c r="AI82" s="11">
        <f t="shared" si="5"/>
        <v>9.9108027750247768E-2</v>
      </c>
      <c r="AJ82" s="11">
        <f t="shared" si="5"/>
        <v>0.45589692765113976</v>
      </c>
      <c r="AK82" s="11">
        <f t="shared" si="5"/>
        <v>5.9464816650148668E-2</v>
      </c>
    </row>
    <row r="83" spans="1:37" x14ac:dyDescent="0.25">
      <c r="A83" s="17"/>
      <c r="B83" t="s">
        <v>57</v>
      </c>
      <c r="C83" s="1">
        <v>8377</v>
      </c>
      <c r="D83" s="1">
        <v>99</v>
      </c>
      <c r="E83">
        <v>120</v>
      </c>
      <c r="F83" s="1">
        <v>195</v>
      </c>
      <c r="G83" s="1">
        <v>34</v>
      </c>
      <c r="H83" s="5">
        <v>18</v>
      </c>
      <c r="I83">
        <v>16</v>
      </c>
      <c r="J83">
        <v>51</v>
      </c>
      <c r="K83">
        <v>1</v>
      </c>
      <c r="L83">
        <v>102</v>
      </c>
      <c r="M83">
        <v>121</v>
      </c>
      <c r="N83">
        <v>196</v>
      </c>
      <c r="O83">
        <v>123</v>
      </c>
      <c r="P83">
        <v>20</v>
      </c>
      <c r="Q83">
        <v>22</v>
      </c>
      <c r="R83">
        <v>60</v>
      </c>
      <c r="S83">
        <v>1</v>
      </c>
      <c r="V83" s="11">
        <f t="shared" si="5"/>
        <v>1.181807329592933</v>
      </c>
      <c r="W83" s="11">
        <f t="shared" si="5"/>
        <v>1.4324937328399188</v>
      </c>
      <c r="X83" s="11">
        <f t="shared" si="5"/>
        <v>2.3278023158648677</v>
      </c>
      <c r="Y83" s="11">
        <f t="shared" si="5"/>
        <v>0.40587322430464368</v>
      </c>
      <c r="Z83" s="11">
        <f t="shared" si="5"/>
        <v>0.21487405992598785</v>
      </c>
      <c r="AA83" s="11">
        <f t="shared" si="5"/>
        <v>0.19099916437865583</v>
      </c>
      <c r="AB83" s="11">
        <f t="shared" si="5"/>
        <v>0.60880983645696551</v>
      </c>
      <c r="AC83" s="11">
        <f t="shared" si="5"/>
        <v>1.1937447773665989E-2</v>
      </c>
      <c r="AD83" s="11">
        <f t="shared" si="5"/>
        <v>1.217619672913931</v>
      </c>
      <c r="AE83" s="11">
        <f t="shared" si="5"/>
        <v>1.4444311806135848</v>
      </c>
      <c r="AF83" s="11">
        <f t="shared" si="5"/>
        <v>2.339739763638534</v>
      </c>
      <c r="AG83" s="11">
        <f t="shared" si="5"/>
        <v>1.4683060761609168</v>
      </c>
      <c r="AH83" s="11">
        <f t="shared" si="5"/>
        <v>0.23874895547331981</v>
      </c>
      <c r="AI83" s="11">
        <f t="shared" si="5"/>
        <v>0.26262385102065178</v>
      </c>
      <c r="AJ83" s="11">
        <f t="shared" si="5"/>
        <v>0.71624686641995938</v>
      </c>
      <c r="AK83" s="11">
        <f t="shared" si="5"/>
        <v>1.1937447773665989E-2</v>
      </c>
    </row>
    <row r="84" spans="1:37" x14ac:dyDescent="0.25">
      <c r="A84" s="17"/>
      <c r="B84" t="s">
        <v>58</v>
      </c>
      <c r="C84" s="1">
        <v>7323</v>
      </c>
      <c r="D84" s="1">
        <v>80</v>
      </c>
      <c r="E84">
        <v>58</v>
      </c>
      <c r="F84" s="1">
        <v>232</v>
      </c>
      <c r="G84" s="1">
        <v>35</v>
      </c>
      <c r="H84" s="5">
        <v>13</v>
      </c>
      <c r="I84">
        <v>8</v>
      </c>
      <c r="J84">
        <v>70</v>
      </c>
      <c r="K84">
        <v>6</v>
      </c>
      <c r="L84">
        <v>81</v>
      </c>
      <c r="M84">
        <v>59</v>
      </c>
      <c r="N84">
        <v>233</v>
      </c>
      <c r="O84">
        <v>93</v>
      </c>
      <c r="P84">
        <v>17</v>
      </c>
      <c r="Q84">
        <v>10</v>
      </c>
      <c r="R84">
        <v>87</v>
      </c>
      <c r="S84">
        <v>8</v>
      </c>
      <c r="V84" s="11">
        <f t="shared" si="5"/>
        <v>1.0924484500887615</v>
      </c>
      <c r="W84" s="11">
        <f t="shared" si="5"/>
        <v>0.79202512631435207</v>
      </c>
      <c r="X84" s="11">
        <f t="shared" si="5"/>
        <v>3.1681005052574083</v>
      </c>
      <c r="Y84" s="11">
        <f t="shared" si="5"/>
        <v>0.47794619691383317</v>
      </c>
      <c r="Z84" s="11">
        <f t="shared" si="5"/>
        <v>0.17752287313942372</v>
      </c>
      <c r="AA84" s="11">
        <f t="shared" si="5"/>
        <v>0.10924484500887614</v>
      </c>
      <c r="AB84" s="11">
        <f t="shared" si="5"/>
        <v>0.95589239382766633</v>
      </c>
      <c r="AC84" s="11">
        <f t="shared" si="5"/>
        <v>8.1933633756657104E-2</v>
      </c>
      <c r="AD84" s="11">
        <f t="shared" si="5"/>
        <v>1.1061040557148711</v>
      </c>
      <c r="AE84" s="11">
        <f t="shared" si="5"/>
        <v>0.80568073194046153</v>
      </c>
      <c r="AF84" s="11">
        <f t="shared" si="5"/>
        <v>3.181756110883518</v>
      </c>
      <c r="AG84" s="11">
        <f t="shared" si="5"/>
        <v>1.2699713232281851</v>
      </c>
      <c r="AH84" s="11">
        <f t="shared" si="5"/>
        <v>0.2321452956438618</v>
      </c>
      <c r="AI84" s="11">
        <f t="shared" si="5"/>
        <v>0.13655605626109518</v>
      </c>
      <c r="AJ84" s="11">
        <f t="shared" si="5"/>
        <v>1.1880376894715281</v>
      </c>
      <c r="AK84" s="11">
        <f t="shared" si="5"/>
        <v>0.10924484500887614</v>
      </c>
    </row>
    <row r="85" spans="1:37" x14ac:dyDescent="0.25">
      <c r="A85" s="17"/>
      <c r="B85" t="s">
        <v>59</v>
      </c>
      <c r="C85" s="1">
        <v>5952</v>
      </c>
      <c r="D85" s="1">
        <v>155</v>
      </c>
      <c r="E85">
        <v>84</v>
      </c>
      <c r="F85" s="1">
        <v>207</v>
      </c>
      <c r="G85" s="1">
        <v>41</v>
      </c>
      <c r="H85" s="5">
        <v>32</v>
      </c>
      <c r="I85">
        <v>13</v>
      </c>
      <c r="J85">
        <v>68</v>
      </c>
      <c r="K85">
        <v>9</v>
      </c>
      <c r="L85">
        <v>162</v>
      </c>
      <c r="M85">
        <v>86</v>
      </c>
      <c r="N85">
        <v>209</v>
      </c>
      <c r="O85">
        <v>180</v>
      </c>
      <c r="P85">
        <v>40</v>
      </c>
      <c r="Q85">
        <v>17</v>
      </c>
      <c r="R85">
        <v>96</v>
      </c>
      <c r="S85">
        <v>13</v>
      </c>
      <c r="V85" s="11">
        <f t="shared" si="5"/>
        <v>2.604166666666667</v>
      </c>
      <c r="W85" s="11">
        <f t="shared" si="5"/>
        <v>1.411290322580645</v>
      </c>
      <c r="X85" s="11">
        <f t="shared" si="5"/>
        <v>3.477822580645161</v>
      </c>
      <c r="Y85" s="11">
        <f t="shared" si="5"/>
        <v>0.68884408602150538</v>
      </c>
      <c r="Z85" s="11">
        <f t="shared" si="5"/>
        <v>0.53763440860215062</v>
      </c>
      <c r="AA85" s="11">
        <f t="shared" si="5"/>
        <v>0.21841397849462363</v>
      </c>
      <c r="AB85" s="11">
        <f t="shared" si="5"/>
        <v>1.14247311827957</v>
      </c>
      <c r="AC85" s="11">
        <f t="shared" si="5"/>
        <v>0.15120967741935484</v>
      </c>
      <c r="AD85" s="11">
        <f t="shared" si="5"/>
        <v>2.721774193548387</v>
      </c>
      <c r="AE85" s="11">
        <f t="shared" si="5"/>
        <v>1.4448924731182795</v>
      </c>
      <c r="AF85" s="11">
        <f t="shared" si="5"/>
        <v>3.5114247311827955</v>
      </c>
      <c r="AG85" s="11">
        <f t="shared" si="5"/>
        <v>3.024193548387097</v>
      </c>
      <c r="AH85" s="11">
        <f t="shared" si="5"/>
        <v>0.67204301075268813</v>
      </c>
      <c r="AI85" s="11">
        <f t="shared" si="5"/>
        <v>0.2856182795698925</v>
      </c>
      <c r="AJ85" s="11">
        <f t="shared" si="5"/>
        <v>1.6129032258064515</v>
      </c>
      <c r="AK85" s="11">
        <f t="shared" si="5"/>
        <v>0.21841397849462363</v>
      </c>
    </row>
    <row r="87" spans="1:37" x14ac:dyDescent="0.25">
      <c r="B87" s="2" t="s">
        <v>2</v>
      </c>
      <c r="C87" s="3">
        <f>AVERAGE(C3:C11)*100</f>
        <v>453144.44444444444</v>
      </c>
      <c r="D87" s="3">
        <f t="shared" ref="D87" si="6">AVERAGE(D3:D11)*100</f>
        <v>9433.3333333333321</v>
      </c>
      <c r="E87" s="4"/>
      <c r="F87" s="3">
        <f>AVERAGE(F3:F11)*100</f>
        <v>11355.555555555557</v>
      </c>
      <c r="G87" s="3">
        <f t="shared" ref="G87" si="7">AVERAGE(G3:G11)*100</f>
        <v>2477.7777777777778</v>
      </c>
      <c r="H87" s="3"/>
      <c r="I87" s="4"/>
      <c r="V87" s="3">
        <f t="shared" ref="V87:AC87" si="8">AVERAGE(V3:V11)</f>
        <v>2.0354720335914078</v>
      </c>
      <c r="W87" s="3">
        <f t="shared" si="8"/>
        <v>1.2749558412669213</v>
      </c>
      <c r="X87" s="3">
        <f t="shared" si="8"/>
        <v>2.533498718698842</v>
      </c>
      <c r="Y87" s="3">
        <f t="shared" si="8"/>
        <v>0.53650025720484917</v>
      </c>
      <c r="Z87" s="3">
        <f t="shared" si="8"/>
        <v>0.21290937668393928</v>
      </c>
      <c r="AA87" s="3">
        <f t="shared" si="8"/>
        <v>0.16134156804150887</v>
      </c>
      <c r="AB87" s="3">
        <f t="shared" si="8"/>
        <v>0.49815848698832776</v>
      </c>
      <c r="AC87" s="3">
        <f t="shared" si="8"/>
        <v>5.0350024558639808E-2</v>
      </c>
      <c r="AD87" s="3">
        <f t="shared" ref="AD87:AK87" si="9">AVERAGE(AD3:AD11)</f>
        <v>2.0683132747593276</v>
      </c>
      <c r="AE87" s="3">
        <f t="shared" si="9"/>
        <v>1.3083233036079429</v>
      </c>
      <c r="AF87" s="3">
        <f t="shared" si="9"/>
        <v>2.5708824574431492</v>
      </c>
      <c r="AG87" s="3">
        <f t="shared" si="9"/>
        <v>2.2881195030726134</v>
      </c>
      <c r="AH87" s="3">
        <f t="shared" si="9"/>
        <v>0.23743157032962292</v>
      </c>
      <c r="AI87" s="3">
        <f t="shared" si="9"/>
        <v>0.17787794847859931</v>
      </c>
      <c r="AJ87" s="3">
        <f t="shared" si="9"/>
        <v>0.58161549189889172</v>
      </c>
      <c r="AK87" s="3">
        <f t="shared" si="9"/>
        <v>5.641979860339251E-2</v>
      </c>
    </row>
    <row r="88" spans="1:37" x14ac:dyDescent="0.25">
      <c r="B88" s="2" t="s">
        <v>3</v>
      </c>
      <c r="C88" s="3">
        <f>AVERAGE(C12:C20)*100</f>
        <v>615566.66666666674</v>
      </c>
      <c r="D88" s="3">
        <f t="shared" ref="D88" si="10">AVERAGE(D12:D20)*100</f>
        <v>12277.777777777777</v>
      </c>
      <c r="E88" s="4"/>
      <c r="F88" s="3">
        <f>AVERAGE(F12:F20)*100</f>
        <v>18155.555555555555</v>
      </c>
      <c r="G88" s="3">
        <f t="shared" ref="G88" si="11">AVERAGE(G12:G20)*100</f>
        <v>3455.5555555555557</v>
      </c>
      <c r="H88" s="3"/>
      <c r="I88" s="4"/>
      <c r="J88" s="2"/>
      <c r="K88" s="5"/>
      <c r="L88" s="5"/>
      <c r="V88" s="3">
        <f t="shared" ref="V88:AC88" si="12">AVERAGE(V12:V20)</f>
        <v>2.0044371381994797</v>
      </c>
      <c r="W88" s="3">
        <f t="shared" si="12"/>
        <v>1.1567313308474974</v>
      </c>
      <c r="X88" s="3">
        <f t="shared" si="12"/>
        <v>3.0135484063775206</v>
      </c>
      <c r="Y88" s="3">
        <f t="shared" si="12"/>
        <v>0.57718443021153676</v>
      </c>
      <c r="Z88" s="3">
        <f t="shared" si="12"/>
        <v>0.20674101320774441</v>
      </c>
      <c r="AA88" s="3">
        <f t="shared" si="12"/>
        <v>0.10721599593548249</v>
      </c>
      <c r="AB88" s="3">
        <f t="shared" si="12"/>
        <v>0.43178140790119302</v>
      </c>
      <c r="AC88" s="3">
        <f t="shared" si="12"/>
        <v>4.7400138097412628E-2</v>
      </c>
      <c r="AD88" s="3">
        <f t="shared" ref="AD88:AK88" si="13">AVERAGE(AD12:AD20)</f>
        <v>2.0403302520502016</v>
      </c>
      <c r="AE88" s="3">
        <f t="shared" si="13"/>
        <v>1.1784517237911751</v>
      </c>
      <c r="AF88" s="3">
        <f t="shared" si="13"/>
        <v>3.0448902316109869</v>
      </c>
      <c r="AG88" s="3">
        <f t="shared" si="13"/>
        <v>2.2580179482983915</v>
      </c>
      <c r="AH88" s="3">
        <f t="shared" si="13"/>
        <v>0.23498987274411473</v>
      </c>
      <c r="AI88" s="3">
        <f t="shared" si="13"/>
        <v>0.12271950055318788</v>
      </c>
      <c r="AJ88" s="3">
        <f t="shared" si="13"/>
        <v>0.5142948575613846</v>
      </c>
      <c r="AK88" s="3">
        <f t="shared" si="13"/>
        <v>5.9483418795581118E-2</v>
      </c>
    </row>
    <row r="89" spans="1:37" x14ac:dyDescent="0.25">
      <c r="B89" s="2" t="s">
        <v>8</v>
      </c>
      <c r="C89" s="3">
        <f>AVERAGE(C21:C29)*100</f>
        <v>615566.66666666674</v>
      </c>
      <c r="D89" s="3">
        <f t="shared" ref="D89" si="14">AVERAGE(D21:D29)*100</f>
        <v>12277.777777777777</v>
      </c>
      <c r="E89" s="4"/>
      <c r="F89" s="3">
        <f>AVERAGE(F21:F29)*100</f>
        <v>18155.555555555555</v>
      </c>
      <c r="G89" s="3">
        <f t="shared" ref="G89" si="15">AVERAGE(G21:G29)*100</f>
        <v>3455.5555555555557</v>
      </c>
      <c r="H89" s="3"/>
      <c r="I89" s="4"/>
      <c r="J89" s="2"/>
      <c r="K89" s="5"/>
      <c r="L89" s="5"/>
      <c r="V89" s="3">
        <f t="shared" ref="V89:AC89" si="16">AVERAGE(V21:V29)</f>
        <v>2.0044371381994797</v>
      </c>
      <c r="W89" s="3">
        <f t="shared" si="16"/>
        <v>1.1567313308474974</v>
      </c>
      <c r="X89" s="3">
        <f t="shared" si="16"/>
        <v>3.0135484063775206</v>
      </c>
      <c r="Y89" s="3">
        <f t="shared" si="16"/>
        <v>0.57718443021153676</v>
      </c>
      <c r="Z89" s="3">
        <f t="shared" si="16"/>
        <v>0.20674101320774441</v>
      </c>
      <c r="AA89" s="3">
        <f t="shared" si="16"/>
        <v>0.10721599593548249</v>
      </c>
      <c r="AB89" s="3">
        <f t="shared" si="16"/>
        <v>0.43178140790119302</v>
      </c>
      <c r="AC89" s="3">
        <f t="shared" si="16"/>
        <v>4.7400138097412628E-2</v>
      </c>
      <c r="AD89" s="3">
        <f t="shared" ref="AD89:AK89" si="17">AVERAGE(AD21:AD29)</f>
        <v>2.0403302520502016</v>
      </c>
      <c r="AE89" s="3">
        <f t="shared" si="17"/>
        <v>1.1784517237911751</v>
      </c>
      <c r="AF89" s="3">
        <f t="shared" si="17"/>
        <v>3.0448902316109869</v>
      </c>
      <c r="AG89" s="3">
        <f t="shared" si="17"/>
        <v>2.2580179482983915</v>
      </c>
      <c r="AH89" s="3">
        <f t="shared" si="17"/>
        <v>0.23498987274411473</v>
      </c>
      <c r="AI89" s="3">
        <f t="shared" si="17"/>
        <v>0.12271950055318788</v>
      </c>
      <c r="AJ89" s="3">
        <f t="shared" si="17"/>
        <v>0.5142948575613846</v>
      </c>
      <c r="AK89" s="3">
        <f t="shared" si="17"/>
        <v>5.9483418795581118E-2</v>
      </c>
    </row>
    <row r="90" spans="1:37" x14ac:dyDescent="0.25">
      <c r="B90" s="2" t="s">
        <v>0</v>
      </c>
      <c r="C90" s="3">
        <f>AVERAGE(C30:C40)*100</f>
        <v>564290.90909090906</v>
      </c>
      <c r="D90" s="3">
        <f t="shared" ref="D90" si="18">AVERAGE(D30:D40)*100</f>
        <v>8509.0909090909099</v>
      </c>
      <c r="E90" s="4"/>
      <c r="F90" s="3">
        <f>AVERAGE(F30:F40)*100</f>
        <v>14427.272727272728</v>
      </c>
      <c r="G90" s="3">
        <f t="shared" ref="G90" si="19">AVERAGE(G30:G40)*100</f>
        <v>2618.1818181818185</v>
      </c>
      <c r="H90" s="3"/>
      <c r="I90" s="4"/>
      <c r="J90" s="4"/>
      <c r="K90" s="4"/>
      <c r="V90" s="3">
        <f t="shared" ref="V90:AC90" si="20">AVERAGE(V30:V40)</f>
        <v>1.5281252759342971</v>
      </c>
      <c r="W90" s="3">
        <f t="shared" si="20"/>
        <v>1.5100724894086381</v>
      </c>
      <c r="X90" s="3">
        <f t="shared" si="20"/>
        <v>2.5085362249157455</v>
      </c>
      <c r="Y90" s="3">
        <f t="shared" si="20"/>
        <v>0.45180799923016363</v>
      </c>
      <c r="Z90" s="3">
        <f t="shared" si="20"/>
        <v>0.19317235438927211</v>
      </c>
      <c r="AA90" s="3">
        <f t="shared" si="20"/>
        <v>0.16166228093976101</v>
      </c>
      <c r="AB90" s="3">
        <f t="shared" si="20"/>
        <v>0.53848847199959315</v>
      </c>
      <c r="AC90" s="3">
        <f t="shared" si="20"/>
        <v>4.9220039344252078E-2</v>
      </c>
      <c r="AD90" s="3">
        <f t="shared" ref="AD90:AK90" si="21">AVERAGE(AD30:AD40)</f>
        <v>1.5685849881968918</v>
      </c>
      <c r="AE90" s="3">
        <f t="shared" si="21"/>
        <v>1.5556210188255768</v>
      </c>
      <c r="AF90" s="3">
        <f t="shared" si="21"/>
        <v>2.5341386147615168</v>
      </c>
      <c r="AG90" s="3">
        <f t="shared" si="21"/>
        <v>1.7729753133509312</v>
      </c>
      <c r="AH90" s="3">
        <f t="shared" si="21"/>
        <v>0.21882365922448399</v>
      </c>
      <c r="AI90" s="3">
        <f t="shared" si="21"/>
        <v>0.18243294247531061</v>
      </c>
      <c r="AJ90" s="3">
        <f t="shared" si="21"/>
        <v>0.63072841377386868</v>
      </c>
      <c r="AK90" s="3">
        <f t="shared" si="21"/>
        <v>6.0854667598625053E-2</v>
      </c>
    </row>
    <row r="91" spans="1:37" x14ac:dyDescent="0.25">
      <c r="B91" s="2" t="s">
        <v>1</v>
      </c>
      <c r="C91" s="3">
        <f>AVERAGE(C41:C51)*100</f>
        <v>564290.90909090906</v>
      </c>
      <c r="D91" s="3">
        <f t="shared" ref="D91" si="22">AVERAGE(D41:D51)*100</f>
        <v>8509.0909090909099</v>
      </c>
      <c r="E91" s="4"/>
      <c r="F91" s="3">
        <f>AVERAGE(F41:F51)*100</f>
        <v>14427.272727272728</v>
      </c>
      <c r="G91" s="3">
        <f t="shared" ref="G91" si="23">AVERAGE(G41:G51)*100</f>
        <v>2618.1818181818185</v>
      </c>
      <c r="H91" s="3"/>
      <c r="I91" s="4"/>
      <c r="J91" s="4"/>
      <c r="K91" s="4"/>
      <c r="V91" s="3">
        <f t="shared" ref="V91:AC91" si="24">AVERAGE(V41:V51)</f>
        <v>1.5281252759342971</v>
      </c>
      <c r="W91" s="3">
        <f t="shared" si="24"/>
        <v>1.5100724894086381</v>
      </c>
      <c r="X91" s="3">
        <f t="shared" si="24"/>
        <v>2.5085362249157455</v>
      </c>
      <c r="Y91" s="3">
        <f t="shared" si="24"/>
        <v>0.45180799923016363</v>
      </c>
      <c r="Z91" s="3">
        <f t="shared" si="24"/>
        <v>0.19317235438927211</v>
      </c>
      <c r="AA91" s="3">
        <f t="shared" si="24"/>
        <v>0.16166228093976101</v>
      </c>
      <c r="AB91" s="3">
        <f t="shared" si="24"/>
        <v>0.53848847199959315</v>
      </c>
      <c r="AC91" s="3">
        <f t="shared" si="24"/>
        <v>4.9220039344252078E-2</v>
      </c>
      <c r="AD91" s="3">
        <f t="shared" ref="AD91:AK91" si="25">AVERAGE(AD41:AD51)</f>
        <v>1.5685849881968918</v>
      </c>
      <c r="AE91" s="3">
        <f t="shared" si="25"/>
        <v>1.5556210188255768</v>
      </c>
      <c r="AF91" s="3">
        <f t="shared" si="25"/>
        <v>2.5341386147615168</v>
      </c>
      <c r="AG91" s="3">
        <f t="shared" si="25"/>
        <v>1.7729753133509312</v>
      </c>
      <c r="AH91" s="3">
        <f t="shared" si="25"/>
        <v>0.21882365922448399</v>
      </c>
      <c r="AI91" s="3">
        <f t="shared" si="25"/>
        <v>0.18243294247531061</v>
      </c>
      <c r="AJ91" s="3">
        <f t="shared" si="25"/>
        <v>0.63072841377386868</v>
      </c>
      <c r="AK91" s="3">
        <f t="shared" si="25"/>
        <v>6.0854667598625053E-2</v>
      </c>
    </row>
    <row r="92" spans="1:37" x14ac:dyDescent="0.25">
      <c r="B92" s="2" t="s">
        <v>4</v>
      </c>
      <c r="C92" s="3">
        <f>AVERAGE(C52:C59)*100</f>
        <v>647950</v>
      </c>
      <c r="D92" s="3">
        <f t="shared" ref="D92" si="26">AVERAGE(D52:D59)*100</f>
        <v>7087.5</v>
      </c>
      <c r="E92" s="4"/>
      <c r="F92" s="3">
        <f>AVERAGE(F52:F59)*100</f>
        <v>13700</v>
      </c>
      <c r="G92" s="3">
        <f t="shared" ref="G92" si="27">AVERAGE(G52:G59)*100</f>
        <v>1900</v>
      </c>
      <c r="H92" s="3"/>
      <c r="I92" s="4"/>
      <c r="J92" s="4"/>
      <c r="K92" s="4"/>
      <c r="V92" s="3">
        <f t="shared" ref="V92:AC92" si="28">AVERAGE(V52:V59)</f>
        <v>1.1069782898373315</v>
      </c>
      <c r="W92" s="3">
        <f t="shared" si="28"/>
        <v>0.75213729314533961</v>
      </c>
      <c r="X92" s="3">
        <f t="shared" si="28"/>
        <v>2.0656593382686479</v>
      </c>
      <c r="Y92" s="3">
        <f t="shared" si="28"/>
        <v>0.27917187463994675</v>
      </c>
      <c r="Z92" s="3">
        <f t="shared" si="28"/>
        <v>0.16236130564189633</v>
      </c>
      <c r="AA92" s="3">
        <f t="shared" si="28"/>
        <v>0.10756820085880817</v>
      </c>
      <c r="AB92" s="3">
        <f t="shared" si="28"/>
        <v>0.52886630767932907</v>
      </c>
      <c r="AC92" s="3">
        <f t="shared" si="28"/>
        <v>5.2814914537334501E-2</v>
      </c>
      <c r="AD92" s="3">
        <f t="shared" ref="AD92:AK92" si="29">AVERAGE(AD52:AD59)</f>
        <v>1.13225813554879</v>
      </c>
      <c r="AE92" s="3">
        <f t="shared" si="29"/>
        <v>0.76882088517228309</v>
      </c>
      <c r="AF92" s="3">
        <f t="shared" si="29"/>
        <v>2.0849476297009693</v>
      </c>
      <c r="AG92" s="3">
        <f t="shared" si="29"/>
        <v>1.2516644873941853</v>
      </c>
      <c r="AH92" s="3">
        <f t="shared" si="29"/>
        <v>0.18652873905483053</v>
      </c>
      <c r="AI92" s="3">
        <f t="shared" si="29"/>
        <v>0.12321411917831529</v>
      </c>
      <c r="AJ92" s="3">
        <f t="shared" si="29"/>
        <v>0.64767965254305093</v>
      </c>
      <c r="AK92" s="3">
        <f t="shared" si="29"/>
        <v>6.0441280705665831E-2</v>
      </c>
    </row>
    <row r="93" spans="1:37" x14ac:dyDescent="0.25">
      <c r="B93" s="2" t="s">
        <v>5</v>
      </c>
      <c r="C93" s="3">
        <f>AVERAGE(C60:C64)*100</f>
        <v>469080</v>
      </c>
      <c r="D93" s="3">
        <f t="shared" ref="D93" si="30">AVERAGE(D60:D64)*100</f>
        <v>6140</v>
      </c>
      <c r="E93" s="4"/>
      <c r="F93" s="3">
        <f>AVERAGE(F60:F64)*100</f>
        <v>7920</v>
      </c>
      <c r="G93" s="3">
        <f t="shared" ref="G93" si="31">AVERAGE(G60:G64)*100</f>
        <v>1380</v>
      </c>
      <c r="H93" s="3"/>
      <c r="I93" s="4"/>
      <c r="J93" s="4"/>
      <c r="K93" s="4"/>
      <c r="V93" s="3">
        <f t="shared" ref="V93:AC93" si="32">AVERAGE(V60:V64)</f>
        <v>1.2796281285252145</v>
      </c>
      <c r="W93" s="3">
        <f t="shared" si="32"/>
        <v>0.82041171999978191</v>
      </c>
      <c r="X93" s="3">
        <f t="shared" si="32"/>
        <v>1.6720462586386635</v>
      </c>
      <c r="Y93" s="3">
        <f t="shared" si="32"/>
        <v>0.28195945684906643</v>
      </c>
      <c r="Z93" s="3">
        <f t="shared" si="32"/>
        <v>0.11674931227695026</v>
      </c>
      <c r="AA93" s="3">
        <f t="shared" si="32"/>
        <v>8.1365730501781974E-2</v>
      </c>
      <c r="AB93" s="3">
        <f t="shared" si="32"/>
        <v>0.39198707149643763</v>
      </c>
      <c r="AC93" s="3">
        <f t="shared" si="32"/>
        <v>2.9368575624082231E-2</v>
      </c>
      <c r="AD93" s="3">
        <f t="shared" ref="AD93:AK93" si="33">AVERAGE(AD60:AD64)</f>
        <v>1.3154581105665428</v>
      </c>
      <c r="AE93" s="3">
        <f t="shared" si="33"/>
        <v>0.8427825806854532</v>
      </c>
      <c r="AF93" s="3">
        <f t="shared" si="33"/>
        <v>1.6872407760996027</v>
      </c>
      <c r="AG93" s="3">
        <f t="shared" si="33"/>
        <v>1.4507354142614763</v>
      </c>
      <c r="AH93" s="3">
        <f t="shared" si="33"/>
        <v>0.1320707239418798</v>
      </c>
      <c r="AI93" s="3">
        <f t="shared" si="33"/>
        <v>9.0686532837904871E-2</v>
      </c>
      <c r="AJ93" s="3">
        <f t="shared" si="33"/>
        <v>0.46187781912330694</v>
      </c>
      <c r="AK93" s="3">
        <f t="shared" si="33"/>
        <v>3.5242290748898682E-2</v>
      </c>
    </row>
    <row r="94" spans="1:37" x14ac:dyDescent="0.25">
      <c r="B94" s="2" t="s">
        <v>9</v>
      </c>
      <c r="C94" s="3">
        <f>AVERAGE(C65:C69)*100</f>
        <v>469080</v>
      </c>
      <c r="D94" s="3">
        <f t="shared" ref="D94" si="34">AVERAGE(D65:D69)*100</f>
        <v>6140</v>
      </c>
      <c r="E94" s="4"/>
      <c r="F94" s="3">
        <f>AVERAGE(F65:F69)*100</f>
        <v>7920</v>
      </c>
      <c r="G94" s="3">
        <f t="shared" ref="G94" si="35">AVERAGE(G65:G69)*100</f>
        <v>1380</v>
      </c>
      <c r="H94" s="3"/>
      <c r="I94" s="4"/>
      <c r="J94" s="4"/>
      <c r="K94" s="4"/>
      <c r="V94" s="3">
        <f t="shared" ref="V94:AC94" si="36">AVERAGE(V65:V69)</f>
        <v>1.2796281285252145</v>
      </c>
      <c r="W94" s="3">
        <f t="shared" si="36"/>
        <v>0.82041171999978191</v>
      </c>
      <c r="X94" s="3">
        <f t="shared" si="36"/>
        <v>1.6720462586386635</v>
      </c>
      <c r="Y94" s="3">
        <f t="shared" si="36"/>
        <v>0.28195945684906643</v>
      </c>
      <c r="Z94" s="3">
        <f t="shared" si="36"/>
        <v>0.11674931227695026</v>
      </c>
      <c r="AA94" s="3">
        <f t="shared" si="36"/>
        <v>8.1365730501781974E-2</v>
      </c>
      <c r="AB94" s="3">
        <f t="shared" si="36"/>
        <v>0.39198707149643763</v>
      </c>
      <c r="AC94" s="3">
        <f t="shared" si="36"/>
        <v>2.9368575624082231E-2</v>
      </c>
      <c r="AD94" s="3">
        <f t="shared" ref="AD94:AK94" si="37">AVERAGE(AD65:AD69)</f>
        <v>1.3154581105665428</v>
      </c>
      <c r="AE94" s="3">
        <f t="shared" si="37"/>
        <v>0.8427825806854532</v>
      </c>
      <c r="AF94" s="3">
        <f t="shared" si="37"/>
        <v>1.6872407760996027</v>
      </c>
      <c r="AG94" s="3">
        <f t="shared" si="37"/>
        <v>1.4507354142614763</v>
      </c>
      <c r="AH94" s="3">
        <f t="shared" si="37"/>
        <v>0.1320707239418798</v>
      </c>
      <c r="AI94" s="3">
        <f t="shared" si="37"/>
        <v>9.0686532837904871E-2</v>
      </c>
      <c r="AJ94" s="3">
        <f t="shared" si="37"/>
        <v>0.46187781912330694</v>
      </c>
      <c r="AK94" s="3">
        <f t="shared" si="37"/>
        <v>3.5242290748898682E-2</v>
      </c>
    </row>
    <row r="95" spans="1:37" x14ac:dyDescent="0.25">
      <c r="B95" s="2" t="s">
        <v>6</v>
      </c>
      <c r="C95" s="3">
        <f>AVERAGE(C70:C77)*100</f>
        <v>658912.5</v>
      </c>
      <c r="D95" s="3">
        <f t="shared" ref="D95" si="38">AVERAGE(D70:D77)*100</f>
        <v>8950</v>
      </c>
      <c r="E95" s="4"/>
      <c r="F95" s="3">
        <f>AVERAGE(F70:F77)*100</f>
        <v>16325</v>
      </c>
      <c r="G95" s="3">
        <f t="shared" ref="G95" si="39">AVERAGE(G70:G77)*100</f>
        <v>2512.5</v>
      </c>
      <c r="H95" s="3"/>
      <c r="I95" s="4"/>
      <c r="J95" s="4"/>
      <c r="K95" s="4"/>
      <c r="V95" s="3">
        <f t="shared" ref="V95:AC95" si="40">AVERAGE(V70:V77)</f>
        <v>1.368487151359556</v>
      </c>
      <c r="W95" s="3">
        <f t="shared" si="40"/>
        <v>1.0809714726028794</v>
      </c>
      <c r="X95" s="3">
        <f t="shared" si="40"/>
        <v>2.5056222731864359</v>
      </c>
      <c r="Y95" s="3">
        <f t="shared" si="40"/>
        <v>0.38124223715041872</v>
      </c>
      <c r="Z95" s="3">
        <f t="shared" si="40"/>
        <v>0.24046509855114623</v>
      </c>
      <c r="AA95" s="3">
        <f t="shared" si="40"/>
        <v>0.16892536787924267</v>
      </c>
      <c r="AB95" s="3">
        <f t="shared" si="40"/>
        <v>0.66905826333939589</v>
      </c>
      <c r="AC95" s="3">
        <f t="shared" si="40"/>
        <v>7.8968471698113621E-2</v>
      </c>
      <c r="AD95" s="3">
        <f t="shared" ref="AD95:AK95" si="41">AVERAGE(AD70:AD77)</f>
        <v>1.4045576723127717</v>
      </c>
      <c r="AE95" s="3">
        <f t="shared" si="41"/>
        <v>1.0978833587635726</v>
      </c>
      <c r="AF95" s="3">
        <f t="shared" si="41"/>
        <v>2.5242580076609209</v>
      </c>
      <c r="AG95" s="3">
        <f t="shared" si="41"/>
        <v>1.547886492392712</v>
      </c>
      <c r="AH95" s="3">
        <f t="shared" si="41"/>
        <v>0.28631967314347645</v>
      </c>
      <c r="AI95" s="3">
        <f t="shared" si="41"/>
        <v>0.20270706772263833</v>
      </c>
      <c r="AJ95" s="3">
        <f t="shared" si="41"/>
        <v>0.8319619148662063</v>
      </c>
      <c r="AK95" s="3">
        <f t="shared" si="41"/>
        <v>9.2560751728951465E-2</v>
      </c>
    </row>
    <row r="96" spans="1:37" x14ac:dyDescent="0.25">
      <c r="B96" s="2" t="s">
        <v>7</v>
      </c>
      <c r="C96" s="3">
        <f>AVERAGE(C78:C85)*100</f>
        <v>658912.5</v>
      </c>
      <c r="D96" s="3">
        <f t="shared" ref="D96" si="42">AVERAGE(D78:D85)*100</f>
        <v>8950</v>
      </c>
      <c r="E96" s="4"/>
      <c r="F96" s="3">
        <f>AVERAGE(F78:F85)*100</f>
        <v>16325</v>
      </c>
      <c r="G96" s="3">
        <f t="shared" ref="G96" si="43">AVERAGE(G78:G85)*100</f>
        <v>2512.5</v>
      </c>
      <c r="H96" s="3"/>
      <c r="I96" s="4"/>
      <c r="J96" s="4"/>
      <c r="K96" s="4"/>
      <c r="V96" s="3">
        <f t="shared" ref="V96:AC96" si="44">AVERAGE(V78:V85)</f>
        <v>1.368487151359556</v>
      </c>
      <c r="W96" s="3">
        <f t="shared" si="44"/>
        <v>1.0809714726028794</v>
      </c>
      <c r="X96" s="3">
        <f t="shared" si="44"/>
        <v>2.5056222731864359</v>
      </c>
      <c r="Y96" s="3">
        <f t="shared" si="44"/>
        <v>0.38124223715041872</v>
      </c>
      <c r="Z96" s="3">
        <f t="shared" si="44"/>
        <v>0.24046509855114623</v>
      </c>
      <c r="AA96" s="3">
        <f t="shared" si="44"/>
        <v>0.16892536787924267</v>
      </c>
      <c r="AB96" s="3">
        <f t="shared" si="44"/>
        <v>0.66905826333939589</v>
      </c>
      <c r="AC96" s="3">
        <f t="shared" si="44"/>
        <v>7.8968471698113621E-2</v>
      </c>
      <c r="AD96" s="3">
        <f t="shared" ref="AD96:AK96" si="45">AVERAGE(AD78:AD85)</f>
        <v>1.4045576723127717</v>
      </c>
      <c r="AE96" s="3">
        <f t="shared" si="45"/>
        <v>1.0978833587635726</v>
      </c>
      <c r="AF96" s="3">
        <f t="shared" si="45"/>
        <v>2.5242580076609209</v>
      </c>
      <c r="AG96" s="3">
        <f t="shared" si="45"/>
        <v>1.547886492392712</v>
      </c>
      <c r="AH96" s="3">
        <f t="shared" si="45"/>
        <v>0.28631967314347645</v>
      </c>
      <c r="AI96" s="3">
        <f t="shared" si="45"/>
        <v>0.20270706772263833</v>
      </c>
      <c r="AJ96" s="3">
        <f t="shared" si="45"/>
        <v>0.8319619148662063</v>
      </c>
      <c r="AK96" s="3">
        <f t="shared" si="45"/>
        <v>9.2560751728951465E-2</v>
      </c>
    </row>
    <row r="97" spans="3:37" ht="15.75" thickBot="1" x14ac:dyDescent="0.3">
      <c r="C97" s="4"/>
      <c r="D97" s="4"/>
      <c r="E97" s="4"/>
      <c r="F97" s="4"/>
      <c r="G97" s="4"/>
      <c r="H97" s="4"/>
      <c r="I97" s="4"/>
      <c r="J97" s="4"/>
      <c r="K97" s="4"/>
    </row>
    <row r="98" spans="3:37" x14ac:dyDescent="0.25">
      <c r="C98" s="4"/>
      <c r="D98" s="4"/>
      <c r="E98" s="4"/>
      <c r="F98" s="4"/>
      <c r="G98" s="4"/>
      <c r="H98" s="4"/>
      <c r="I98" s="4"/>
      <c r="J98" s="4"/>
      <c r="K98" s="4"/>
      <c r="V98" s="12">
        <f t="shared" ref="V98:AC98" si="46">TTEST(V3:V11,V12:V20,2,2)</f>
        <v>0.88043364609616437</v>
      </c>
      <c r="W98" s="12">
        <f t="shared" si="46"/>
        <v>0.56652798034035046</v>
      </c>
      <c r="X98" s="12">
        <f t="shared" si="46"/>
        <v>0.39178094791088092</v>
      </c>
      <c r="Y98" s="12">
        <f t="shared" si="46"/>
        <v>0.78555589326881603</v>
      </c>
      <c r="Z98" s="12">
        <f t="shared" si="46"/>
        <v>0.91514559259147743</v>
      </c>
      <c r="AA98" s="13">
        <f t="shared" si="46"/>
        <v>0.16386624090058149</v>
      </c>
      <c r="AB98" s="12">
        <f t="shared" si="46"/>
        <v>0.44156489602636506</v>
      </c>
      <c r="AC98" s="12">
        <f t="shared" si="46"/>
        <v>0.91548968638773054</v>
      </c>
      <c r="AD98" s="12">
        <f t="shared" ref="AD98:AK98" si="47">TTEST(AD3:AD11,AD12:AD20,2,2)</f>
        <v>0.89565299295824885</v>
      </c>
      <c r="AE98" s="12">
        <f t="shared" si="47"/>
        <v>0.53926322847971164</v>
      </c>
      <c r="AF98" s="12">
        <f t="shared" si="47"/>
        <v>0.40650771557018583</v>
      </c>
      <c r="AG98" s="12">
        <f t="shared" si="47"/>
        <v>0.90647308548866867</v>
      </c>
      <c r="AH98" s="12">
        <f t="shared" si="47"/>
        <v>0.9707402041983102</v>
      </c>
      <c r="AI98" s="12">
        <f t="shared" si="47"/>
        <v>0.22371001746371047</v>
      </c>
      <c r="AJ98" s="12">
        <f t="shared" si="47"/>
        <v>0.52567584428373726</v>
      </c>
      <c r="AK98" s="12">
        <f t="shared" si="47"/>
        <v>0.9253768519041925</v>
      </c>
    </row>
    <row r="99" spans="3:37" x14ac:dyDescent="0.25">
      <c r="V99" s="12">
        <f t="shared" ref="V99:AC99" si="48">TTEST(V3:V11,V30:V40,2,2)</f>
        <v>1.1126869358971581E-2</v>
      </c>
      <c r="W99" s="12">
        <f t="shared" si="48"/>
        <v>0.60467632198752641</v>
      </c>
      <c r="X99" s="12">
        <f t="shared" si="48"/>
        <v>0.94825826859330564</v>
      </c>
      <c r="Y99" s="12">
        <f t="shared" si="48"/>
        <v>0.46890463034289187</v>
      </c>
      <c r="Z99" s="12">
        <f t="shared" si="48"/>
        <v>0.64307241631486722</v>
      </c>
      <c r="AA99" s="14">
        <f t="shared" si="48"/>
        <v>0.99396359033710135</v>
      </c>
      <c r="AB99" s="12">
        <f t="shared" si="48"/>
        <v>0.74324604480613532</v>
      </c>
      <c r="AC99" s="12">
        <f t="shared" si="48"/>
        <v>0.96119644982119934</v>
      </c>
      <c r="AD99" s="12">
        <f t="shared" ref="AD99:AK99" si="49">TTEST(AD3:AD11,AD30:AD40,2,2)</f>
        <v>1.4119121872953702E-2</v>
      </c>
      <c r="AE99" s="12">
        <f t="shared" si="49"/>
        <v>0.59522593111477251</v>
      </c>
      <c r="AF99" s="12">
        <f t="shared" si="49"/>
        <v>0.92426535931290998</v>
      </c>
      <c r="AG99" s="12">
        <f t="shared" si="49"/>
        <v>2.7669223323994137E-2</v>
      </c>
      <c r="AH99" s="12">
        <f t="shared" si="49"/>
        <v>0.71905227828776264</v>
      </c>
      <c r="AI99" s="12">
        <f t="shared" si="49"/>
        <v>0.92527263166783014</v>
      </c>
      <c r="AJ99" s="12">
        <f t="shared" si="49"/>
        <v>0.74646930082474572</v>
      </c>
      <c r="AK99" s="12">
        <f t="shared" si="49"/>
        <v>0.87008020632903604</v>
      </c>
    </row>
    <row r="100" spans="3:37" x14ac:dyDescent="0.25">
      <c r="V100" s="12">
        <f t="shared" ref="V100:AC100" si="50">TTEST(V12:V20,V30:V40,2,2)</f>
        <v>5.2196185233286162E-3</v>
      </c>
      <c r="W100" s="12">
        <f t="shared" si="50"/>
        <v>0.4344324357893582</v>
      </c>
      <c r="X100" s="12">
        <f t="shared" si="50"/>
        <v>0.37645250129052998</v>
      </c>
      <c r="Y100" s="12">
        <f t="shared" si="50"/>
        <v>0.32839510688382767</v>
      </c>
      <c r="Z100" s="12">
        <f t="shared" si="50"/>
        <v>0.76516994921733172</v>
      </c>
      <c r="AA100" s="14">
        <f t="shared" si="50"/>
        <v>0.14779126006015181</v>
      </c>
      <c r="AB100" s="12">
        <f t="shared" si="50"/>
        <v>0.37385659262105597</v>
      </c>
      <c r="AC100" s="12">
        <f t="shared" si="50"/>
        <v>0.91804170001110563</v>
      </c>
      <c r="AD100" s="12">
        <f t="shared" ref="AD100:AK100" si="51">TTEST(AD12:AD20,AD30:AD40,2,2)</f>
        <v>6.9030824336321047E-3</v>
      </c>
      <c r="AE100" s="12">
        <f t="shared" si="51"/>
        <v>0.41540784534417807</v>
      </c>
      <c r="AF100" s="12">
        <f t="shared" si="51"/>
        <v>0.37604270945011142</v>
      </c>
      <c r="AG100" s="12">
        <f t="shared" si="51"/>
        <v>9.0491711246215786E-3</v>
      </c>
      <c r="AH100" s="12">
        <f t="shared" si="51"/>
        <v>0.76398022982994229</v>
      </c>
      <c r="AI100" s="12">
        <f t="shared" si="51"/>
        <v>0.18379388782325601</v>
      </c>
      <c r="AJ100" s="12">
        <f t="shared" si="51"/>
        <v>0.44252990684130755</v>
      </c>
      <c r="AK100" s="12">
        <f t="shared" si="51"/>
        <v>0.95451014875759865</v>
      </c>
    </row>
    <row r="101" spans="3:37" ht="15.75" thickBot="1" x14ac:dyDescent="0.3">
      <c r="V101" s="12">
        <f t="shared" ref="V101:AC101" si="52">TTEST(V12:V20,V41:V51,2,2)</f>
        <v>5.2196185233286162E-3</v>
      </c>
      <c r="W101" s="12">
        <f t="shared" si="52"/>
        <v>0.4344324357893582</v>
      </c>
      <c r="X101" s="12">
        <f t="shared" si="52"/>
        <v>0.37645250129052998</v>
      </c>
      <c r="Y101" s="12">
        <f t="shared" si="52"/>
        <v>0.32839510688382767</v>
      </c>
      <c r="Z101" s="12">
        <f t="shared" si="52"/>
        <v>0.76516994921733172</v>
      </c>
      <c r="AA101" s="15">
        <f t="shared" si="52"/>
        <v>0.14779126006015181</v>
      </c>
      <c r="AB101" s="12">
        <f t="shared" si="52"/>
        <v>0.37385659262105597</v>
      </c>
      <c r="AC101" s="12">
        <f t="shared" si="52"/>
        <v>0.91804170001110563</v>
      </c>
      <c r="AD101" s="12">
        <f t="shared" ref="AD101:AK101" si="53">TTEST(AD12:AD20,AD41:AD51,2,2)</f>
        <v>6.9030824336321047E-3</v>
      </c>
      <c r="AE101" s="12">
        <f t="shared" si="53"/>
        <v>0.41540784534417807</v>
      </c>
      <c r="AF101" s="12">
        <f t="shared" si="53"/>
        <v>0.37604270945011142</v>
      </c>
      <c r="AG101" s="12">
        <f t="shared" si="53"/>
        <v>9.0491711246215786E-3</v>
      </c>
      <c r="AH101" s="12">
        <f t="shared" si="53"/>
        <v>0.76398022982994229</v>
      </c>
      <c r="AI101" s="12">
        <f t="shared" si="53"/>
        <v>0.18379388782325601</v>
      </c>
      <c r="AJ101" s="12">
        <f t="shared" si="53"/>
        <v>0.44252990684130755</v>
      </c>
      <c r="AK101" s="12">
        <f t="shared" si="53"/>
        <v>0.95451014875759865</v>
      </c>
    </row>
    <row r="102" spans="3:37" x14ac:dyDescent="0.25"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</row>
    <row r="103" spans="3:37" x14ac:dyDescent="0.25">
      <c r="V103" s="12">
        <f t="shared" ref="V103:AC103" si="54">TTEST(V52:V59,V70:V77,2,2)</f>
        <v>0.23278088037191788</v>
      </c>
      <c r="W103" s="12">
        <f t="shared" si="54"/>
        <v>0.12071562983248518</v>
      </c>
      <c r="X103" s="12">
        <f t="shared" si="54"/>
        <v>0.21258769483795831</v>
      </c>
      <c r="Y103" s="12">
        <f t="shared" si="54"/>
        <v>0.16739831307725905</v>
      </c>
      <c r="Z103" s="12">
        <f t="shared" si="54"/>
        <v>0.21323876004861778</v>
      </c>
      <c r="AA103" s="12">
        <f t="shared" si="54"/>
        <v>6.3050465375426759E-2</v>
      </c>
      <c r="AB103" s="12">
        <f t="shared" si="54"/>
        <v>0.26608928073083005</v>
      </c>
      <c r="AC103" s="12">
        <f t="shared" si="54"/>
        <v>0.17479059230391869</v>
      </c>
      <c r="AD103" s="12">
        <f t="shared" ref="AD103:AK103" si="55">TTEST(AD52:AD59,AD70:AD77,2,2)</f>
        <v>0.2395026424268302</v>
      </c>
      <c r="AE103" s="12">
        <f t="shared" si="55"/>
        <v>0.12652706256156107</v>
      </c>
      <c r="AF103" s="12">
        <f t="shared" si="55"/>
        <v>0.21682819118777008</v>
      </c>
      <c r="AG103" s="12">
        <f t="shared" si="55"/>
        <v>0.25090915460597818</v>
      </c>
      <c r="AH103" s="12">
        <f t="shared" si="55"/>
        <v>0.20837054580785938</v>
      </c>
      <c r="AI103" s="12">
        <f t="shared" si="55"/>
        <v>5.1987393975578111E-2</v>
      </c>
      <c r="AJ103" s="12">
        <f t="shared" si="55"/>
        <v>0.30578814999681614</v>
      </c>
      <c r="AK103" s="12">
        <f t="shared" si="55"/>
        <v>0.22177974557511246</v>
      </c>
    </row>
  </sheetData>
  <mergeCells count="14">
    <mergeCell ref="A12:A20"/>
    <mergeCell ref="D1:K1"/>
    <mergeCell ref="L1:S1"/>
    <mergeCell ref="V1:AC1"/>
    <mergeCell ref="AD1:AK1"/>
    <mergeCell ref="A3:A11"/>
    <mergeCell ref="A70:A77"/>
    <mergeCell ref="A78:A85"/>
    <mergeCell ref="A21:A29"/>
    <mergeCell ref="A30:A40"/>
    <mergeCell ref="A41:A51"/>
    <mergeCell ref="A52:A59"/>
    <mergeCell ref="A60:A64"/>
    <mergeCell ref="A65:A69"/>
  </mergeCells>
  <conditionalFormatting sqref="V98:AK101 V103:AK103">
    <cfRule type="cellIs" dxfId="1" priority="1" operator="lessThan">
      <formula>0.05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3"/>
  <sheetViews>
    <sheetView topLeftCell="J76" workbookViewId="0">
      <selection activeCell="U103" sqref="U103"/>
    </sheetView>
  </sheetViews>
  <sheetFormatPr baseColWidth="10" defaultColWidth="9.140625" defaultRowHeight="15" x14ac:dyDescent="0.25"/>
  <cols>
    <col min="2" max="2" width="24.140625" bestFit="1" customWidth="1"/>
    <col min="10" max="10" width="14.42578125" bestFit="1" customWidth="1"/>
    <col min="22" max="22" width="10.42578125" bestFit="1" customWidth="1"/>
    <col min="23" max="24" width="10.28515625" bestFit="1" customWidth="1"/>
    <col min="25" max="25" width="6.140625" bestFit="1" customWidth="1"/>
    <col min="26" max="27" width="10.140625" customWidth="1"/>
    <col min="28" max="28" width="10" customWidth="1"/>
    <col min="29" max="29" width="7.5703125" customWidth="1"/>
  </cols>
  <sheetData>
    <row r="1" spans="1:37" x14ac:dyDescent="0.25">
      <c r="D1" s="16" t="s">
        <v>68</v>
      </c>
      <c r="E1" s="16"/>
      <c r="F1" s="16"/>
      <c r="G1" s="16"/>
      <c r="H1" s="16"/>
      <c r="I1" s="16"/>
      <c r="J1" s="16"/>
      <c r="K1" s="16"/>
      <c r="L1" s="16" t="s">
        <v>69</v>
      </c>
      <c r="M1" s="16"/>
      <c r="N1" s="16"/>
      <c r="O1" s="16"/>
      <c r="P1" s="16"/>
      <c r="Q1" s="16"/>
      <c r="R1" s="16"/>
      <c r="S1" s="16"/>
      <c r="V1" s="16" t="s">
        <v>68</v>
      </c>
      <c r="W1" s="16"/>
      <c r="X1" s="16"/>
      <c r="Y1" s="16"/>
      <c r="Z1" s="16"/>
      <c r="AA1" s="16"/>
      <c r="AB1" s="16"/>
      <c r="AC1" s="16"/>
      <c r="AD1" s="16" t="s">
        <v>69</v>
      </c>
      <c r="AE1" s="16"/>
      <c r="AF1" s="16"/>
      <c r="AG1" s="16"/>
      <c r="AH1" s="16"/>
      <c r="AI1" s="16"/>
      <c r="AJ1" s="16"/>
      <c r="AK1" s="16"/>
    </row>
    <row r="2" spans="1:37" ht="45" x14ac:dyDescent="0.25">
      <c r="C2" s="6" t="s">
        <v>70</v>
      </c>
      <c r="D2" s="6" t="s">
        <v>71</v>
      </c>
      <c r="E2" s="6" t="s">
        <v>72</v>
      </c>
      <c r="F2" s="6" t="s">
        <v>73</v>
      </c>
      <c r="G2" s="6" t="s">
        <v>74</v>
      </c>
      <c r="H2" s="6" t="s">
        <v>75</v>
      </c>
      <c r="I2" s="6" t="s">
        <v>76</v>
      </c>
      <c r="J2" s="6" t="s">
        <v>77</v>
      </c>
      <c r="K2" s="6" t="s">
        <v>78</v>
      </c>
      <c r="L2" s="6" t="s">
        <v>71</v>
      </c>
      <c r="M2" s="6" t="s">
        <v>72</v>
      </c>
      <c r="N2" s="6" t="s">
        <v>73</v>
      </c>
      <c r="O2" s="6" t="s">
        <v>74</v>
      </c>
      <c r="P2" s="6" t="s">
        <v>75</v>
      </c>
      <c r="Q2" s="6" t="s">
        <v>76</v>
      </c>
      <c r="R2" s="6" t="s">
        <v>77</v>
      </c>
      <c r="S2" s="6" t="s">
        <v>78</v>
      </c>
      <c r="V2" s="6" t="s">
        <v>71</v>
      </c>
      <c r="W2" s="6" t="s">
        <v>72</v>
      </c>
      <c r="X2" s="6" t="s">
        <v>73</v>
      </c>
      <c r="Y2" s="6" t="s">
        <v>74</v>
      </c>
      <c r="Z2" s="6" t="s">
        <v>75</v>
      </c>
      <c r="AA2" s="6" t="s">
        <v>76</v>
      </c>
      <c r="AB2" s="6" t="s">
        <v>77</v>
      </c>
      <c r="AC2" s="6" t="s">
        <v>78</v>
      </c>
      <c r="AD2" s="6" t="s">
        <v>71</v>
      </c>
      <c r="AE2" s="6" t="s">
        <v>72</v>
      </c>
      <c r="AF2" s="6" t="s">
        <v>73</v>
      </c>
      <c r="AG2" s="6" t="s">
        <v>74</v>
      </c>
      <c r="AH2" s="6" t="s">
        <v>75</v>
      </c>
      <c r="AI2" s="6" t="s">
        <v>76</v>
      </c>
      <c r="AJ2" s="6" t="s">
        <v>77</v>
      </c>
      <c r="AK2" s="6" t="s">
        <v>78</v>
      </c>
    </row>
    <row r="3" spans="1:37" x14ac:dyDescent="0.25">
      <c r="A3" s="17" t="s">
        <v>60</v>
      </c>
      <c r="B3" t="s">
        <v>10</v>
      </c>
      <c r="C3" s="1">
        <v>1355</v>
      </c>
      <c r="D3" s="1">
        <v>33</v>
      </c>
      <c r="E3">
        <v>27</v>
      </c>
      <c r="F3" s="1">
        <v>35</v>
      </c>
      <c r="G3" s="1">
        <v>12</v>
      </c>
      <c r="H3" s="5">
        <v>4</v>
      </c>
      <c r="I3">
        <v>3</v>
      </c>
      <c r="J3">
        <v>3</v>
      </c>
      <c r="K3">
        <v>1</v>
      </c>
      <c r="L3">
        <v>33</v>
      </c>
      <c r="M3">
        <v>28</v>
      </c>
      <c r="N3">
        <v>35</v>
      </c>
      <c r="O3">
        <v>36</v>
      </c>
      <c r="P3">
        <v>5</v>
      </c>
      <c r="Q3">
        <v>4</v>
      </c>
      <c r="R3">
        <v>4</v>
      </c>
      <c r="S3">
        <v>2</v>
      </c>
      <c r="V3" s="7">
        <f t="shared" ref="V3:AK18" si="0">(D3/$C3)*100</f>
        <v>2.4354243542435423</v>
      </c>
      <c r="W3" s="7">
        <f t="shared" si="0"/>
        <v>1.9926199261992621</v>
      </c>
      <c r="X3" s="7">
        <f t="shared" si="0"/>
        <v>2.5830258302583027</v>
      </c>
      <c r="Y3" s="7">
        <f t="shared" si="0"/>
        <v>0.88560885608856088</v>
      </c>
      <c r="Z3" s="7">
        <f t="shared" si="0"/>
        <v>0.29520295202952029</v>
      </c>
      <c r="AA3" s="7">
        <f t="shared" si="0"/>
        <v>0.22140221402214022</v>
      </c>
      <c r="AB3" s="7">
        <f t="shared" si="0"/>
        <v>0.22140221402214022</v>
      </c>
      <c r="AC3" s="7">
        <f t="shared" si="0"/>
        <v>7.3800738007380073E-2</v>
      </c>
      <c r="AD3" s="7">
        <f t="shared" si="0"/>
        <v>2.4354243542435423</v>
      </c>
      <c r="AE3" s="7">
        <f t="shared" si="0"/>
        <v>2.0664206642066421</v>
      </c>
      <c r="AF3" s="7">
        <f t="shared" si="0"/>
        <v>2.5830258302583027</v>
      </c>
      <c r="AG3" s="7">
        <f t="shared" si="0"/>
        <v>2.6568265682656826</v>
      </c>
      <c r="AH3" s="7">
        <f t="shared" si="0"/>
        <v>0.36900369003690037</v>
      </c>
      <c r="AI3" s="7">
        <f t="shared" si="0"/>
        <v>0.29520295202952029</v>
      </c>
      <c r="AJ3" s="7">
        <f t="shared" si="0"/>
        <v>0.29520295202952029</v>
      </c>
      <c r="AK3" s="7">
        <f t="shared" si="0"/>
        <v>0.14760147601476015</v>
      </c>
    </row>
    <row r="4" spans="1:37" x14ac:dyDescent="0.25">
      <c r="A4" s="17"/>
      <c r="B4" t="s">
        <v>11</v>
      </c>
      <c r="C4" s="1">
        <v>2522</v>
      </c>
      <c r="D4" s="1">
        <v>48</v>
      </c>
      <c r="E4">
        <v>31</v>
      </c>
      <c r="F4" s="1">
        <v>67</v>
      </c>
      <c r="G4" s="1">
        <v>14</v>
      </c>
      <c r="H4" s="5">
        <v>8</v>
      </c>
      <c r="I4">
        <v>4</v>
      </c>
      <c r="J4">
        <v>10</v>
      </c>
      <c r="K4">
        <v>2</v>
      </c>
      <c r="L4">
        <v>51</v>
      </c>
      <c r="M4">
        <v>31</v>
      </c>
      <c r="N4">
        <v>67</v>
      </c>
      <c r="O4">
        <v>58</v>
      </c>
      <c r="P4">
        <v>8</v>
      </c>
      <c r="Q4">
        <v>4</v>
      </c>
      <c r="R4">
        <v>10</v>
      </c>
      <c r="S4">
        <v>2</v>
      </c>
      <c r="V4" s="7">
        <f t="shared" si="0"/>
        <v>1.9032513877874702</v>
      </c>
      <c r="W4" s="7">
        <f t="shared" si="0"/>
        <v>1.2291831879460746</v>
      </c>
      <c r="X4" s="7">
        <f t="shared" si="0"/>
        <v>2.6566217287866771</v>
      </c>
      <c r="Y4" s="7">
        <f t="shared" si="0"/>
        <v>0.55511498810467885</v>
      </c>
      <c r="Z4" s="7">
        <f t="shared" si="0"/>
        <v>0.31720856463124503</v>
      </c>
      <c r="AA4" s="7">
        <f t="shared" si="0"/>
        <v>0.15860428231562251</v>
      </c>
      <c r="AB4" s="7">
        <f t="shared" si="0"/>
        <v>0.39651070578905628</v>
      </c>
      <c r="AC4" s="7">
        <f t="shared" si="0"/>
        <v>7.9302141157811257E-2</v>
      </c>
      <c r="AD4" s="7">
        <f t="shared" si="0"/>
        <v>2.0222045995241871</v>
      </c>
      <c r="AE4" s="7">
        <f t="shared" si="0"/>
        <v>1.2291831879460746</v>
      </c>
      <c r="AF4" s="7">
        <f t="shared" si="0"/>
        <v>2.6566217287866771</v>
      </c>
      <c r="AG4" s="7">
        <f t="shared" si="0"/>
        <v>2.2997620935765268</v>
      </c>
      <c r="AH4" s="7">
        <f t="shared" si="0"/>
        <v>0.31720856463124503</v>
      </c>
      <c r="AI4" s="7">
        <f t="shared" si="0"/>
        <v>0.15860428231562251</v>
      </c>
      <c r="AJ4" s="7">
        <f t="shared" si="0"/>
        <v>0.39651070578905628</v>
      </c>
      <c r="AK4" s="7">
        <f t="shared" si="0"/>
        <v>7.9302141157811257E-2</v>
      </c>
    </row>
    <row r="5" spans="1:37" x14ac:dyDescent="0.25">
      <c r="A5" s="17"/>
      <c r="B5" t="s">
        <v>12</v>
      </c>
      <c r="C5" s="1">
        <v>6198</v>
      </c>
      <c r="D5" s="1">
        <v>135</v>
      </c>
      <c r="E5">
        <v>67</v>
      </c>
      <c r="F5" s="1">
        <v>108</v>
      </c>
      <c r="G5" s="1">
        <v>28</v>
      </c>
      <c r="H5" s="5">
        <v>18</v>
      </c>
      <c r="I5">
        <v>10</v>
      </c>
      <c r="J5">
        <v>34</v>
      </c>
      <c r="K5">
        <v>3</v>
      </c>
      <c r="L5">
        <v>136</v>
      </c>
      <c r="M5">
        <v>69</v>
      </c>
      <c r="N5">
        <v>109</v>
      </c>
      <c r="O5">
        <v>147</v>
      </c>
      <c r="P5">
        <v>20</v>
      </c>
      <c r="Q5">
        <v>12</v>
      </c>
      <c r="R5">
        <v>43</v>
      </c>
      <c r="S5">
        <v>3</v>
      </c>
      <c r="V5" s="7">
        <f t="shared" si="0"/>
        <v>2.1781219748305904</v>
      </c>
      <c r="W5" s="7">
        <f t="shared" si="0"/>
        <v>1.0809938689899969</v>
      </c>
      <c r="X5" s="7">
        <f t="shared" si="0"/>
        <v>1.7424975798644726</v>
      </c>
      <c r="Y5" s="7">
        <f t="shared" si="0"/>
        <v>0.45175863181671505</v>
      </c>
      <c r="Z5" s="7">
        <f t="shared" si="0"/>
        <v>0.29041626331074544</v>
      </c>
      <c r="AA5" s="7">
        <f t="shared" si="0"/>
        <v>0.16134236850596967</v>
      </c>
      <c r="AB5" s="7">
        <f t="shared" si="0"/>
        <v>0.54856405292029686</v>
      </c>
      <c r="AC5" s="7">
        <f t="shared" si="0"/>
        <v>4.8402710551790899E-2</v>
      </c>
      <c r="AD5" s="7">
        <f t="shared" si="0"/>
        <v>2.1942562116811875</v>
      </c>
      <c r="AE5" s="7">
        <f t="shared" si="0"/>
        <v>1.1132623426911907</v>
      </c>
      <c r="AF5" s="7">
        <f t="shared" si="0"/>
        <v>1.7586318167150692</v>
      </c>
      <c r="AG5" s="7">
        <f t="shared" si="0"/>
        <v>2.3717328170377541</v>
      </c>
      <c r="AH5" s="7">
        <f t="shared" si="0"/>
        <v>0.32268473701193934</v>
      </c>
      <c r="AI5" s="7">
        <f t="shared" si="0"/>
        <v>0.1936108422071636</v>
      </c>
      <c r="AJ5" s="7">
        <f t="shared" si="0"/>
        <v>0.69377218457566958</v>
      </c>
      <c r="AK5" s="7">
        <f t="shared" si="0"/>
        <v>4.8402710551790899E-2</v>
      </c>
    </row>
    <row r="6" spans="1:37" x14ac:dyDescent="0.25">
      <c r="A6" s="17"/>
      <c r="B6" t="s">
        <v>13</v>
      </c>
      <c r="C6" s="1">
        <v>5774</v>
      </c>
      <c r="D6" s="1">
        <v>154</v>
      </c>
      <c r="E6">
        <v>83</v>
      </c>
      <c r="F6" s="1">
        <v>241</v>
      </c>
      <c r="G6" s="1">
        <v>48</v>
      </c>
      <c r="H6" s="5">
        <v>30</v>
      </c>
      <c r="I6">
        <v>21</v>
      </c>
      <c r="J6">
        <v>61</v>
      </c>
      <c r="K6">
        <v>12</v>
      </c>
      <c r="L6">
        <v>158</v>
      </c>
      <c r="M6">
        <v>87</v>
      </c>
      <c r="N6">
        <v>243</v>
      </c>
      <c r="O6">
        <v>173</v>
      </c>
      <c r="P6">
        <v>36</v>
      </c>
      <c r="Q6">
        <v>26</v>
      </c>
      <c r="R6">
        <v>72</v>
      </c>
      <c r="S6">
        <v>16</v>
      </c>
      <c r="V6" s="7">
        <f t="shared" si="0"/>
        <v>2.6671285071007969</v>
      </c>
      <c r="W6" s="7">
        <f t="shared" si="0"/>
        <v>1.4374783512296501</v>
      </c>
      <c r="X6" s="7">
        <f t="shared" si="0"/>
        <v>4.1738829234499484</v>
      </c>
      <c r="Y6" s="7">
        <f t="shared" si="0"/>
        <v>0.83131278143401455</v>
      </c>
      <c r="Z6" s="7">
        <f t="shared" si="0"/>
        <v>0.51957048839625908</v>
      </c>
      <c r="AA6" s="7">
        <f t="shared" si="0"/>
        <v>0.36369934187738134</v>
      </c>
      <c r="AB6" s="7">
        <f t="shared" si="0"/>
        <v>1.0564599930723935</v>
      </c>
      <c r="AC6" s="7">
        <f t="shared" si="0"/>
        <v>0.20782819535850364</v>
      </c>
      <c r="AD6" s="7">
        <f t="shared" si="0"/>
        <v>2.7364045722202976</v>
      </c>
      <c r="AE6" s="7">
        <f t="shared" si="0"/>
        <v>1.5067544163491515</v>
      </c>
      <c r="AF6" s="7">
        <f t="shared" si="0"/>
        <v>4.208520956009699</v>
      </c>
      <c r="AG6" s="7">
        <f t="shared" si="0"/>
        <v>2.9961898164184273</v>
      </c>
      <c r="AH6" s="7">
        <f t="shared" si="0"/>
        <v>0.62348458607551094</v>
      </c>
      <c r="AI6" s="7">
        <f t="shared" si="0"/>
        <v>0.45029442327675789</v>
      </c>
      <c r="AJ6" s="7">
        <f t="shared" si="0"/>
        <v>1.2469691721510219</v>
      </c>
      <c r="AK6" s="7">
        <f t="shared" si="0"/>
        <v>0.27710426047800485</v>
      </c>
    </row>
    <row r="7" spans="1:37" x14ac:dyDescent="0.25">
      <c r="A7" s="17"/>
      <c r="B7" t="s">
        <v>14</v>
      </c>
      <c r="C7" s="1">
        <v>5812</v>
      </c>
      <c r="D7" s="1">
        <v>137</v>
      </c>
      <c r="E7">
        <v>101</v>
      </c>
      <c r="F7" s="1">
        <v>95</v>
      </c>
      <c r="G7" s="1">
        <v>30</v>
      </c>
      <c r="H7" s="5">
        <v>10</v>
      </c>
      <c r="I7">
        <v>11</v>
      </c>
      <c r="J7">
        <v>12</v>
      </c>
      <c r="K7">
        <v>2</v>
      </c>
      <c r="L7">
        <v>143</v>
      </c>
      <c r="M7">
        <v>106</v>
      </c>
      <c r="N7">
        <v>96</v>
      </c>
      <c r="O7">
        <v>160</v>
      </c>
      <c r="P7">
        <v>10</v>
      </c>
      <c r="Q7">
        <v>13</v>
      </c>
      <c r="R7">
        <v>12</v>
      </c>
      <c r="S7">
        <v>2</v>
      </c>
      <c r="V7" s="7">
        <f t="shared" si="0"/>
        <v>2.3571920165175499</v>
      </c>
      <c r="W7" s="7">
        <f t="shared" si="0"/>
        <v>1.7377838953888507</v>
      </c>
      <c r="X7" s="7">
        <f t="shared" si="0"/>
        <v>1.6345492085340676</v>
      </c>
      <c r="Y7" s="7">
        <f t="shared" si="0"/>
        <v>0.51617343427391604</v>
      </c>
      <c r="Z7" s="7">
        <f t="shared" si="0"/>
        <v>0.17205781142463869</v>
      </c>
      <c r="AA7" s="7">
        <f t="shared" si="0"/>
        <v>0.18926359256710254</v>
      </c>
      <c r="AB7" s="7">
        <f t="shared" si="0"/>
        <v>0.20646937370956642</v>
      </c>
      <c r="AC7" s="7">
        <f t="shared" si="0"/>
        <v>3.4411562284927734E-2</v>
      </c>
      <c r="AD7" s="7">
        <f t="shared" si="0"/>
        <v>2.4604267033723333</v>
      </c>
      <c r="AE7" s="7">
        <f t="shared" si="0"/>
        <v>1.8238128011011701</v>
      </c>
      <c r="AF7" s="7">
        <f t="shared" si="0"/>
        <v>1.6517549896765313</v>
      </c>
      <c r="AG7" s="7">
        <f t="shared" si="0"/>
        <v>2.752924982794219</v>
      </c>
      <c r="AH7" s="7">
        <f t="shared" si="0"/>
        <v>0.17205781142463869</v>
      </c>
      <c r="AI7" s="7">
        <f t="shared" si="0"/>
        <v>0.22367515485203029</v>
      </c>
      <c r="AJ7" s="7">
        <f t="shared" si="0"/>
        <v>0.20646937370956642</v>
      </c>
      <c r="AK7" s="7">
        <f t="shared" si="0"/>
        <v>3.4411562284927734E-2</v>
      </c>
    </row>
    <row r="8" spans="1:37" x14ac:dyDescent="0.25">
      <c r="A8" s="17"/>
      <c r="B8" t="s">
        <v>15</v>
      </c>
      <c r="C8" s="1">
        <v>4859</v>
      </c>
      <c r="D8" s="1">
        <v>117</v>
      </c>
      <c r="E8">
        <v>65</v>
      </c>
      <c r="F8" s="1">
        <v>184</v>
      </c>
      <c r="G8" s="1">
        <v>41</v>
      </c>
      <c r="H8" s="5">
        <v>9</v>
      </c>
      <c r="I8">
        <v>4</v>
      </c>
      <c r="J8">
        <v>27</v>
      </c>
      <c r="K8">
        <v>1</v>
      </c>
      <c r="L8">
        <v>121</v>
      </c>
      <c r="M8">
        <v>68</v>
      </c>
      <c r="N8">
        <v>185</v>
      </c>
      <c r="O8">
        <v>142</v>
      </c>
      <c r="P8">
        <v>10</v>
      </c>
      <c r="Q8">
        <v>4</v>
      </c>
      <c r="R8">
        <v>32</v>
      </c>
      <c r="S8">
        <v>1</v>
      </c>
      <c r="V8" s="7">
        <f t="shared" si="0"/>
        <v>2.4079028606709199</v>
      </c>
      <c r="W8" s="7">
        <f t="shared" si="0"/>
        <v>1.3377238114838443</v>
      </c>
      <c r="X8" s="7">
        <f t="shared" si="0"/>
        <v>3.7867874048158057</v>
      </c>
      <c r="Y8" s="7">
        <f t="shared" si="0"/>
        <v>0.84379501955134795</v>
      </c>
      <c r="Z8" s="7">
        <f t="shared" si="0"/>
        <v>0.18522329697468615</v>
      </c>
      <c r="AA8" s="7">
        <f t="shared" si="0"/>
        <v>8.2321465322082732E-2</v>
      </c>
      <c r="AB8" s="7">
        <f t="shared" si="0"/>
        <v>0.5556698909240585</v>
      </c>
      <c r="AC8" s="7">
        <f t="shared" si="0"/>
        <v>2.0580366330520683E-2</v>
      </c>
      <c r="AD8" s="7">
        <f t="shared" si="0"/>
        <v>2.4902243259930028</v>
      </c>
      <c r="AE8" s="7">
        <f t="shared" si="0"/>
        <v>1.3994649104754064</v>
      </c>
      <c r="AF8" s="7">
        <f t="shared" si="0"/>
        <v>3.8073677711463265</v>
      </c>
      <c r="AG8" s="7">
        <f t="shared" si="0"/>
        <v>2.9224120189339371</v>
      </c>
      <c r="AH8" s="7">
        <f t="shared" si="0"/>
        <v>0.20580366330520683</v>
      </c>
      <c r="AI8" s="7">
        <f t="shared" si="0"/>
        <v>8.2321465322082732E-2</v>
      </c>
      <c r="AJ8" s="7">
        <f t="shared" si="0"/>
        <v>0.65857172257666186</v>
      </c>
      <c r="AK8" s="7">
        <f t="shared" si="0"/>
        <v>2.0580366330520683E-2</v>
      </c>
    </row>
    <row r="9" spans="1:37" x14ac:dyDescent="0.25">
      <c r="A9" s="17"/>
      <c r="B9" t="s">
        <v>16</v>
      </c>
      <c r="C9" s="1">
        <v>4503</v>
      </c>
      <c r="D9" s="1">
        <v>84</v>
      </c>
      <c r="E9">
        <v>56</v>
      </c>
      <c r="F9" s="1">
        <v>124</v>
      </c>
      <c r="G9" s="1">
        <v>17</v>
      </c>
      <c r="H9" s="5">
        <v>15</v>
      </c>
      <c r="I9">
        <v>8</v>
      </c>
      <c r="J9">
        <v>29</v>
      </c>
      <c r="K9">
        <v>1</v>
      </c>
      <c r="L9">
        <v>87</v>
      </c>
      <c r="M9">
        <v>57</v>
      </c>
      <c r="N9">
        <v>126</v>
      </c>
      <c r="O9">
        <v>93</v>
      </c>
      <c r="P9">
        <v>16</v>
      </c>
      <c r="Q9">
        <v>9</v>
      </c>
      <c r="R9">
        <v>32</v>
      </c>
      <c r="S9">
        <v>1</v>
      </c>
      <c r="V9" s="7">
        <f t="shared" si="0"/>
        <v>1.8654230512991337</v>
      </c>
      <c r="W9" s="7">
        <f t="shared" si="0"/>
        <v>1.2436153675327559</v>
      </c>
      <c r="X9" s="7">
        <f t="shared" si="0"/>
        <v>2.7537197423939594</v>
      </c>
      <c r="Y9" s="7">
        <f t="shared" si="0"/>
        <v>0.37752609371530094</v>
      </c>
      <c r="Z9" s="7">
        <f t="shared" si="0"/>
        <v>0.33311125916055961</v>
      </c>
      <c r="AA9" s="7">
        <f t="shared" si="0"/>
        <v>0.17765933821896512</v>
      </c>
      <c r="AB9" s="7">
        <f t="shared" si="0"/>
        <v>0.64401510104374859</v>
      </c>
      <c r="AC9" s="7">
        <f t="shared" si="0"/>
        <v>2.220741727737064E-2</v>
      </c>
      <c r="AD9" s="7">
        <f t="shared" si="0"/>
        <v>1.9320453031312457</v>
      </c>
      <c r="AE9" s="7">
        <f t="shared" si="0"/>
        <v>1.2658227848101267</v>
      </c>
      <c r="AF9" s="7">
        <f t="shared" si="0"/>
        <v>2.7981345769487009</v>
      </c>
      <c r="AG9" s="7">
        <f t="shared" si="0"/>
        <v>2.0652898067954695</v>
      </c>
      <c r="AH9" s="7">
        <f t="shared" si="0"/>
        <v>0.35531867643793025</v>
      </c>
      <c r="AI9" s="7">
        <f t="shared" si="0"/>
        <v>0.19986675549633579</v>
      </c>
      <c r="AJ9" s="7">
        <f t="shared" si="0"/>
        <v>0.7106373528758605</v>
      </c>
      <c r="AK9" s="7">
        <f t="shared" si="0"/>
        <v>2.220741727737064E-2</v>
      </c>
    </row>
    <row r="10" spans="1:37" x14ac:dyDescent="0.25">
      <c r="A10" s="17"/>
      <c r="B10" t="s">
        <v>17</v>
      </c>
      <c r="C10" s="1">
        <v>5396</v>
      </c>
      <c r="D10" s="1">
        <v>92</v>
      </c>
      <c r="E10">
        <v>79</v>
      </c>
      <c r="F10" s="1">
        <v>141</v>
      </c>
      <c r="G10" s="1">
        <v>33</v>
      </c>
      <c r="H10" s="5">
        <v>14</v>
      </c>
      <c r="I10">
        <v>13</v>
      </c>
      <c r="J10">
        <v>27</v>
      </c>
      <c r="K10">
        <v>4</v>
      </c>
      <c r="L10">
        <v>93</v>
      </c>
      <c r="M10">
        <v>79</v>
      </c>
      <c r="N10">
        <v>143</v>
      </c>
      <c r="O10">
        <v>108</v>
      </c>
      <c r="P10">
        <v>18</v>
      </c>
      <c r="Q10">
        <v>17</v>
      </c>
      <c r="R10">
        <v>40</v>
      </c>
      <c r="S10">
        <v>7</v>
      </c>
      <c r="V10" s="7">
        <f t="shared" si="0"/>
        <v>1.7049666419570051</v>
      </c>
      <c r="W10" s="7">
        <f t="shared" si="0"/>
        <v>1.4640474425500369</v>
      </c>
      <c r="X10" s="7">
        <f t="shared" si="0"/>
        <v>2.6130467012601928</v>
      </c>
      <c r="Y10" s="7">
        <f t="shared" si="0"/>
        <v>0.6115641215715345</v>
      </c>
      <c r="Z10" s="7">
        <f t="shared" si="0"/>
        <v>0.25945144551519644</v>
      </c>
      <c r="AA10" s="7">
        <f t="shared" si="0"/>
        <v>0.24091919940696813</v>
      </c>
      <c r="AB10" s="7">
        <f t="shared" si="0"/>
        <v>0.50037064492216454</v>
      </c>
      <c r="AC10" s="7">
        <f t="shared" si="0"/>
        <v>7.412898443291327E-2</v>
      </c>
      <c r="AD10" s="7">
        <f t="shared" si="0"/>
        <v>1.7234988880652335</v>
      </c>
      <c r="AE10" s="7">
        <f t="shared" si="0"/>
        <v>1.4640474425500369</v>
      </c>
      <c r="AF10" s="7">
        <f t="shared" si="0"/>
        <v>2.6501111934766493</v>
      </c>
      <c r="AG10" s="7">
        <f t="shared" si="0"/>
        <v>2.0014825796886582</v>
      </c>
      <c r="AH10" s="7">
        <f t="shared" si="0"/>
        <v>0.33358042994810971</v>
      </c>
      <c r="AI10" s="7">
        <f t="shared" si="0"/>
        <v>0.31504818383988142</v>
      </c>
      <c r="AJ10" s="7">
        <f t="shared" si="0"/>
        <v>0.7412898443291327</v>
      </c>
      <c r="AK10" s="7">
        <f t="shared" si="0"/>
        <v>0.12972572275759822</v>
      </c>
    </row>
    <row r="11" spans="1:37" x14ac:dyDescent="0.25">
      <c r="A11" s="17"/>
      <c r="B11" t="s">
        <v>18</v>
      </c>
      <c r="C11" s="1">
        <v>5456</v>
      </c>
      <c r="D11" s="1">
        <v>164</v>
      </c>
      <c r="E11">
        <v>99</v>
      </c>
      <c r="F11" s="1">
        <v>188</v>
      </c>
      <c r="G11" s="1">
        <v>60</v>
      </c>
      <c r="H11" s="5">
        <v>30</v>
      </c>
      <c r="I11">
        <v>18</v>
      </c>
      <c r="J11">
        <v>52</v>
      </c>
      <c r="K11">
        <v>10</v>
      </c>
      <c r="L11">
        <v>168</v>
      </c>
      <c r="M11">
        <v>102</v>
      </c>
      <c r="N11">
        <v>190</v>
      </c>
      <c r="O11">
        <v>198</v>
      </c>
      <c r="P11">
        <v>33</v>
      </c>
      <c r="Q11">
        <v>21</v>
      </c>
      <c r="R11">
        <v>59</v>
      </c>
      <c r="S11">
        <v>11</v>
      </c>
      <c r="V11" s="7">
        <f t="shared" si="0"/>
        <v>3.0058651026392962</v>
      </c>
      <c r="W11" s="7">
        <f t="shared" si="0"/>
        <v>1.8145161290322582</v>
      </c>
      <c r="X11" s="7">
        <f t="shared" si="0"/>
        <v>3.4457478005865099</v>
      </c>
      <c r="Y11" s="7">
        <f t="shared" si="0"/>
        <v>1.0997067448680353</v>
      </c>
      <c r="Z11" s="7">
        <f t="shared" si="0"/>
        <v>0.54985337243401766</v>
      </c>
      <c r="AA11" s="7">
        <f t="shared" si="0"/>
        <v>0.32991202346041054</v>
      </c>
      <c r="AB11" s="7">
        <f t="shared" si="0"/>
        <v>0.95307917888563054</v>
      </c>
      <c r="AC11" s="7">
        <f t="shared" si="0"/>
        <v>0.18328445747800587</v>
      </c>
      <c r="AD11" s="7">
        <f t="shared" si="0"/>
        <v>3.0791788856304985</v>
      </c>
      <c r="AE11" s="7">
        <f t="shared" si="0"/>
        <v>1.8695014662756599</v>
      </c>
      <c r="AF11" s="7">
        <f t="shared" si="0"/>
        <v>3.482404692082111</v>
      </c>
      <c r="AG11" s="7">
        <f t="shared" si="0"/>
        <v>3.6290322580645165</v>
      </c>
      <c r="AH11" s="7">
        <f t="shared" si="0"/>
        <v>0.60483870967741937</v>
      </c>
      <c r="AI11" s="7">
        <f t="shared" si="0"/>
        <v>0.38489736070381231</v>
      </c>
      <c r="AJ11" s="7">
        <f t="shared" si="0"/>
        <v>1.0813782991202348</v>
      </c>
      <c r="AK11" s="7">
        <f t="shared" si="0"/>
        <v>0.20161290322580644</v>
      </c>
    </row>
    <row r="12" spans="1:37" x14ac:dyDescent="0.25">
      <c r="A12" s="17" t="s">
        <v>61</v>
      </c>
      <c r="B12" t="s">
        <v>19</v>
      </c>
      <c r="C12" s="1">
        <v>7485</v>
      </c>
      <c r="D12" s="1">
        <v>150</v>
      </c>
      <c r="E12">
        <v>85</v>
      </c>
      <c r="F12" s="1">
        <v>183</v>
      </c>
      <c r="G12" s="1">
        <v>38</v>
      </c>
      <c r="H12" s="5">
        <v>8</v>
      </c>
      <c r="I12">
        <v>2</v>
      </c>
      <c r="J12">
        <v>20</v>
      </c>
      <c r="K12">
        <v>0</v>
      </c>
      <c r="L12">
        <v>158</v>
      </c>
      <c r="M12">
        <v>87</v>
      </c>
      <c r="N12">
        <v>185</v>
      </c>
      <c r="O12">
        <v>178</v>
      </c>
      <c r="P12">
        <v>8</v>
      </c>
      <c r="Q12">
        <v>2</v>
      </c>
      <c r="R12">
        <v>21</v>
      </c>
      <c r="S12">
        <v>0</v>
      </c>
      <c r="V12" s="8">
        <f t="shared" si="0"/>
        <v>2.0040080160320639</v>
      </c>
      <c r="W12" s="8">
        <f t="shared" si="0"/>
        <v>1.1356045424181698</v>
      </c>
      <c r="X12" s="8">
        <f t="shared" si="0"/>
        <v>2.4448897795591185</v>
      </c>
      <c r="Y12" s="8">
        <f t="shared" si="0"/>
        <v>0.5076820307281229</v>
      </c>
      <c r="Z12" s="8">
        <f t="shared" si="0"/>
        <v>0.10688042752171009</v>
      </c>
      <c r="AA12" s="8">
        <f t="shared" si="0"/>
        <v>2.6720106880427523E-2</v>
      </c>
      <c r="AB12" s="8">
        <f t="shared" si="0"/>
        <v>0.26720106880427524</v>
      </c>
      <c r="AC12" s="8">
        <f t="shared" si="0"/>
        <v>0</v>
      </c>
      <c r="AD12" s="8">
        <f t="shared" si="0"/>
        <v>2.1108884435537743</v>
      </c>
      <c r="AE12" s="8">
        <f t="shared" si="0"/>
        <v>1.1623246492985972</v>
      </c>
      <c r="AF12" s="8">
        <f t="shared" si="0"/>
        <v>2.4716098864395457</v>
      </c>
      <c r="AG12" s="8">
        <f t="shared" si="0"/>
        <v>2.3780895123580494</v>
      </c>
      <c r="AH12" s="8">
        <f t="shared" si="0"/>
        <v>0.10688042752171009</v>
      </c>
      <c r="AI12" s="8">
        <f t="shared" si="0"/>
        <v>2.6720106880427523E-2</v>
      </c>
      <c r="AJ12" s="8">
        <f t="shared" si="0"/>
        <v>0.28056112224448898</v>
      </c>
      <c r="AK12" s="8">
        <f t="shared" si="0"/>
        <v>0</v>
      </c>
    </row>
    <row r="13" spans="1:37" x14ac:dyDescent="0.25">
      <c r="A13" s="17"/>
      <c r="B13" t="s">
        <v>20</v>
      </c>
      <c r="C13" s="1">
        <v>6729</v>
      </c>
      <c r="D13" s="1">
        <v>136</v>
      </c>
      <c r="E13">
        <v>54</v>
      </c>
      <c r="F13" s="1">
        <v>116</v>
      </c>
      <c r="G13" s="1">
        <v>18</v>
      </c>
      <c r="H13" s="5">
        <v>19</v>
      </c>
      <c r="I13">
        <v>10</v>
      </c>
      <c r="J13">
        <v>35</v>
      </c>
      <c r="K13">
        <v>4</v>
      </c>
      <c r="L13">
        <v>139</v>
      </c>
      <c r="M13">
        <v>54</v>
      </c>
      <c r="N13">
        <v>117</v>
      </c>
      <c r="O13">
        <v>148</v>
      </c>
      <c r="P13">
        <v>22</v>
      </c>
      <c r="Q13">
        <v>10</v>
      </c>
      <c r="R13">
        <v>42</v>
      </c>
      <c r="S13">
        <v>4</v>
      </c>
      <c r="V13" s="8">
        <f t="shared" si="0"/>
        <v>2.0211026898499034</v>
      </c>
      <c r="W13" s="8">
        <f t="shared" si="0"/>
        <v>0.80249665626393218</v>
      </c>
      <c r="X13" s="8">
        <f t="shared" si="0"/>
        <v>1.7238817060484473</v>
      </c>
      <c r="Y13" s="8">
        <f t="shared" si="0"/>
        <v>0.26749888542131073</v>
      </c>
      <c r="Z13" s="8">
        <f t="shared" si="0"/>
        <v>0.28235993461138353</v>
      </c>
      <c r="AA13" s="8">
        <f t="shared" si="0"/>
        <v>0.1486104919007282</v>
      </c>
      <c r="AB13" s="8">
        <f t="shared" si="0"/>
        <v>0.52013672165254865</v>
      </c>
      <c r="AC13" s="8">
        <f t="shared" si="0"/>
        <v>5.9444196760291272E-2</v>
      </c>
      <c r="AD13" s="8">
        <f t="shared" si="0"/>
        <v>2.0656858374201219</v>
      </c>
      <c r="AE13" s="8">
        <f t="shared" si="0"/>
        <v>0.80249665626393218</v>
      </c>
      <c r="AF13" s="8">
        <f t="shared" si="0"/>
        <v>1.7387427552385197</v>
      </c>
      <c r="AG13" s="8">
        <f t="shared" si="0"/>
        <v>2.199435280130777</v>
      </c>
      <c r="AH13" s="8">
        <f t="shared" si="0"/>
        <v>0.32694308218160201</v>
      </c>
      <c r="AI13" s="8">
        <f t="shared" si="0"/>
        <v>0.1486104919007282</v>
      </c>
      <c r="AJ13" s="8">
        <f t="shared" si="0"/>
        <v>0.6241640659830584</v>
      </c>
      <c r="AK13" s="8">
        <f t="shared" si="0"/>
        <v>5.9444196760291272E-2</v>
      </c>
    </row>
    <row r="14" spans="1:37" x14ac:dyDescent="0.25">
      <c r="A14" s="17"/>
      <c r="B14" t="s">
        <v>21</v>
      </c>
      <c r="C14" s="1">
        <v>4807</v>
      </c>
      <c r="D14" s="1">
        <v>138</v>
      </c>
      <c r="E14">
        <v>48</v>
      </c>
      <c r="F14" s="1">
        <v>108</v>
      </c>
      <c r="G14" s="1">
        <v>30</v>
      </c>
      <c r="H14" s="5">
        <v>20</v>
      </c>
      <c r="I14">
        <v>5</v>
      </c>
      <c r="J14">
        <v>18</v>
      </c>
      <c r="K14">
        <v>3</v>
      </c>
      <c r="L14">
        <v>145</v>
      </c>
      <c r="M14">
        <v>51</v>
      </c>
      <c r="N14">
        <v>108</v>
      </c>
      <c r="O14">
        <v>164</v>
      </c>
      <c r="P14">
        <v>21</v>
      </c>
      <c r="Q14">
        <v>5</v>
      </c>
      <c r="R14">
        <v>21</v>
      </c>
      <c r="S14">
        <v>3</v>
      </c>
      <c r="V14" s="8">
        <f t="shared" si="0"/>
        <v>2.8708133971291865</v>
      </c>
      <c r="W14" s="8">
        <f t="shared" si="0"/>
        <v>0.99854379030580398</v>
      </c>
      <c r="X14" s="8">
        <f t="shared" si="0"/>
        <v>2.2467235281880589</v>
      </c>
      <c r="Y14" s="8">
        <f t="shared" si="0"/>
        <v>0.6240898689411275</v>
      </c>
      <c r="Z14" s="8">
        <f t="shared" si="0"/>
        <v>0.41605991262741837</v>
      </c>
      <c r="AA14" s="8">
        <f t="shared" si="0"/>
        <v>0.10401497815685459</v>
      </c>
      <c r="AB14" s="8">
        <f t="shared" si="0"/>
        <v>0.37445392136467648</v>
      </c>
      <c r="AC14" s="8">
        <f t="shared" si="0"/>
        <v>6.2408986894112749E-2</v>
      </c>
      <c r="AD14" s="8">
        <f t="shared" si="0"/>
        <v>3.0164343665487832</v>
      </c>
      <c r="AE14" s="8">
        <f t="shared" si="0"/>
        <v>1.0609527771999168</v>
      </c>
      <c r="AF14" s="8">
        <f t="shared" si="0"/>
        <v>2.2467235281880589</v>
      </c>
      <c r="AG14" s="8">
        <f t="shared" si="0"/>
        <v>3.4116912835448305</v>
      </c>
      <c r="AH14" s="8">
        <f t="shared" si="0"/>
        <v>0.43686290825878926</v>
      </c>
      <c r="AI14" s="8">
        <f t="shared" si="0"/>
        <v>0.10401497815685459</v>
      </c>
      <c r="AJ14" s="8">
        <f t="shared" si="0"/>
        <v>0.43686290825878926</v>
      </c>
      <c r="AK14" s="8">
        <f t="shared" si="0"/>
        <v>6.2408986894112749E-2</v>
      </c>
    </row>
    <row r="15" spans="1:37" x14ac:dyDescent="0.25">
      <c r="A15" s="17"/>
      <c r="B15" t="s">
        <v>22</v>
      </c>
      <c r="C15" s="1">
        <v>7599</v>
      </c>
      <c r="D15" s="1">
        <v>147</v>
      </c>
      <c r="E15">
        <v>81</v>
      </c>
      <c r="F15" s="1">
        <v>195</v>
      </c>
      <c r="G15" s="1">
        <v>28</v>
      </c>
      <c r="H15" s="5">
        <v>12</v>
      </c>
      <c r="I15">
        <v>9</v>
      </c>
      <c r="J15">
        <v>42</v>
      </c>
      <c r="K15">
        <v>5</v>
      </c>
      <c r="L15">
        <v>152</v>
      </c>
      <c r="M15">
        <v>83</v>
      </c>
      <c r="N15">
        <v>196</v>
      </c>
      <c r="O15">
        <v>164</v>
      </c>
      <c r="P15">
        <v>12</v>
      </c>
      <c r="Q15">
        <v>9</v>
      </c>
      <c r="R15">
        <v>48</v>
      </c>
      <c r="S15">
        <v>5</v>
      </c>
      <c r="V15" s="8">
        <f t="shared" si="0"/>
        <v>1.9344650611922622</v>
      </c>
      <c r="W15" s="8">
        <f t="shared" si="0"/>
        <v>1.0659297275957362</v>
      </c>
      <c r="X15" s="8">
        <f t="shared" si="0"/>
        <v>2.5661271219897355</v>
      </c>
      <c r="Y15" s="8">
        <f t="shared" si="0"/>
        <v>0.36846953546519279</v>
      </c>
      <c r="Z15" s="8">
        <f t="shared" si="0"/>
        <v>0.15791551519936833</v>
      </c>
      <c r="AA15" s="8">
        <f t="shared" si="0"/>
        <v>0.11843663639952626</v>
      </c>
      <c r="AB15" s="8">
        <f t="shared" si="0"/>
        <v>0.55270430319778918</v>
      </c>
      <c r="AC15" s="8">
        <f t="shared" si="0"/>
        <v>6.5798131333070137E-2</v>
      </c>
      <c r="AD15" s="8">
        <f t="shared" si="0"/>
        <v>2.000263192525332</v>
      </c>
      <c r="AE15" s="8">
        <f t="shared" si="0"/>
        <v>1.0922489801289643</v>
      </c>
      <c r="AF15" s="8">
        <f t="shared" si="0"/>
        <v>2.5792867482563495</v>
      </c>
      <c r="AG15" s="8">
        <f t="shared" si="0"/>
        <v>2.1581787077247006</v>
      </c>
      <c r="AH15" s="8">
        <f t="shared" si="0"/>
        <v>0.15791551519936833</v>
      </c>
      <c r="AI15" s="8">
        <f t="shared" si="0"/>
        <v>0.11843663639952626</v>
      </c>
      <c r="AJ15" s="8">
        <f t="shared" si="0"/>
        <v>0.63166206079747333</v>
      </c>
      <c r="AK15" s="8">
        <f t="shared" si="0"/>
        <v>6.5798131333070137E-2</v>
      </c>
    </row>
    <row r="16" spans="1:37" x14ac:dyDescent="0.25">
      <c r="A16" s="17"/>
      <c r="B16" t="s">
        <v>23</v>
      </c>
      <c r="C16" s="1">
        <v>5345</v>
      </c>
      <c r="D16" s="1">
        <v>148</v>
      </c>
      <c r="E16">
        <v>139</v>
      </c>
      <c r="F16" s="1">
        <v>177</v>
      </c>
      <c r="G16" s="1">
        <v>59</v>
      </c>
      <c r="H16" s="5">
        <v>15</v>
      </c>
      <c r="I16">
        <v>16</v>
      </c>
      <c r="J16">
        <v>25</v>
      </c>
      <c r="K16">
        <v>6</v>
      </c>
      <c r="L16">
        <v>153</v>
      </c>
      <c r="M16">
        <v>143</v>
      </c>
      <c r="N16">
        <v>182</v>
      </c>
      <c r="O16">
        <v>174</v>
      </c>
      <c r="P16">
        <v>19</v>
      </c>
      <c r="Q16">
        <v>19</v>
      </c>
      <c r="R16">
        <v>27</v>
      </c>
      <c r="S16">
        <v>8</v>
      </c>
      <c r="V16" s="8">
        <f t="shared" si="0"/>
        <v>2.7689429373246024</v>
      </c>
      <c r="W16" s="8">
        <f t="shared" si="0"/>
        <v>2.6005612722170253</v>
      </c>
      <c r="X16" s="8">
        <f t="shared" si="0"/>
        <v>3.3115060804490177</v>
      </c>
      <c r="Y16" s="8">
        <f t="shared" si="0"/>
        <v>1.1038353601496727</v>
      </c>
      <c r="Z16" s="8">
        <f t="shared" si="0"/>
        <v>0.2806361085126286</v>
      </c>
      <c r="AA16" s="8">
        <f t="shared" si="0"/>
        <v>0.29934518241347052</v>
      </c>
      <c r="AB16" s="8">
        <f t="shared" si="0"/>
        <v>0.46772684752104771</v>
      </c>
      <c r="AC16" s="8">
        <f t="shared" si="0"/>
        <v>0.11225444340505146</v>
      </c>
      <c r="AD16" s="8">
        <f t="shared" si="0"/>
        <v>2.8624883068288121</v>
      </c>
      <c r="AE16" s="8">
        <f t="shared" si="0"/>
        <v>2.6753975678203932</v>
      </c>
      <c r="AF16" s="8">
        <f t="shared" si="0"/>
        <v>3.4050514499532274</v>
      </c>
      <c r="AG16" s="8">
        <f t="shared" si="0"/>
        <v>3.2553788587464916</v>
      </c>
      <c r="AH16" s="8">
        <f t="shared" si="0"/>
        <v>0.35547240411599623</v>
      </c>
      <c r="AI16" s="8">
        <f t="shared" si="0"/>
        <v>0.35547240411599623</v>
      </c>
      <c r="AJ16" s="8">
        <f t="shared" si="0"/>
        <v>0.50514499532273149</v>
      </c>
      <c r="AK16" s="8">
        <f t="shared" si="0"/>
        <v>0.14967259120673526</v>
      </c>
    </row>
    <row r="17" spans="1:37" x14ac:dyDescent="0.25">
      <c r="A17" s="17"/>
      <c r="B17" t="s">
        <v>24</v>
      </c>
      <c r="C17" s="1">
        <v>5307</v>
      </c>
      <c r="D17" s="1">
        <v>87</v>
      </c>
      <c r="E17">
        <v>50</v>
      </c>
      <c r="F17" s="1">
        <v>223</v>
      </c>
      <c r="G17" s="1">
        <v>33</v>
      </c>
      <c r="H17" s="5">
        <v>10</v>
      </c>
      <c r="I17">
        <v>4</v>
      </c>
      <c r="J17">
        <v>45</v>
      </c>
      <c r="K17">
        <v>3</v>
      </c>
      <c r="L17">
        <v>89</v>
      </c>
      <c r="M17">
        <v>52</v>
      </c>
      <c r="N17">
        <v>223</v>
      </c>
      <c r="O17">
        <v>100</v>
      </c>
      <c r="P17">
        <v>11</v>
      </c>
      <c r="Q17">
        <v>4</v>
      </c>
      <c r="R17">
        <v>60</v>
      </c>
      <c r="S17">
        <v>3</v>
      </c>
      <c r="V17" s="8">
        <f t="shared" si="0"/>
        <v>1.639344262295082</v>
      </c>
      <c r="W17" s="8">
        <f t="shared" si="0"/>
        <v>0.94215187488223096</v>
      </c>
      <c r="X17" s="8">
        <f t="shared" si="0"/>
        <v>4.2019973619747502</v>
      </c>
      <c r="Y17" s="8">
        <f t="shared" si="0"/>
        <v>0.62182023742227244</v>
      </c>
      <c r="Z17" s="8">
        <f t="shared" si="0"/>
        <v>0.18843037497644621</v>
      </c>
      <c r="AA17" s="8">
        <f t="shared" si="0"/>
        <v>7.537214999057848E-2</v>
      </c>
      <c r="AB17" s="8">
        <f t="shared" si="0"/>
        <v>0.84793668739400785</v>
      </c>
      <c r="AC17" s="8">
        <f t="shared" si="0"/>
        <v>5.652911249293386E-2</v>
      </c>
      <c r="AD17" s="8">
        <f t="shared" si="0"/>
        <v>1.6770303372903712</v>
      </c>
      <c r="AE17" s="8">
        <f t="shared" si="0"/>
        <v>0.97983794987752026</v>
      </c>
      <c r="AF17" s="8">
        <f t="shared" si="0"/>
        <v>4.2019973619747502</v>
      </c>
      <c r="AG17" s="8">
        <f t="shared" si="0"/>
        <v>1.8843037497644619</v>
      </c>
      <c r="AH17" s="8">
        <f t="shared" si="0"/>
        <v>0.20727341247409081</v>
      </c>
      <c r="AI17" s="8">
        <f t="shared" si="0"/>
        <v>7.537214999057848E-2</v>
      </c>
      <c r="AJ17" s="8">
        <f t="shared" si="0"/>
        <v>1.1305822498586773</v>
      </c>
      <c r="AK17" s="8">
        <f t="shared" si="0"/>
        <v>5.652911249293386E-2</v>
      </c>
    </row>
    <row r="18" spans="1:37" x14ac:dyDescent="0.25">
      <c r="A18" s="17"/>
      <c r="B18" t="s">
        <v>25</v>
      </c>
      <c r="C18" s="1">
        <v>6792</v>
      </c>
      <c r="D18" s="1">
        <v>146</v>
      </c>
      <c r="E18">
        <v>75</v>
      </c>
      <c r="F18" s="1">
        <v>179</v>
      </c>
      <c r="G18" s="1">
        <v>39</v>
      </c>
      <c r="H18" s="5">
        <v>25</v>
      </c>
      <c r="I18">
        <v>10</v>
      </c>
      <c r="J18">
        <v>37</v>
      </c>
      <c r="K18">
        <v>7</v>
      </c>
      <c r="L18">
        <v>147</v>
      </c>
      <c r="M18">
        <v>78</v>
      </c>
      <c r="N18">
        <v>180</v>
      </c>
      <c r="O18">
        <v>165</v>
      </c>
      <c r="P18">
        <v>27</v>
      </c>
      <c r="Q18">
        <v>11</v>
      </c>
      <c r="R18">
        <v>45</v>
      </c>
      <c r="S18">
        <v>8</v>
      </c>
      <c r="V18" s="8">
        <f t="shared" si="0"/>
        <v>2.1495877502944643</v>
      </c>
      <c r="W18" s="8">
        <f t="shared" si="0"/>
        <v>1.1042402826855124</v>
      </c>
      <c r="X18" s="8">
        <f t="shared" si="0"/>
        <v>2.6354534746760896</v>
      </c>
      <c r="Y18" s="8">
        <f t="shared" si="0"/>
        <v>0.5742049469964664</v>
      </c>
      <c r="Z18" s="8">
        <f t="shared" si="0"/>
        <v>0.36808009422850413</v>
      </c>
      <c r="AA18" s="8">
        <f t="shared" si="0"/>
        <v>0.14723203769140164</v>
      </c>
      <c r="AB18" s="8">
        <f t="shared" si="0"/>
        <v>0.54475853945818609</v>
      </c>
      <c r="AC18" s="8">
        <f t="shared" si="0"/>
        <v>0.10306242638398115</v>
      </c>
      <c r="AD18" s="8">
        <f t="shared" si="0"/>
        <v>2.1643109540636045</v>
      </c>
      <c r="AE18" s="8">
        <f t="shared" si="0"/>
        <v>1.1484098939929328</v>
      </c>
      <c r="AF18" s="8">
        <f t="shared" si="0"/>
        <v>2.6501766784452299</v>
      </c>
      <c r="AG18" s="8">
        <f t="shared" si="0"/>
        <v>2.4293286219081272</v>
      </c>
      <c r="AH18" s="8">
        <f t="shared" si="0"/>
        <v>0.39752650176678439</v>
      </c>
      <c r="AI18" s="8">
        <f t="shared" si="0"/>
        <v>0.16195524146054183</v>
      </c>
      <c r="AJ18" s="8">
        <f t="shared" si="0"/>
        <v>0.66254416961130747</v>
      </c>
      <c r="AK18" s="8">
        <f t="shared" ref="AK18:AK81" si="1">(S18/$C18)*100</f>
        <v>0.11778563015312131</v>
      </c>
    </row>
    <row r="19" spans="1:37" x14ac:dyDescent="0.25">
      <c r="A19" s="17"/>
      <c r="B19" t="s">
        <v>26</v>
      </c>
      <c r="C19" s="1">
        <v>5877</v>
      </c>
      <c r="D19" s="1">
        <v>114</v>
      </c>
      <c r="E19">
        <v>112</v>
      </c>
      <c r="F19" s="1">
        <v>411</v>
      </c>
      <c r="G19" s="1">
        <v>89</v>
      </c>
      <c r="H19" s="5">
        <v>7</v>
      </c>
      <c r="I19">
        <v>7</v>
      </c>
      <c r="J19">
        <v>35</v>
      </c>
      <c r="K19">
        <v>7</v>
      </c>
      <c r="L19">
        <v>118</v>
      </c>
      <c r="M19">
        <v>114</v>
      </c>
      <c r="N19">
        <v>412</v>
      </c>
      <c r="O19">
        <v>150</v>
      </c>
      <c r="P19">
        <v>8</v>
      </c>
      <c r="Q19">
        <v>8</v>
      </c>
      <c r="R19">
        <v>45</v>
      </c>
      <c r="S19">
        <v>8</v>
      </c>
      <c r="V19" s="8">
        <f t="shared" ref="V19:AJ35" si="2">(D19/$C19)*100</f>
        <v>1.9397651863195506</v>
      </c>
      <c r="W19" s="8">
        <f t="shared" si="2"/>
        <v>1.9057342181385062</v>
      </c>
      <c r="X19" s="8">
        <f t="shared" si="2"/>
        <v>6.9933639612046958</v>
      </c>
      <c r="Y19" s="8">
        <f t="shared" si="2"/>
        <v>1.5143780840564913</v>
      </c>
      <c r="Z19" s="8">
        <f t="shared" si="2"/>
        <v>0.11910838863365664</v>
      </c>
      <c r="AA19" s="8">
        <f t="shared" si="2"/>
        <v>0.11910838863365664</v>
      </c>
      <c r="AB19" s="8">
        <f t="shared" si="2"/>
        <v>0.59554194316828313</v>
      </c>
      <c r="AC19" s="8">
        <f t="shared" si="2"/>
        <v>0.11910838863365664</v>
      </c>
      <c r="AD19" s="8">
        <f t="shared" si="2"/>
        <v>2.0078271226816402</v>
      </c>
      <c r="AE19" s="8">
        <f t="shared" si="2"/>
        <v>1.9397651863195506</v>
      </c>
      <c r="AF19" s="8">
        <f t="shared" si="2"/>
        <v>7.0103794452952188</v>
      </c>
      <c r="AG19" s="8">
        <f t="shared" si="2"/>
        <v>2.5523226135783563</v>
      </c>
      <c r="AH19" s="8">
        <f t="shared" si="2"/>
        <v>0.136123872724179</v>
      </c>
      <c r="AI19" s="8">
        <f t="shared" si="2"/>
        <v>0.136123872724179</v>
      </c>
      <c r="AJ19" s="8">
        <f t="shared" si="2"/>
        <v>0.76569678407350694</v>
      </c>
      <c r="AK19" s="8">
        <f t="shared" si="1"/>
        <v>0.136123872724179</v>
      </c>
    </row>
    <row r="20" spans="1:37" x14ac:dyDescent="0.25">
      <c r="A20" s="17"/>
      <c r="B20" t="s">
        <v>27</v>
      </c>
      <c r="C20" s="1">
        <v>5709</v>
      </c>
      <c r="D20" s="1">
        <v>131</v>
      </c>
      <c r="E20">
        <v>81</v>
      </c>
      <c r="F20" s="1">
        <v>134</v>
      </c>
      <c r="G20" s="1">
        <v>25</v>
      </c>
      <c r="H20" s="5">
        <v>16</v>
      </c>
      <c r="I20">
        <v>10</v>
      </c>
      <c r="J20">
        <v>27</v>
      </c>
      <c r="K20">
        <v>3</v>
      </c>
      <c r="L20">
        <v>136</v>
      </c>
      <c r="M20">
        <v>83</v>
      </c>
      <c r="N20">
        <v>135</v>
      </c>
      <c r="O20">
        <v>145</v>
      </c>
      <c r="P20">
        <v>16</v>
      </c>
      <c r="Q20">
        <v>11</v>
      </c>
      <c r="R20">
        <v>28</v>
      </c>
      <c r="S20">
        <v>3</v>
      </c>
      <c r="V20" s="8">
        <f t="shared" si="2"/>
        <v>2.2946225258363988</v>
      </c>
      <c r="W20" s="8">
        <f t="shared" si="2"/>
        <v>1.418812401471361</v>
      </c>
      <c r="X20" s="8">
        <f t="shared" si="2"/>
        <v>2.3471711332983007</v>
      </c>
      <c r="Y20" s="8">
        <f t="shared" si="2"/>
        <v>0.43790506218251884</v>
      </c>
      <c r="Z20" s="8">
        <f t="shared" si="2"/>
        <v>0.28025923979681205</v>
      </c>
      <c r="AA20" s="8">
        <f t="shared" si="2"/>
        <v>0.17516202487300753</v>
      </c>
      <c r="AB20" s="8">
        <f t="shared" si="2"/>
        <v>0.47293746715712037</v>
      </c>
      <c r="AC20" s="8">
        <f t="shared" si="2"/>
        <v>5.2548607461902257E-2</v>
      </c>
      <c r="AD20" s="8">
        <f t="shared" si="2"/>
        <v>2.3822035382729023</v>
      </c>
      <c r="AE20" s="8">
        <f t="shared" si="2"/>
        <v>1.4538448064459626</v>
      </c>
      <c r="AF20" s="8">
        <f t="shared" si="2"/>
        <v>2.364687335785602</v>
      </c>
      <c r="AG20" s="8">
        <f t="shared" si="2"/>
        <v>2.539849360658609</v>
      </c>
      <c r="AH20" s="8">
        <f t="shared" si="2"/>
        <v>0.28025923979681205</v>
      </c>
      <c r="AI20" s="8">
        <f t="shared" si="2"/>
        <v>0.19267822736030829</v>
      </c>
      <c r="AJ20" s="8">
        <f t="shared" si="2"/>
        <v>0.49045366964442105</v>
      </c>
      <c r="AK20" s="8">
        <f t="shared" si="1"/>
        <v>5.2548607461902257E-2</v>
      </c>
    </row>
    <row r="21" spans="1:37" x14ac:dyDescent="0.25">
      <c r="A21" s="17" t="s">
        <v>62</v>
      </c>
      <c r="B21" t="s">
        <v>19</v>
      </c>
      <c r="C21" s="1">
        <v>7485</v>
      </c>
      <c r="D21" s="1">
        <v>150</v>
      </c>
      <c r="E21">
        <v>85</v>
      </c>
      <c r="F21" s="1">
        <v>183</v>
      </c>
      <c r="G21" s="1">
        <v>38</v>
      </c>
      <c r="H21" s="5">
        <v>8</v>
      </c>
      <c r="I21">
        <v>2</v>
      </c>
      <c r="J21">
        <v>20</v>
      </c>
      <c r="K21">
        <v>0</v>
      </c>
      <c r="L21">
        <v>158</v>
      </c>
      <c r="M21">
        <v>87</v>
      </c>
      <c r="N21">
        <v>185</v>
      </c>
      <c r="O21">
        <v>178</v>
      </c>
      <c r="P21">
        <v>8</v>
      </c>
      <c r="Q21">
        <v>2</v>
      </c>
      <c r="R21">
        <v>21</v>
      </c>
      <c r="S21">
        <v>0</v>
      </c>
      <c r="V21" s="9">
        <f t="shared" si="2"/>
        <v>2.0040080160320639</v>
      </c>
      <c r="W21" s="9">
        <f t="shared" si="2"/>
        <v>1.1356045424181698</v>
      </c>
      <c r="X21" s="9">
        <f t="shared" si="2"/>
        <v>2.4448897795591185</v>
      </c>
      <c r="Y21" s="9">
        <f t="shared" si="2"/>
        <v>0.5076820307281229</v>
      </c>
      <c r="Z21" s="9">
        <f t="shared" si="2"/>
        <v>0.10688042752171009</v>
      </c>
      <c r="AA21" s="9">
        <f t="shared" si="2"/>
        <v>2.6720106880427523E-2</v>
      </c>
      <c r="AB21" s="9">
        <f t="shared" si="2"/>
        <v>0.26720106880427524</v>
      </c>
      <c r="AC21" s="9">
        <f t="shared" si="2"/>
        <v>0</v>
      </c>
      <c r="AD21" s="9">
        <f t="shared" si="2"/>
        <v>2.1108884435537743</v>
      </c>
      <c r="AE21" s="9">
        <f t="shared" si="2"/>
        <v>1.1623246492985972</v>
      </c>
      <c r="AF21" s="9">
        <f t="shared" si="2"/>
        <v>2.4716098864395457</v>
      </c>
      <c r="AG21" s="9">
        <f t="shared" si="2"/>
        <v>2.3780895123580494</v>
      </c>
      <c r="AH21" s="9">
        <f t="shared" si="2"/>
        <v>0.10688042752171009</v>
      </c>
      <c r="AI21" s="9">
        <f t="shared" si="2"/>
        <v>2.6720106880427523E-2</v>
      </c>
      <c r="AJ21" s="9">
        <f t="shared" si="2"/>
        <v>0.28056112224448898</v>
      </c>
      <c r="AK21" s="9">
        <f t="shared" si="1"/>
        <v>0</v>
      </c>
    </row>
    <row r="22" spans="1:37" x14ac:dyDescent="0.25">
      <c r="A22" s="17"/>
      <c r="B22" t="s">
        <v>20</v>
      </c>
      <c r="C22" s="1">
        <v>6729</v>
      </c>
      <c r="D22" s="1">
        <v>136</v>
      </c>
      <c r="E22">
        <v>54</v>
      </c>
      <c r="F22" s="1">
        <v>116</v>
      </c>
      <c r="G22" s="1">
        <v>18</v>
      </c>
      <c r="H22" s="5">
        <v>19</v>
      </c>
      <c r="I22">
        <v>10</v>
      </c>
      <c r="J22">
        <v>35</v>
      </c>
      <c r="K22">
        <v>4</v>
      </c>
      <c r="L22">
        <v>139</v>
      </c>
      <c r="M22">
        <v>54</v>
      </c>
      <c r="N22">
        <v>117</v>
      </c>
      <c r="O22">
        <v>148</v>
      </c>
      <c r="P22">
        <v>22</v>
      </c>
      <c r="Q22">
        <v>10</v>
      </c>
      <c r="R22">
        <v>42</v>
      </c>
      <c r="S22">
        <v>4</v>
      </c>
      <c r="V22" s="9">
        <f t="shared" si="2"/>
        <v>2.0211026898499034</v>
      </c>
      <c r="W22" s="9">
        <f t="shared" si="2"/>
        <v>0.80249665626393218</v>
      </c>
      <c r="X22" s="9">
        <f t="shared" si="2"/>
        <v>1.7238817060484473</v>
      </c>
      <c r="Y22" s="9">
        <f t="shared" si="2"/>
        <v>0.26749888542131073</v>
      </c>
      <c r="Z22" s="9">
        <f t="shared" si="2"/>
        <v>0.28235993461138353</v>
      </c>
      <c r="AA22" s="9">
        <f t="shared" si="2"/>
        <v>0.1486104919007282</v>
      </c>
      <c r="AB22" s="9">
        <f t="shared" si="2"/>
        <v>0.52013672165254865</v>
      </c>
      <c r="AC22" s="9">
        <f t="shared" si="2"/>
        <v>5.9444196760291272E-2</v>
      </c>
      <c r="AD22" s="9">
        <f t="shared" si="2"/>
        <v>2.0656858374201219</v>
      </c>
      <c r="AE22" s="9">
        <f t="shared" si="2"/>
        <v>0.80249665626393218</v>
      </c>
      <c r="AF22" s="9">
        <f t="shared" si="2"/>
        <v>1.7387427552385197</v>
      </c>
      <c r="AG22" s="9">
        <f t="shared" si="2"/>
        <v>2.199435280130777</v>
      </c>
      <c r="AH22" s="9">
        <f t="shared" si="2"/>
        <v>0.32694308218160201</v>
      </c>
      <c r="AI22" s="9">
        <f t="shared" si="2"/>
        <v>0.1486104919007282</v>
      </c>
      <c r="AJ22" s="9">
        <f t="shared" si="2"/>
        <v>0.6241640659830584</v>
      </c>
      <c r="AK22" s="9">
        <f t="shared" si="1"/>
        <v>5.9444196760291272E-2</v>
      </c>
    </row>
    <row r="23" spans="1:37" x14ac:dyDescent="0.25">
      <c r="A23" s="17"/>
      <c r="B23" t="s">
        <v>21</v>
      </c>
      <c r="C23" s="1">
        <v>4807</v>
      </c>
      <c r="D23" s="1">
        <v>138</v>
      </c>
      <c r="E23">
        <v>48</v>
      </c>
      <c r="F23" s="1">
        <v>108</v>
      </c>
      <c r="G23" s="1">
        <v>30</v>
      </c>
      <c r="H23" s="5">
        <v>20</v>
      </c>
      <c r="I23">
        <v>5</v>
      </c>
      <c r="J23">
        <v>18</v>
      </c>
      <c r="K23">
        <v>3</v>
      </c>
      <c r="L23">
        <v>145</v>
      </c>
      <c r="M23">
        <v>51</v>
      </c>
      <c r="N23">
        <v>108</v>
      </c>
      <c r="O23">
        <v>164</v>
      </c>
      <c r="P23">
        <v>21</v>
      </c>
      <c r="Q23">
        <v>5</v>
      </c>
      <c r="R23">
        <v>21</v>
      </c>
      <c r="S23">
        <v>3</v>
      </c>
      <c r="V23" s="9">
        <f t="shared" si="2"/>
        <v>2.8708133971291865</v>
      </c>
      <c r="W23" s="9">
        <f t="shared" si="2"/>
        <v>0.99854379030580398</v>
      </c>
      <c r="X23" s="9">
        <f t="shared" si="2"/>
        <v>2.2467235281880589</v>
      </c>
      <c r="Y23" s="9">
        <f t="shared" si="2"/>
        <v>0.6240898689411275</v>
      </c>
      <c r="Z23" s="9">
        <f t="shared" si="2"/>
        <v>0.41605991262741837</v>
      </c>
      <c r="AA23" s="9">
        <f t="shared" si="2"/>
        <v>0.10401497815685459</v>
      </c>
      <c r="AB23" s="9">
        <f t="shared" si="2"/>
        <v>0.37445392136467648</v>
      </c>
      <c r="AC23" s="9">
        <f t="shared" si="2"/>
        <v>6.2408986894112749E-2</v>
      </c>
      <c r="AD23" s="9">
        <f t="shared" si="2"/>
        <v>3.0164343665487832</v>
      </c>
      <c r="AE23" s="9">
        <f t="shared" si="2"/>
        <v>1.0609527771999168</v>
      </c>
      <c r="AF23" s="9">
        <f t="shared" si="2"/>
        <v>2.2467235281880589</v>
      </c>
      <c r="AG23" s="9">
        <f t="shared" si="2"/>
        <v>3.4116912835448305</v>
      </c>
      <c r="AH23" s="9">
        <f t="shared" si="2"/>
        <v>0.43686290825878926</v>
      </c>
      <c r="AI23" s="9">
        <f t="shared" si="2"/>
        <v>0.10401497815685459</v>
      </c>
      <c r="AJ23" s="9">
        <f t="shared" si="2"/>
        <v>0.43686290825878926</v>
      </c>
      <c r="AK23" s="9">
        <f t="shared" si="1"/>
        <v>6.2408986894112749E-2</v>
      </c>
    </row>
    <row r="24" spans="1:37" x14ac:dyDescent="0.25">
      <c r="A24" s="17"/>
      <c r="B24" t="s">
        <v>22</v>
      </c>
      <c r="C24" s="1">
        <v>7599</v>
      </c>
      <c r="D24" s="1">
        <v>147</v>
      </c>
      <c r="E24">
        <v>81</v>
      </c>
      <c r="F24" s="1">
        <v>195</v>
      </c>
      <c r="G24" s="1">
        <v>28</v>
      </c>
      <c r="H24" s="5">
        <v>12</v>
      </c>
      <c r="I24">
        <v>9</v>
      </c>
      <c r="J24">
        <v>42</v>
      </c>
      <c r="K24">
        <v>5</v>
      </c>
      <c r="L24">
        <v>152</v>
      </c>
      <c r="M24">
        <v>83</v>
      </c>
      <c r="N24">
        <v>196</v>
      </c>
      <c r="O24">
        <v>164</v>
      </c>
      <c r="P24">
        <v>12</v>
      </c>
      <c r="Q24">
        <v>9</v>
      </c>
      <c r="R24">
        <v>48</v>
      </c>
      <c r="S24">
        <v>5</v>
      </c>
      <c r="V24" s="9">
        <f t="shared" si="2"/>
        <v>1.9344650611922622</v>
      </c>
      <c r="W24" s="9">
        <f t="shared" si="2"/>
        <v>1.0659297275957362</v>
      </c>
      <c r="X24" s="9">
        <f t="shared" si="2"/>
        <v>2.5661271219897355</v>
      </c>
      <c r="Y24" s="9">
        <f t="shared" si="2"/>
        <v>0.36846953546519279</v>
      </c>
      <c r="Z24" s="9">
        <f t="shared" si="2"/>
        <v>0.15791551519936833</v>
      </c>
      <c r="AA24" s="9">
        <f t="shared" si="2"/>
        <v>0.11843663639952626</v>
      </c>
      <c r="AB24" s="9">
        <f t="shared" si="2"/>
        <v>0.55270430319778918</v>
      </c>
      <c r="AC24" s="9">
        <f t="shared" si="2"/>
        <v>6.5798131333070137E-2</v>
      </c>
      <c r="AD24" s="9">
        <f t="shared" si="2"/>
        <v>2.000263192525332</v>
      </c>
      <c r="AE24" s="9">
        <f t="shared" si="2"/>
        <v>1.0922489801289643</v>
      </c>
      <c r="AF24" s="9">
        <f t="shared" si="2"/>
        <v>2.5792867482563495</v>
      </c>
      <c r="AG24" s="9">
        <f t="shared" si="2"/>
        <v>2.1581787077247006</v>
      </c>
      <c r="AH24" s="9">
        <f t="shared" si="2"/>
        <v>0.15791551519936833</v>
      </c>
      <c r="AI24" s="9">
        <f t="shared" si="2"/>
        <v>0.11843663639952626</v>
      </c>
      <c r="AJ24" s="9">
        <f t="shared" si="2"/>
        <v>0.63166206079747333</v>
      </c>
      <c r="AK24" s="9">
        <f t="shared" si="1"/>
        <v>6.5798131333070137E-2</v>
      </c>
    </row>
    <row r="25" spans="1:37" x14ac:dyDescent="0.25">
      <c r="A25" s="17"/>
      <c r="B25" t="s">
        <v>23</v>
      </c>
      <c r="C25" s="1">
        <v>5345</v>
      </c>
      <c r="D25" s="1">
        <v>148</v>
      </c>
      <c r="E25">
        <v>139</v>
      </c>
      <c r="F25" s="1">
        <v>177</v>
      </c>
      <c r="G25" s="1">
        <v>59</v>
      </c>
      <c r="H25" s="5">
        <v>15</v>
      </c>
      <c r="I25">
        <v>16</v>
      </c>
      <c r="J25">
        <v>25</v>
      </c>
      <c r="K25">
        <v>6</v>
      </c>
      <c r="L25">
        <v>153</v>
      </c>
      <c r="M25">
        <v>143</v>
      </c>
      <c r="N25">
        <v>182</v>
      </c>
      <c r="O25">
        <v>174</v>
      </c>
      <c r="P25">
        <v>19</v>
      </c>
      <c r="Q25">
        <v>19</v>
      </c>
      <c r="R25">
        <v>27</v>
      </c>
      <c r="S25">
        <v>8</v>
      </c>
      <c r="V25" s="9">
        <f t="shared" si="2"/>
        <v>2.7689429373246024</v>
      </c>
      <c r="W25" s="9">
        <f t="shared" si="2"/>
        <v>2.6005612722170253</v>
      </c>
      <c r="X25" s="9">
        <f t="shared" si="2"/>
        <v>3.3115060804490177</v>
      </c>
      <c r="Y25" s="9">
        <f t="shared" si="2"/>
        <v>1.1038353601496727</v>
      </c>
      <c r="Z25" s="9">
        <f t="shared" si="2"/>
        <v>0.2806361085126286</v>
      </c>
      <c r="AA25" s="9">
        <f t="shared" si="2"/>
        <v>0.29934518241347052</v>
      </c>
      <c r="AB25" s="9">
        <f t="shared" si="2"/>
        <v>0.46772684752104771</v>
      </c>
      <c r="AC25" s="9">
        <f t="shared" si="2"/>
        <v>0.11225444340505146</v>
      </c>
      <c r="AD25" s="9">
        <f t="shared" si="2"/>
        <v>2.8624883068288121</v>
      </c>
      <c r="AE25" s="9">
        <f t="shared" si="2"/>
        <v>2.6753975678203932</v>
      </c>
      <c r="AF25" s="9">
        <f t="shared" si="2"/>
        <v>3.4050514499532274</v>
      </c>
      <c r="AG25" s="9">
        <f t="shared" si="2"/>
        <v>3.2553788587464916</v>
      </c>
      <c r="AH25" s="9">
        <f t="shared" si="2"/>
        <v>0.35547240411599623</v>
      </c>
      <c r="AI25" s="9">
        <f t="shared" si="2"/>
        <v>0.35547240411599623</v>
      </c>
      <c r="AJ25" s="9">
        <f t="shared" si="2"/>
        <v>0.50514499532273149</v>
      </c>
      <c r="AK25" s="9">
        <f t="shared" si="1"/>
        <v>0.14967259120673526</v>
      </c>
    </row>
    <row r="26" spans="1:37" x14ac:dyDescent="0.25">
      <c r="A26" s="17"/>
      <c r="B26" t="s">
        <v>24</v>
      </c>
      <c r="C26" s="1">
        <v>5307</v>
      </c>
      <c r="D26" s="1">
        <v>87</v>
      </c>
      <c r="E26">
        <v>50</v>
      </c>
      <c r="F26" s="1">
        <v>223</v>
      </c>
      <c r="G26" s="1">
        <v>33</v>
      </c>
      <c r="H26" s="5">
        <v>10</v>
      </c>
      <c r="I26">
        <v>4</v>
      </c>
      <c r="J26">
        <v>45</v>
      </c>
      <c r="K26">
        <v>3</v>
      </c>
      <c r="L26">
        <v>89</v>
      </c>
      <c r="M26">
        <v>52</v>
      </c>
      <c r="N26">
        <v>223</v>
      </c>
      <c r="O26">
        <v>100</v>
      </c>
      <c r="P26">
        <v>11</v>
      </c>
      <c r="Q26">
        <v>4</v>
      </c>
      <c r="R26">
        <v>60</v>
      </c>
      <c r="S26">
        <v>3</v>
      </c>
      <c r="V26" s="9">
        <f t="shared" si="2"/>
        <v>1.639344262295082</v>
      </c>
      <c r="W26" s="9">
        <f t="shared" si="2"/>
        <v>0.94215187488223096</v>
      </c>
      <c r="X26" s="9">
        <f t="shared" si="2"/>
        <v>4.2019973619747502</v>
      </c>
      <c r="Y26" s="9">
        <f t="shared" si="2"/>
        <v>0.62182023742227244</v>
      </c>
      <c r="Z26" s="9">
        <f t="shared" si="2"/>
        <v>0.18843037497644621</v>
      </c>
      <c r="AA26" s="9">
        <f t="shared" si="2"/>
        <v>7.537214999057848E-2</v>
      </c>
      <c r="AB26" s="9">
        <f t="shared" si="2"/>
        <v>0.84793668739400785</v>
      </c>
      <c r="AC26" s="9">
        <f t="shared" si="2"/>
        <v>5.652911249293386E-2</v>
      </c>
      <c r="AD26" s="9">
        <f t="shared" si="2"/>
        <v>1.6770303372903712</v>
      </c>
      <c r="AE26" s="9">
        <f t="shared" si="2"/>
        <v>0.97983794987752026</v>
      </c>
      <c r="AF26" s="9">
        <f t="shared" si="2"/>
        <v>4.2019973619747502</v>
      </c>
      <c r="AG26" s="9">
        <f t="shared" si="2"/>
        <v>1.8843037497644619</v>
      </c>
      <c r="AH26" s="9">
        <f t="shared" si="2"/>
        <v>0.20727341247409081</v>
      </c>
      <c r="AI26" s="9">
        <f t="shared" si="2"/>
        <v>7.537214999057848E-2</v>
      </c>
      <c r="AJ26" s="9">
        <f t="shared" si="2"/>
        <v>1.1305822498586773</v>
      </c>
      <c r="AK26" s="9">
        <f t="shared" si="1"/>
        <v>5.652911249293386E-2</v>
      </c>
    </row>
    <row r="27" spans="1:37" x14ac:dyDescent="0.25">
      <c r="A27" s="17"/>
      <c r="B27" t="s">
        <v>25</v>
      </c>
      <c r="C27" s="1">
        <v>6792</v>
      </c>
      <c r="D27" s="1">
        <v>146</v>
      </c>
      <c r="E27">
        <v>75</v>
      </c>
      <c r="F27" s="1">
        <v>179</v>
      </c>
      <c r="G27" s="1">
        <v>39</v>
      </c>
      <c r="H27" s="5">
        <v>25</v>
      </c>
      <c r="I27">
        <v>10</v>
      </c>
      <c r="J27">
        <v>37</v>
      </c>
      <c r="K27">
        <v>7</v>
      </c>
      <c r="L27">
        <v>147</v>
      </c>
      <c r="M27">
        <v>78</v>
      </c>
      <c r="N27">
        <v>180</v>
      </c>
      <c r="O27">
        <v>165</v>
      </c>
      <c r="P27">
        <v>27</v>
      </c>
      <c r="Q27">
        <v>11</v>
      </c>
      <c r="R27">
        <v>45</v>
      </c>
      <c r="S27">
        <v>8</v>
      </c>
      <c r="V27" s="9">
        <f t="shared" si="2"/>
        <v>2.1495877502944643</v>
      </c>
      <c r="W27" s="9">
        <f t="shared" si="2"/>
        <v>1.1042402826855124</v>
      </c>
      <c r="X27" s="9">
        <f t="shared" si="2"/>
        <v>2.6354534746760896</v>
      </c>
      <c r="Y27" s="9">
        <f t="shared" si="2"/>
        <v>0.5742049469964664</v>
      </c>
      <c r="Z27" s="9">
        <f t="shared" si="2"/>
        <v>0.36808009422850413</v>
      </c>
      <c r="AA27" s="9">
        <f t="shared" si="2"/>
        <v>0.14723203769140164</v>
      </c>
      <c r="AB27" s="9">
        <f t="shared" si="2"/>
        <v>0.54475853945818609</v>
      </c>
      <c r="AC27" s="9">
        <f t="shared" si="2"/>
        <v>0.10306242638398115</v>
      </c>
      <c r="AD27" s="9">
        <f t="shared" si="2"/>
        <v>2.1643109540636045</v>
      </c>
      <c r="AE27" s="9">
        <f t="shared" si="2"/>
        <v>1.1484098939929328</v>
      </c>
      <c r="AF27" s="9">
        <f t="shared" si="2"/>
        <v>2.6501766784452299</v>
      </c>
      <c r="AG27" s="9">
        <f t="shared" si="2"/>
        <v>2.4293286219081272</v>
      </c>
      <c r="AH27" s="9">
        <f t="shared" si="2"/>
        <v>0.39752650176678439</v>
      </c>
      <c r="AI27" s="9">
        <f t="shared" si="2"/>
        <v>0.16195524146054183</v>
      </c>
      <c r="AJ27" s="9">
        <f t="shared" si="2"/>
        <v>0.66254416961130747</v>
      </c>
      <c r="AK27" s="9">
        <f t="shared" si="1"/>
        <v>0.11778563015312131</v>
      </c>
    </row>
    <row r="28" spans="1:37" x14ac:dyDescent="0.25">
      <c r="A28" s="17"/>
      <c r="B28" t="s">
        <v>26</v>
      </c>
      <c r="C28" s="1">
        <v>5877</v>
      </c>
      <c r="D28" s="1">
        <v>114</v>
      </c>
      <c r="E28">
        <v>112</v>
      </c>
      <c r="F28" s="1">
        <v>411</v>
      </c>
      <c r="G28" s="1">
        <v>89</v>
      </c>
      <c r="H28" s="5">
        <v>7</v>
      </c>
      <c r="I28">
        <v>7</v>
      </c>
      <c r="J28">
        <v>35</v>
      </c>
      <c r="K28">
        <v>7</v>
      </c>
      <c r="L28">
        <v>118</v>
      </c>
      <c r="M28">
        <v>114</v>
      </c>
      <c r="N28">
        <v>412</v>
      </c>
      <c r="O28">
        <v>150</v>
      </c>
      <c r="P28">
        <v>8</v>
      </c>
      <c r="Q28">
        <v>8</v>
      </c>
      <c r="R28">
        <v>45</v>
      </c>
      <c r="S28">
        <v>8</v>
      </c>
      <c r="V28" s="9">
        <f t="shared" si="2"/>
        <v>1.9397651863195506</v>
      </c>
      <c r="W28" s="9">
        <f t="shared" si="2"/>
        <v>1.9057342181385062</v>
      </c>
      <c r="X28" s="9">
        <f t="shared" si="2"/>
        <v>6.9933639612046958</v>
      </c>
      <c r="Y28" s="9">
        <f t="shared" si="2"/>
        <v>1.5143780840564913</v>
      </c>
      <c r="Z28" s="9">
        <f t="shared" si="2"/>
        <v>0.11910838863365664</v>
      </c>
      <c r="AA28" s="9">
        <f t="shared" si="2"/>
        <v>0.11910838863365664</v>
      </c>
      <c r="AB28" s="9">
        <f t="shared" si="2"/>
        <v>0.59554194316828313</v>
      </c>
      <c r="AC28" s="9">
        <f t="shared" si="2"/>
        <v>0.11910838863365664</v>
      </c>
      <c r="AD28" s="9">
        <f t="shared" si="2"/>
        <v>2.0078271226816402</v>
      </c>
      <c r="AE28" s="9">
        <f t="shared" si="2"/>
        <v>1.9397651863195506</v>
      </c>
      <c r="AF28" s="9">
        <f t="shared" si="2"/>
        <v>7.0103794452952188</v>
      </c>
      <c r="AG28" s="9">
        <f t="shared" si="2"/>
        <v>2.5523226135783563</v>
      </c>
      <c r="AH28" s="9">
        <f t="shared" si="2"/>
        <v>0.136123872724179</v>
      </c>
      <c r="AI28" s="9">
        <f t="shared" si="2"/>
        <v>0.136123872724179</v>
      </c>
      <c r="AJ28" s="9">
        <f t="shared" si="2"/>
        <v>0.76569678407350694</v>
      </c>
      <c r="AK28" s="9">
        <f t="shared" si="1"/>
        <v>0.136123872724179</v>
      </c>
    </row>
    <row r="29" spans="1:37" x14ac:dyDescent="0.25">
      <c r="A29" s="17"/>
      <c r="B29" t="s">
        <v>27</v>
      </c>
      <c r="C29" s="1">
        <v>5709</v>
      </c>
      <c r="D29" s="1">
        <v>131</v>
      </c>
      <c r="E29">
        <v>81</v>
      </c>
      <c r="F29" s="1">
        <v>134</v>
      </c>
      <c r="G29" s="1">
        <v>25</v>
      </c>
      <c r="H29" s="5">
        <v>16</v>
      </c>
      <c r="I29">
        <v>10</v>
      </c>
      <c r="J29">
        <v>27</v>
      </c>
      <c r="K29">
        <v>3</v>
      </c>
      <c r="L29">
        <v>136</v>
      </c>
      <c r="M29">
        <v>83</v>
      </c>
      <c r="N29">
        <v>135</v>
      </c>
      <c r="O29">
        <v>145</v>
      </c>
      <c r="P29">
        <v>16</v>
      </c>
      <c r="Q29">
        <v>11</v>
      </c>
      <c r="R29">
        <v>28</v>
      </c>
      <c r="S29">
        <v>3</v>
      </c>
      <c r="V29" s="9">
        <f t="shared" si="2"/>
        <v>2.2946225258363988</v>
      </c>
      <c r="W29" s="9">
        <f t="shared" si="2"/>
        <v>1.418812401471361</v>
      </c>
      <c r="X29" s="9">
        <f t="shared" si="2"/>
        <v>2.3471711332983007</v>
      </c>
      <c r="Y29" s="9">
        <f t="shared" si="2"/>
        <v>0.43790506218251884</v>
      </c>
      <c r="Z29" s="9">
        <f t="shared" si="2"/>
        <v>0.28025923979681205</v>
      </c>
      <c r="AA29" s="9">
        <f t="shared" si="2"/>
        <v>0.17516202487300753</v>
      </c>
      <c r="AB29" s="9">
        <f t="shared" si="2"/>
        <v>0.47293746715712037</v>
      </c>
      <c r="AC29" s="9">
        <f t="shared" si="2"/>
        <v>5.2548607461902257E-2</v>
      </c>
      <c r="AD29" s="9">
        <f t="shared" si="2"/>
        <v>2.3822035382729023</v>
      </c>
      <c r="AE29" s="9">
        <f t="shared" si="2"/>
        <v>1.4538448064459626</v>
      </c>
      <c r="AF29" s="9">
        <f t="shared" si="2"/>
        <v>2.364687335785602</v>
      </c>
      <c r="AG29" s="9">
        <f t="shared" si="2"/>
        <v>2.539849360658609</v>
      </c>
      <c r="AH29" s="9">
        <f t="shared" si="2"/>
        <v>0.28025923979681205</v>
      </c>
      <c r="AI29" s="9">
        <f t="shared" si="2"/>
        <v>0.19267822736030829</v>
      </c>
      <c r="AJ29" s="9">
        <f t="shared" si="2"/>
        <v>0.49045366964442105</v>
      </c>
      <c r="AK29" s="9">
        <f t="shared" si="1"/>
        <v>5.2548607461902257E-2</v>
      </c>
    </row>
    <row r="30" spans="1:37" x14ac:dyDescent="0.25">
      <c r="A30" s="17" t="s">
        <v>0</v>
      </c>
      <c r="B30" t="s">
        <v>28</v>
      </c>
      <c r="C30" s="1">
        <v>6160</v>
      </c>
      <c r="D30" s="1">
        <v>81</v>
      </c>
      <c r="E30">
        <v>52</v>
      </c>
      <c r="F30" s="1">
        <v>231</v>
      </c>
      <c r="G30" s="1">
        <v>22</v>
      </c>
      <c r="H30" s="5">
        <v>8</v>
      </c>
      <c r="I30">
        <v>8</v>
      </c>
      <c r="J30">
        <v>70</v>
      </c>
      <c r="K30">
        <v>2</v>
      </c>
      <c r="L30">
        <v>88</v>
      </c>
      <c r="M30">
        <v>53</v>
      </c>
      <c r="N30">
        <v>234</v>
      </c>
      <c r="O30">
        <v>94</v>
      </c>
      <c r="P30">
        <v>8</v>
      </c>
      <c r="Q30">
        <v>10</v>
      </c>
      <c r="R30">
        <v>79</v>
      </c>
      <c r="S30">
        <v>2</v>
      </c>
      <c r="V30" s="10">
        <f t="shared" si="2"/>
        <v>1.3149350649350648</v>
      </c>
      <c r="W30" s="10">
        <f t="shared" si="2"/>
        <v>0.8441558441558441</v>
      </c>
      <c r="X30" s="10">
        <f t="shared" si="2"/>
        <v>3.75</v>
      </c>
      <c r="Y30" s="10">
        <f t="shared" si="2"/>
        <v>0.35714285714285715</v>
      </c>
      <c r="Z30" s="10">
        <f t="shared" si="2"/>
        <v>0.12987012987012986</v>
      </c>
      <c r="AA30" s="10">
        <f t="shared" si="2"/>
        <v>0.12987012987012986</v>
      </c>
      <c r="AB30" s="10">
        <f t="shared" si="2"/>
        <v>1.1363636363636365</v>
      </c>
      <c r="AC30" s="10">
        <f t="shared" si="2"/>
        <v>3.2467532467532464E-2</v>
      </c>
      <c r="AD30" s="10">
        <f t="shared" si="2"/>
        <v>1.4285714285714286</v>
      </c>
      <c r="AE30" s="10">
        <f t="shared" si="2"/>
        <v>0.86038961038961037</v>
      </c>
      <c r="AF30" s="10">
        <f t="shared" si="2"/>
        <v>3.7987012987012987</v>
      </c>
      <c r="AG30" s="10">
        <f t="shared" si="2"/>
        <v>1.525974025974026</v>
      </c>
      <c r="AH30" s="10">
        <f t="shared" si="2"/>
        <v>0.12987012987012986</v>
      </c>
      <c r="AI30" s="10">
        <f t="shared" si="2"/>
        <v>0.16233766233766234</v>
      </c>
      <c r="AJ30" s="10">
        <f t="shared" si="2"/>
        <v>1.2824675324675325</v>
      </c>
      <c r="AK30" s="10">
        <f t="shared" si="1"/>
        <v>3.2467532467532464E-2</v>
      </c>
    </row>
    <row r="31" spans="1:37" x14ac:dyDescent="0.25">
      <c r="A31" s="17"/>
      <c r="B31" t="s">
        <v>29</v>
      </c>
      <c r="C31" s="1">
        <v>4760</v>
      </c>
      <c r="D31" s="1">
        <v>85</v>
      </c>
      <c r="E31">
        <v>53</v>
      </c>
      <c r="F31" s="1">
        <v>143</v>
      </c>
      <c r="G31" s="1">
        <v>26</v>
      </c>
      <c r="H31" s="5">
        <v>15</v>
      </c>
      <c r="I31">
        <v>5</v>
      </c>
      <c r="J31">
        <v>21</v>
      </c>
      <c r="K31">
        <v>0</v>
      </c>
      <c r="L31">
        <v>89</v>
      </c>
      <c r="M31">
        <v>53</v>
      </c>
      <c r="N31">
        <v>145</v>
      </c>
      <c r="O31">
        <v>102</v>
      </c>
      <c r="P31">
        <v>17</v>
      </c>
      <c r="Q31">
        <v>5</v>
      </c>
      <c r="R31">
        <v>21</v>
      </c>
      <c r="S31">
        <v>0</v>
      </c>
      <c r="V31" s="10">
        <f t="shared" si="2"/>
        <v>1.7857142857142856</v>
      </c>
      <c r="W31" s="10">
        <f t="shared" si="2"/>
        <v>1.1134453781512605</v>
      </c>
      <c r="X31" s="10">
        <f t="shared" si="2"/>
        <v>3.0042016806722689</v>
      </c>
      <c r="Y31" s="10">
        <f t="shared" si="2"/>
        <v>0.54621848739495793</v>
      </c>
      <c r="Z31" s="10">
        <f t="shared" si="2"/>
        <v>0.31512605042016806</v>
      </c>
      <c r="AA31" s="10">
        <f t="shared" si="2"/>
        <v>0.10504201680672269</v>
      </c>
      <c r="AB31" s="10">
        <f t="shared" si="2"/>
        <v>0.44117647058823528</v>
      </c>
      <c r="AC31" s="10">
        <f t="shared" si="2"/>
        <v>0</v>
      </c>
      <c r="AD31" s="10">
        <f t="shared" si="2"/>
        <v>1.8697478991596639</v>
      </c>
      <c r="AE31" s="10">
        <f t="shared" si="2"/>
        <v>1.1134453781512605</v>
      </c>
      <c r="AF31" s="10">
        <f t="shared" si="2"/>
        <v>3.0462184873949578</v>
      </c>
      <c r="AG31" s="10">
        <f t="shared" si="2"/>
        <v>2.1428571428571428</v>
      </c>
      <c r="AH31" s="10">
        <f t="shared" si="2"/>
        <v>0.35714285714285715</v>
      </c>
      <c r="AI31" s="10">
        <f t="shared" si="2"/>
        <v>0.10504201680672269</v>
      </c>
      <c r="AJ31" s="10">
        <f t="shared" si="2"/>
        <v>0.44117647058823528</v>
      </c>
      <c r="AK31" s="10">
        <f t="shared" si="1"/>
        <v>0</v>
      </c>
    </row>
    <row r="32" spans="1:37" x14ac:dyDescent="0.25">
      <c r="A32" s="17"/>
      <c r="B32" t="s">
        <v>30</v>
      </c>
      <c r="C32" s="1">
        <v>6681</v>
      </c>
      <c r="D32" s="1">
        <v>138</v>
      </c>
      <c r="E32">
        <v>346</v>
      </c>
      <c r="F32" s="1">
        <v>218</v>
      </c>
      <c r="G32" s="1">
        <v>87</v>
      </c>
      <c r="H32" s="5">
        <v>8</v>
      </c>
      <c r="I32">
        <v>39</v>
      </c>
      <c r="J32">
        <v>19</v>
      </c>
      <c r="K32">
        <v>4</v>
      </c>
      <c r="L32">
        <v>141</v>
      </c>
      <c r="M32">
        <v>364</v>
      </c>
      <c r="N32">
        <v>223</v>
      </c>
      <c r="O32">
        <v>172</v>
      </c>
      <c r="P32">
        <v>9</v>
      </c>
      <c r="Q32">
        <v>43</v>
      </c>
      <c r="R32">
        <v>19</v>
      </c>
      <c r="S32">
        <v>4</v>
      </c>
      <c r="V32" s="10">
        <f t="shared" si="2"/>
        <v>2.0655590480466999</v>
      </c>
      <c r="W32" s="10">
        <f t="shared" si="2"/>
        <v>5.1788654393054934</v>
      </c>
      <c r="X32" s="10">
        <f t="shared" si="2"/>
        <v>3.2629845831462356</v>
      </c>
      <c r="Y32" s="10">
        <f t="shared" si="2"/>
        <v>1.3022002694207453</v>
      </c>
      <c r="Z32" s="10">
        <f t="shared" si="2"/>
        <v>0.11974255350995361</v>
      </c>
      <c r="AA32" s="10">
        <f t="shared" si="2"/>
        <v>0.58374494836102375</v>
      </c>
      <c r="AB32" s="10">
        <f t="shared" si="2"/>
        <v>0.28438856458613981</v>
      </c>
      <c r="AC32" s="10">
        <f t="shared" si="2"/>
        <v>5.9871276754976804E-2</v>
      </c>
      <c r="AD32" s="10">
        <f t="shared" si="2"/>
        <v>2.110462505612932</v>
      </c>
      <c r="AE32" s="10">
        <f t="shared" si="2"/>
        <v>5.4482861847028889</v>
      </c>
      <c r="AF32" s="10">
        <f t="shared" si="2"/>
        <v>3.3378236790899565</v>
      </c>
      <c r="AG32" s="10">
        <f t="shared" si="2"/>
        <v>2.5744649004640023</v>
      </c>
      <c r="AH32" s="10">
        <f t="shared" si="2"/>
        <v>0.13471037269869782</v>
      </c>
      <c r="AI32" s="10">
        <f t="shared" si="2"/>
        <v>0.64361622511600058</v>
      </c>
      <c r="AJ32" s="10">
        <f t="shared" si="2"/>
        <v>0.28438856458613981</v>
      </c>
      <c r="AK32" s="10">
        <f t="shared" si="1"/>
        <v>5.9871276754976804E-2</v>
      </c>
    </row>
    <row r="33" spans="1:37" x14ac:dyDescent="0.25">
      <c r="A33" s="17"/>
      <c r="B33" t="s">
        <v>31</v>
      </c>
      <c r="C33" s="1">
        <v>4208</v>
      </c>
      <c r="D33" s="1">
        <v>84</v>
      </c>
      <c r="E33">
        <v>39</v>
      </c>
      <c r="F33" s="1">
        <v>40</v>
      </c>
      <c r="G33" s="1">
        <v>8</v>
      </c>
      <c r="H33" s="5">
        <v>5</v>
      </c>
      <c r="I33">
        <v>0</v>
      </c>
      <c r="J33">
        <v>4</v>
      </c>
      <c r="K33">
        <v>0</v>
      </c>
      <c r="L33">
        <v>84</v>
      </c>
      <c r="M33">
        <v>41</v>
      </c>
      <c r="N33">
        <v>44</v>
      </c>
      <c r="O33">
        <v>86</v>
      </c>
      <c r="P33">
        <v>5</v>
      </c>
      <c r="Q33">
        <v>0</v>
      </c>
      <c r="R33">
        <v>4</v>
      </c>
      <c r="S33">
        <v>0</v>
      </c>
      <c r="V33" s="10">
        <f t="shared" si="2"/>
        <v>1.9961977186311788</v>
      </c>
      <c r="W33" s="10">
        <f t="shared" si="2"/>
        <v>0.92680608365019002</v>
      </c>
      <c r="X33" s="10">
        <f t="shared" si="2"/>
        <v>0.95057034220532322</v>
      </c>
      <c r="Y33" s="10">
        <f t="shared" si="2"/>
        <v>0.19011406844106463</v>
      </c>
      <c r="Z33" s="10">
        <f t="shared" si="2"/>
        <v>0.1188212927756654</v>
      </c>
      <c r="AA33" s="10">
        <f t="shared" si="2"/>
        <v>0</v>
      </c>
      <c r="AB33" s="10">
        <f t="shared" si="2"/>
        <v>9.5057034220532313E-2</v>
      </c>
      <c r="AC33" s="10">
        <f t="shared" si="2"/>
        <v>0</v>
      </c>
      <c r="AD33" s="10">
        <f t="shared" si="2"/>
        <v>1.9961977186311788</v>
      </c>
      <c r="AE33" s="10">
        <f t="shared" si="2"/>
        <v>0.9743346007604563</v>
      </c>
      <c r="AF33" s="10">
        <f t="shared" si="2"/>
        <v>1.0456273764258555</v>
      </c>
      <c r="AG33" s="10">
        <f t="shared" si="2"/>
        <v>2.043726235741445</v>
      </c>
      <c r="AH33" s="10">
        <f t="shared" si="2"/>
        <v>0.1188212927756654</v>
      </c>
      <c r="AI33" s="10">
        <f t="shared" si="2"/>
        <v>0</v>
      </c>
      <c r="AJ33" s="10">
        <f t="shared" si="2"/>
        <v>9.5057034220532313E-2</v>
      </c>
      <c r="AK33" s="10">
        <f t="shared" si="1"/>
        <v>0</v>
      </c>
    </row>
    <row r="34" spans="1:37" x14ac:dyDescent="0.25">
      <c r="A34" s="17"/>
      <c r="B34" t="s">
        <v>32</v>
      </c>
      <c r="C34" s="1">
        <v>6766</v>
      </c>
      <c r="D34" s="1">
        <v>106</v>
      </c>
      <c r="E34">
        <v>73</v>
      </c>
      <c r="F34" s="1">
        <v>228</v>
      </c>
      <c r="G34" s="1">
        <v>37</v>
      </c>
      <c r="H34" s="5">
        <v>16</v>
      </c>
      <c r="I34">
        <v>5</v>
      </c>
      <c r="J34">
        <v>60</v>
      </c>
      <c r="K34">
        <v>4</v>
      </c>
      <c r="L34">
        <v>109</v>
      </c>
      <c r="M34">
        <v>75</v>
      </c>
      <c r="N34">
        <v>229</v>
      </c>
      <c r="O34">
        <v>129</v>
      </c>
      <c r="P34">
        <v>16</v>
      </c>
      <c r="Q34">
        <v>5</v>
      </c>
      <c r="R34">
        <v>72</v>
      </c>
      <c r="S34">
        <v>4</v>
      </c>
      <c r="V34" s="10">
        <f t="shared" si="2"/>
        <v>1.5666568134791603</v>
      </c>
      <c r="W34" s="10">
        <f t="shared" si="2"/>
        <v>1.0789240319243274</v>
      </c>
      <c r="X34" s="10">
        <f t="shared" si="2"/>
        <v>3.369790127106119</v>
      </c>
      <c r="Y34" s="10">
        <f t="shared" si="2"/>
        <v>0.54685190659178251</v>
      </c>
      <c r="Z34" s="10">
        <f t="shared" si="2"/>
        <v>0.23647650014779784</v>
      </c>
      <c r="AA34" s="10">
        <f t="shared" si="2"/>
        <v>7.3898906296186812E-2</v>
      </c>
      <c r="AB34" s="10">
        <f t="shared" si="2"/>
        <v>0.88678687555424174</v>
      </c>
      <c r="AC34" s="10">
        <f t="shared" si="2"/>
        <v>5.9119125036949459E-2</v>
      </c>
      <c r="AD34" s="10">
        <f t="shared" si="2"/>
        <v>1.6109961572568727</v>
      </c>
      <c r="AE34" s="10">
        <f t="shared" si="2"/>
        <v>1.1084835944428022</v>
      </c>
      <c r="AF34" s="10">
        <f t="shared" si="2"/>
        <v>3.3845699083653562</v>
      </c>
      <c r="AG34" s="10">
        <f t="shared" si="2"/>
        <v>1.9065917824416201</v>
      </c>
      <c r="AH34" s="10">
        <f t="shared" si="2"/>
        <v>0.23647650014779784</v>
      </c>
      <c r="AI34" s="10">
        <f t="shared" si="2"/>
        <v>7.3898906296186812E-2</v>
      </c>
      <c r="AJ34" s="10">
        <f t="shared" si="2"/>
        <v>1.06414425066509</v>
      </c>
      <c r="AK34" s="10">
        <f t="shared" si="1"/>
        <v>5.9119125036949459E-2</v>
      </c>
    </row>
    <row r="35" spans="1:37" x14ac:dyDescent="0.25">
      <c r="A35" s="17"/>
      <c r="B35" t="s">
        <v>33</v>
      </c>
      <c r="C35" s="1">
        <v>5320</v>
      </c>
      <c r="D35" s="1">
        <v>72</v>
      </c>
      <c r="E35">
        <v>49</v>
      </c>
      <c r="F35" s="1">
        <v>105</v>
      </c>
      <c r="G35" s="1">
        <v>13</v>
      </c>
      <c r="H35" s="5">
        <v>6</v>
      </c>
      <c r="I35">
        <v>8</v>
      </c>
      <c r="J35">
        <v>26</v>
      </c>
      <c r="K35">
        <v>1</v>
      </c>
      <c r="L35">
        <v>74</v>
      </c>
      <c r="M35">
        <v>49</v>
      </c>
      <c r="N35">
        <v>105</v>
      </c>
      <c r="O35">
        <v>81</v>
      </c>
      <c r="P35">
        <v>6</v>
      </c>
      <c r="Q35">
        <v>8</v>
      </c>
      <c r="R35">
        <v>31</v>
      </c>
      <c r="S35">
        <v>1</v>
      </c>
      <c r="V35" s="10">
        <f t="shared" si="2"/>
        <v>1.3533834586466165</v>
      </c>
      <c r="W35" s="10">
        <f t="shared" si="2"/>
        <v>0.92105263157894723</v>
      </c>
      <c r="X35" s="10">
        <f t="shared" si="2"/>
        <v>1.9736842105263157</v>
      </c>
      <c r="Y35" s="10">
        <f t="shared" si="2"/>
        <v>0.24436090225563911</v>
      </c>
      <c r="Z35" s="10">
        <f t="shared" si="2"/>
        <v>0.11278195488721805</v>
      </c>
      <c r="AA35" s="10">
        <f t="shared" si="2"/>
        <v>0.15037593984962408</v>
      </c>
      <c r="AB35" s="10">
        <f t="shared" si="2"/>
        <v>0.48872180451127822</v>
      </c>
      <c r="AC35" s="10">
        <f t="shared" si="2"/>
        <v>1.879699248120301E-2</v>
      </c>
      <c r="AD35" s="10">
        <f t="shared" si="2"/>
        <v>1.3909774436090225</v>
      </c>
      <c r="AE35" s="10">
        <f t="shared" si="2"/>
        <v>0.92105263157894723</v>
      </c>
      <c r="AF35" s="10">
        <f t="shared" si="2"/>
        <v>1.9736842105263157</v>
      </c>
      <c r="AG35" s="10">
        <f t="shared" si="2"/>
        <v>1.5225563909774436</v>
      </c>
      <c r="AH35" s="10">
        <f t="shared" si="2"/>
        <v>0.11278195488721805</v>
      </c>
      <c r="AI35" s="10">
        <f t="shared" si="2"/>
        <v>0.15037593984962408</v>
      </c>
      <c r="AJ35" s="10">
        <f t="shared" si="2"/>
        <v>0.58270676691729328</v>
      </c>
      <c r="AK35" s="10">
        <f t="shared" si="1"/>
        <v>1.879699248120301E-2</v>
      </c>
    </row>
    <row r="36" spans="1:37" x14ac:dyDescent="0.25">
      <c r="A36" s="17"/>
      <c r="B36" t="s">
        <v>34</v>
      </c>
      <c r="C36" s="1">
        <v>5845</v>
      </c>
      <c r="D36" s="1">
        <v>116</v>
      </c>
      <c r="E36">
        <v>35</v>
      </c>
      <c r="F36" s="1">
        <v>92</v>
      </c>
      <c r="G36" s="1">
        <v>19</v>
      </c>
      <c r="H36" s="5">
        <v>19</v>
      </c>
      <c r="I36">
        <v>10</v>
      </c>
      <c r="J36">
        <v>41</v>
      </c>
      <c r="K36">
        <v>8</v>
      </c>
      <c r="L36">
        <v>119</v>
      </c>
      <c r="M36">
        <v>35</v>
      </c>
      <c r="N36">
        <v>92</v>
      </c>
      <c r="O36">
        <v>123</v>
      </c>
      <c r="P36">
        <v>22</v>
      </c>
      <c r="Q36">
        <v>11</v>
      </c>
      <c r="R36">
        <v>47</v>
      </c>
      <c r="S36">
        <v>9</v>
      </c>
      <c r="V36" s="10">
        <f t="shared" ref="V36:AJ52" si="3">(D36/$C36)*100</f>
        <v>1.984602224123182</v>
      </c>
      <c r="W36" s="10">
        <f t="shared" si="3"/>
        <v>0.5988023952095809</v>
      </c>
      <c r="X36" s="10">
        <f t="shared" si="3"/>
        <v>1.5739948674080411</v>
      </c>
      <c r="Y36" s="10">
        <f t="shared" si="3"/>
        <v>0.32506415739948674</v>
      </c>
      <c r="Z36" s="10">
        <f t="shared" si="3"/>
        <v>0.32506415739948674</v>
      </c>
      <c r="AA36" s="10">
        <f t="shared" si="3"/>
        <v>0.17108639863130881</v>
      </c>
      <c r="AB36" s="10">
        <f t="shared" si="3"/>
        <v>0.70145423438836618</v>
      </c>
      <c r="AC36" s="10">
        <f t="shared" si="3"/>
        <v>0.13686911890504705</v>
      </c>
      <c r="AD36" s="10">
        <f t="shared" si="3"/>
        <v>2.0359281437125749</v>
      </c>
      <c r="AE36" s="10">
        <f t="shared" si="3"/>
        <v>0.5988023952095809</v>
      </c>
      <c r="AF36" s="10">
        <f t="shared" si="3"/>
        <v>1.5739948674080411</v>
      </c>
      <c r="AG36" s="10">
        <f t="shared" si="3"/>
        <v>2.1043627031650982</v>
      </c>
      <c r="AH36" s="10">
        <f t="shared" si="3"/>
        <v>0.37639007698887939</v>
      </c>
      <c r="AI36" s="10">
        <f t="shared" si="3"/>
        <v>0.18819503849443969</v>
      </c>
      <c r="AJ36" s="10">
        <f t="shared" si="3"/>
        <v>0.80410607356715147</v>
      </c>
      <c r="AK36" s="10">
        <f t="shared" si="1"/>
        <v>0.15397775876817793</v>
      </c>
    </row>
    <row r="37" spans="1:37" x14ac:dyDescent="0.25">
      <c r="A37" s="17"/>
      <c r="B37" t="s">
        <v>35</v>
      </c>
      <c r="C37" s="1">
        <v>5730</v>
      </c>
      <c r="D37" s="1">
        <v>92</v>
      </c>
      <c r="E37">
        <v>52</v>
      </c>
      <c r="F37" s="1">
        <v>182</v>
      </c>
      <c r="G37" s="1">
        <v>19</v>
      </c>
      <c r="H37" s="5">
        <v>16</v>
      </c>
      <c r="I37">
        <v>6</v>
      </c>
      <c r="J37">
        <v>27</v>
      </c>
      <c r="K37">
        <v>3</v>
      </c>
      <c r="L37">
        <v>94</v>
      </c>
      <c r="M37">
        <v>52</v>
      </c>
      <c r="N37">
        <v>184</v>
      </c>
      <c r="O37">
        <v>100</v>
      </c>
      <c r="P37">
        <v>16</v>
      </c>
      <c r="Q37">
        <v>6</v>
      </c>
      <c r="R37">
        <v>28</v>
      </c>
      <c r="S37">
        <v>3</v>
      </c>
      <c r="V37" s="10">
        <f t="shared" si="3"/>
        <v>1.6055846422338569</v>
      </c>
      <c r="W37" s="10">
        <f t="shared" si="3"/>
        <v>0.90750436300174531</v>
      </c>
      <c r="X37" s="10">
        <f t="shared" si="3"/>
        <v>3.1762652705061081</v>
      </c>
      <c r="Y37" s="10">
        <f t="shared" si="3"/>
        <v>0.33158813263525305</v>
      </c>
      <c r="Z37" s="10">
        <f t="shared" si="3"/>
        <v>0.27923211169284468</v>
      </c>
      <c r="AA37" s="10">
        <f t="shared" si="3"/>
        <v>0.10471204188481677</v>
      </c>
      <c r="AB37" s="10">
        <f t="shared" si="3"/>
        <v>0.47120418848167539</v>
      </c>
      <c r="AC37" s="10">
        <f t="shared" si="3"/>
        <v>5.2356020942408384E-2</v>
      </c>
      <c r="AD37" s="10">
        <f t="shared" si="3"/>
        <v>1.6404886561954626</v>
      </c>
      <c r="AE37" s="10">
        <f t="shared" si="3"/>
        <v>0.90750436300174531</v>
      </c>
      <c r="AF37" s="10">
        <f t="shared" si="3"/>
        <v>3.2111692844677138</v>
      </c>
      <c r="AG37" s="10">
        <f t="shared" si="3"/>
        <v>1.7452006980802792</v>
      </c>
      <c r="AH37" s="10">
        <f t="shared" si="3"/>
        <v>0.27923211169284468</v>
      </c>
      <c r="AI37" s="10">
        <f t="shared" si="3"/>
        <v>0.10471204188481677</v>
      </c>
      <c r="AJ37" s="10">
        <f t="shared" si="3"/>
        <v>0.48865619546247824</v>
      </c>
      <c r="AK37" s="10">
        <f t="shared" si="1"/>
        <v>5.2356020942408384E-2</v>
      </c>
    </row>
    <row r="38" spans="1:37" x14ac:dyDescent="0.25">
      <c r="A38" s="17"/>
      <c r="B38" t="s">
        <v>36</v>
      </c>
      <c r="C38" s="1">
        <v>5363</v>
      </c>
      <c r="D38" s="1">
        <v>76</v>
      </c>
      <c r="E38">
        <v>84</v>
      </c>
      <c r="F38" s="1">
        <v>179</v>
      </c>
      <c r="G38" s="1">
        <v>25</v>
      </c>
      <c r="H38" s="5">
        <v>11</v>
      </c>
      <c r="I38">
        <v>10</v>
      </c>
      <c r="J38">
        <v>30</v>
      </c>
      <c r="K38">
        <v>2</v>
      </c>
      <c r="L38">
        <v>82</v>
      </c>
      <c r="M38">
        <v>86</v>
      </c>
      <c r="N38">
        <v>180</v>
      </c>
      <c r="O38">
        <v>96</v>
      </c>
      <c r="P38">
        <v>12</v>
      </c>
      <c r="Q38">
        <v>13</v>
      </c>
      <c r="R38">
        <v>37</v>
      </c>
      <c r="S38">
        <v>3</v>
      </c>
      <c r="V38" s="10">
        <f t="shared" si="3"/>
        <v>1.4171172851016223</v>
      </c>
      <c r="W38" s="10">
        <f t="shared" si="3"/>
        <v>1.5662875256386348</v>
      </c>
      <c r="X38" s="10">
        <f t="shared" si="3"/>
        <v>3.3376841320156627</v>
      </c>
      <c r="Y38" s="10">
        <f t="shared" si="3"/>
        <v>0.46615700167816521</v>
      </c>
      <c r="Z38" s="10">
        <f t="shared" si="3"/>
        <v>0.20510908073839268</v>
      </c>
      <c r="AA38" s="10">
        <f t="shared" si="3"/>
        <v>0.18646280067126608</v>
      </c>
      <c r="AB38" s="10">
        <f t="shared" si="3"/>
        <v>0.55938840201379825</v>
      </c>
      <c r="AC38" s="10">
        <f t="shared" si="3"/>
        <v>3.7292560134253215E-2</v>
      </c>
      <c r="AD38" s="10">
        <f t="shared" si="3"/>
        <v>1.5289949655043817</v>
      </c>
      <c r="AE38" s="10">
        <f t="shared" si="3"/>
        <v>1.6035800857728884</v>
      </c>
      <c r="AF38" s="10">
        <f t="shared" si="3"/>
        <v>3.356330412082789</v>
      </c>
      <c r="AG38" s="10">
        <f t="shared" si="3"/>
        <v>1.7900428864441547</v>
      </c>
      <c r="AH38" s="10">
        <f t="shared" si="3"/>
        <v>0.22375536080551933</v>
      </c>
      <c r="AI38" s="10">
        <f t="shared" si="3"/>
        <v>0.2424016408726459</v>
      </c>
      <c r="AJ38" s="10">
        <f t="shared" si="3"/>
        <v>0.68991236248368448</v>
      </c>
      <c r="AK38" s="10">
        <f t="shared" si="1"/>
        <v>5.5938840201379833E-2</v>
      </c>
    </row>
    <row r="39" spans="1:37" x14ac:dyDescent="0.25">
      <c r="A39" s="17"/>
      <c r="B39" t="s">
        <v>37</v>
      </c>
      <c r="C39" s="1">
        <v>6044</v>
      </c>
      <c r="D39" s="1">
        <v>123</v>
      </c>
      <c r="E39">
        <v>119</v>
      </c>
      <c r="F39" s="1">
        <v>139</v>
      </c>
      <c r="G39" s="1">
        <v>47</v>
      </c>
      <c r="H39" s="5">
        <v>10</v>
      </c>
      <c r="I39">
        <v>9</v>
      </c>
      <c r="J39">
        <v>30</v>
      </c>
      <c r="K39">
        <v>3</v>
      </c>
      <c r="L39">
        <v>126</v>
      </c>
      <c r="M39">
        <v>126</v>
      </c>
      <c r="N39">
        <v>140</v>
      </c>
      <c r="O39">
        <v>148</v>
      </c>
      <c r="P39">
        <v>11</v>
      </c>
      <c r="Q39">
        <v>13</v>
      </c>
      <c r="R39">
        <v>32</v>
      </c>
      <c r="S39">
        <v>4</v>
      </c>
      <c r="V39" s="10">
        <f t="shared" si="3"/>
        <v>2.0350761085373925</v>
      </c>
      <c r="W39" s="10">
        <f t="shared" si="3"/>
        <v>1.9688947716743879</v>
      </c>
      <c r="X39" s="10">
        <f t="shared" si="3"/>
        <v>2.2998014559894111</v>
      </c>
      <c r="Y39" s="10">
        <f t="shared" si="3"/>
        <v>0.77763070814030444</v>
      </c>
      <c r="Z39" s="10">
        <f t="shared" si="3"/>
        <v>0.16545334215751159</v>
      </c>
      <c r="AA39" s="10">
        <f t="shared" si="3"/>
        <v>0.14890800794176043</v>
      </c>
      <c r="AB39" s="10">
        <f t="shared" si="3"/>
        <v>0.4963600264725348</v>
      </c>
      <c r="AC39" s="10">
        <f t="shared" si="3"/>
        <v>4.9636002647253472E-2</v>
      </c>
      <c r="AD39" s="10">
        <f t="shared" si="3"/>
        <v>2.0847121111846461</v>
      </c>
      <c r="AE39" s="10">
        <f t="shared" si="3"/>
        <v>2.0847121111846461</v>
      </c>
      <c r="AF39" s="10">
        <f t="shared" si="3"/>
        <v>2.316346790205162</v>
      </c>
      <c r="AG39" s="10">
        <f t="shared" si="3"/>
        <v>2.4487094639311717</v>
      </c>
      <c r="AH39" s="10">
        <f t="shared" si="3"/>
        <v>0.18199867637326275</v>
      </c>
      <c r="AI39" s="10">
        <f t="shared" si="3"/>
        <v>0.21508934480476508</v>
      </c>
      <c r="AJ39" s="10">
        <f t="shared" si="3"/>
        <v>0.52945069490403707</v>
      </c>
      <c r="AK39" s="10">
        <f t="shared" si="1"/>
        <v>6.6181336863004633E-2</v>
      </c>
    </row>
    <row r="40" spans="1:37" x14ac:dyDescent="0.25">
      <c r="A40" s="17"/>
      <c r="B40" t="s">
        <v>38</v>
      </c>
      <c r="C40" s="1">
        <v>6895</v>
      </c>
      <c r="D40" s="1">
        <v>100</v>
      </c>
      <c r="E40">
        <v>90</v>
      </c>
      <c r="F40" s="1">
        <v>291</v>
      </c>
      <c r="G40" s="1">
        <v>40</v>
      </c>
      <c r="H40" s="5">
        <v>14</v>
      </c>
      <c r="I40">
        <v>10</v>
      </c>
      <c r="J40">
        <v>70</v>
      </c>
      <c r="K40">
        <v>5</v>
      </c>
      <c r="L40">
        <v>100</v>
      </c>
      <c r="M40">
        <v>92</v>
      </c>
      <c r="N40">
        <v>291</v>
      </c>
      <c r="O40">
        <v>116</v>
      </c>
      <c r="P40">
        <v>18</v>
      </c>
      <c r="Q40">
        <v>13</v>
      </c>
      <c r="R40">
        <v>86</v>
      </c>
      <c r="S40">
        <v>7</v>
      </c>
      <c r="V40" s="10">
        <f t="shared" si="3"/>
        <v>1.4503263234227701</v>
      </c>
      <c r="W40" s="10">
        <f t="shared" si="3"/>
        <v>1.3052936910804931</v>
      </c>
      <c r="X40" s="10">
        <f t="shared" si="3"/>
        <v>4.2204496011602606</v>
      </c>
      <c r="Y40" s="10">
        <f t="shared" si="3"/>
        <v>0.58013052936910803</v>
      </c>
      <c r="Z40" s="10">
        <f t="shared" si="3"/>
        <v>0.20304568527918782</v>
      </c>
      <c r="AA40" s="10">
        <f t="shared" si="3"/>
        <v>0.14503263234227701</v>
      </c>
      <c r="AB40" s="10">
        <f t="shared" si="3"/>
        <v>1.015228426395939</v>
      </c>
      <c r="AC40" s="10">
        <f t="shared" si="3"/>
        <v>7.2516316171138503E-2</v>
      </c>
      <c r="AD40" s="10">
        <f t="shared" si="3"/>
        <v>1.4503263234227701</v>
      </c>
      <c r="AE40" s="10">
        <f t="shared" si="3"/>
        <v>1.3343002175489485</v>
      </c>
      <c r="AF40" s="10">
        <f t="shared" si="3"/>
        <v>4.2204496011602606</v>
      </c>
      <c r="AG40" s="10">
        <f t="shared" si="3"/>
        <v>1.6823785351704132</v>
      </c>
      <c r="AH40" s="10">
        <f t="shared" si="3"/>
        <v>0.2610587382160986</v>
      </c>
      <c r="AI40" s="10">
        <f t="shared" si="3"/>
        <v>0.18854242204496011</v>
      </c>
      <c r="AJ40" s="10">
        <f t="shared" si="3"/>
        <v>1.2472806381435824</v>
      </c>
      <c r="AK40" s="10">
        <f t="shared" si="1"/>
        <v>0.10152284263959391</v>
      </c>
    </row>
    <row r="41" spans="1:37" x14ac:dyDescent="0.25">
      <c r="A41" s="17" t="s">
        <v>1</v>
      </c>
      <c r="B41" t="s">
        <v>28</v>
      </c>
      <c r="C41" s="1">
        <v>6160</v>
      </c>
      <c r="D41" s="1">
        <v>81</v>
      </c>
      <c r="E41">
        <v>52</v>
      </c>
      <c r="F41" s="1">
        <v>231</v>
      </c>
      <c r="G41" s="1">
        <v>22</v>
      </c>
      <c r="H41" s="5">
        <v>8</v>
      </c>
      <c r="I41">
        <v>8</v>
      </c>
      <c r="J41">
        <v>70</v>
      </c>
      <c r="K41">
        <v>2</v>
      </c>
      <c r="L41">
        <v>88</v>
      </c>
      <c r="M41">
        <v>53</v>
      </c>
      <c r="N41">
        <v>234</v>
      </c>
      <c r="O41">
        <v>94</v>
      </c>
      <c r="P41">
        <v>8</v>
      </c>
      <c r="Q41">
        <v>10</v>
      </c>
      <c r="R41">
        <v>79</v>
      </c>
      <c r="S41">
        <v>2</v>
      </c>
      <c r="V41" s="11">
        <f t="shared" si="3"/>
        <v>1.3149350649350648</v>
      </c>
      <c r="W41" s="11">
        <f t="shared" si="3"/>
        <v>0.8441558441558441</v>
      </c>
      <c r="X41" s="11">
        <f t="shared" si="3"/>
        <v>3.75</v>
      </c>
      <c r="Y41" s="11">
        <f t="shared" si="3"/>
        <v>0.35714285714285715</v>
      </c>
      <c r="Z41" s="11">
        <f t="shared" si="3"/>
        <v>0.12987012987012986</v>
      </c>
      <c r="AA41" s="11">
        <f t="shared" si="3"/>
        <v>0.12987012987012986</v>
      </c>
      <c r="AB41" s="11">
        <f t="shared" si="3"/>
        <v>1.1363636363636365</v>
      </c>
      <c r="AC41" s="11">
        <f t="shared" si="3"/>
        <v>3.2467532467532464E-2</v>
      </c>
      <c r="AD41" s="11">
        <f t="shared" si="3"/>
        <v>1.4285714285714286</v>
      </c>
      <c r="AE41" s="11">
        <f t="shared" si="3"/>
        <v>0.86038961038961037</v>
      </c>
      <c r="AF41" s="11">
        <f t="shared" si="3"/>
        <v>3.7987012987012987</v>
      </c>
      <c r="AG41" s="11">
        <f t="shared" si="3"/>
        <v>1.525974025974026</v>
      </c>
      <c r="AH41" s="11">
        <f t="shared" si="3"/>
        <v>0.12987012987012986</v>
      </c>
      <c r="AI41" s="11">
        <f t="shared" si="3"/>
        <v>0.16233766233766234</v>
      </c>
      <c r="AJ41" s="11">
        <f t="shared" si="3"/>
        <v>1.2824675324675325</v>
      </c>
      <c r="AK41" s="11">
        <f t="shared" si="1"/>
        <v>3.2467532467532464E-2</v>
      </c>
    </row>
    <row r="42" spans="1:37" x14ac:dyDescent="0.25">
      <c r="A42" s="17"/>
      <c r="B42" t="s">
        <v>29</v>
      </c>
      <c r="C42" s="1">
        <v>4760</v>
      </c>
      <c r="D42" s="1">
        <v>85</v>
      </c>
      <c r="E42">
        <v>53</v>
      </c>
      <c r="F42" s="1">
        <v>143</v>
      </c>
      <c r="G42" s="1">
        <v>26</v>
      </c>
      <c r="H42" s="5">
        <v>15</v>
      </c>
      <c r="I42">
        <v>5</v>
      </c>
      <c r="J42">
        <v>21</v>
      </c>
      <c r="K42">
        <v>0</v>
      </c>
      <c r="L42">
        <v>89</v>
      </c>
      <c r="M42">
        <v>53</v>
      </c>
      <c r="N42">
        <v>145</v>
      </c>
      <c r="O42">
        <v>102</v>
      </c>
      <c r="P42">
        <v>17</v>
      </c>
      <c r="Q42">
        <v>5</v>
      </c>
      <c r="R42">
        <v>21</v>
      </c>
      <c r="S42">
        <v>0</v>
      </c>
      <c r="V42" s="11">
        <f t="shared" si="3"/>
        <v>1.7857142857142856</v>
      </c>
      <c r="W42" s="11">
        <f t="shared" si="3"/>
        <v>1.1134453781512605</v>
      </c>
      <c r="X42" s="11">
        <f t="shared" si="3"/>
        <v>3.0042016806722689</v>
      </c>
      <c r="Y42" s="11">
        <f t="shared" si="3"/>
        <v>0.54621848739495793</v>
      </c>
      <c r="Z42" s="11">
        <f t="shared" si="3"/>
        <v>0.31512605042016806</v>
      </c>
      <c r="AA42" s="11">
        <f t="shared" si="3"/>
        <v>0.10504201680672269</v>
      </c>
      <c r="AB42" s="11">
        <f t="shared" si="3"/>
        <v>0.44117647058823528</v>
      </c>
      <c r="AC42" s="11">
        <f t="shared" si="3"/>
        <v>0</v>
      </c>
      <c r="AD42" s="11">
        <f t="shared" si="3"/>
        <v>1.8697478991596639</v>
      </c>
      <c r="AE42" s="11">
        <f t="shared" si="3"/>
        <v>1.1134453781512605</v>
      </c>
      <c r="AF42" s="11">
        <f t="shared" si="3"/>
        <v>3.0462184873949578</v>
      </c>
      <c r="AG42" s="11">
        <f t="shared" si="3"/>
        <v>2.1428571428571428</v>
      </c>
      <c r="AH42" s="11">
        <f t="shared" si="3"/>
        <v>0.35714285714285715</v>
      </c>
      <c r="AI42" s="11">
        <f t="shared" si="3"/>
        <v>0.10504201680672269</v>
      </c>
      <c r="AJ42" s="11">
        <f t="shared" si="3"/>
        <v>0.44117647058823528</v>
      </c>
      <c r="AK42" s="11">
        <f t="shared" si="1"/>
        <v>0</v>
      </c>
    </row>
    <row r="43" spans="1:37" x14ac:dyDescent="0.25">
      <c r="A43" s="17"/>
      <c r="B43" t="s">
        <v>30</v>
      </c>
      <c r="C43" s="1">
        <v>6681</v>
      </c>
      <c r="D43" s="1">
        <v>138</v>
      </c>
      <c r="E43">
        <v>346</v>
      </c>
      <c r="F43" s="1">
        <v>218</v>
      </c>
      <c r="G43" s="1">
        <v>87</v>
      </c>
      <c r="H43" s="5">
        <v>8</v>
      </c>
      <c r="I43">
        <v>39</v>
      </c>
      <c r="J43">
        <v>19</v>
      </c>
      <c r="K43">
        <v>4</v>
      </c>
      <c r="L43">
        <v>141</v>
      </c>
      <c r="M43">
        <v>364</v>
      </c>
      <c r="N43">
        <v>223</v>
      </c>
      <c r="O43">
        <v>172</v>
      </c>
      <c r="P43">
        <v>9</v>
      </c>
      <c r="Q43">
        <v>43</v>
      </c>
      <c r="R43">
        <v>19</v>
      </c>
      <c r="S43">
        <v>4</v>
      </c>
      <c r="V43" s="11">
        <f t="shared" si="3"/>
        <v>2.0655590480466999</v>
      </c>
      <c r="W43" s="11">
        <f t="shared" si="3"/>
        <v>5.1788654393054934</v>
      </c>
      <c r="X43" s="11">
        <f t="shared" si="3"/>
        <v>3.2629845831462356</v>
      </c>
      <c r="Y43" s="11">
        <f t="shared" si="3"/>
        <v>1.3022002694207453</v>
      </c>
      <c r="Z43" s="11">
        <f t="shared" si="3"/>
        <v>0.11974255350995361</v>
      </c>
      <c r="AA43" s="11">
        <f t="shared" si="3"/>
        <v>0.58374494836102375</v>
      </c>
      <c r="AB43" s="11">
        <f t="shared" si="3"/>
        <v>0.28438856458613981</v>
      </c>
      <c r="AC43" s="11">
        <f t="shared" si="3"/>
        <v>5.9871276754976804E-2</v>
      </c>
      <c r="AD43" s="11">
        <f t="shared" si="3"/>
        <v>2.110462505612932</v>
      </c>
      <c r="AE43" s="11">
        <f t="shared" si="3"/>
        <v>5.4482861847028889</v>
      </c>
      <c r="AF43" s="11">
        <f t="shared" si="3"/>
        <v>3.3378236790899565</v>
      </c>
      <c r="AG43" s="11">
        <f t="shared" si="3"/>
        <v>2.5744649004640023</v>
      </c>
      <c r="AH43" s="11">
        <f t="shared" si="3"/>
        <v>0.13471037269869782</v>
      </c>
      <c r="AI43" s="11">
        <f t="shared" si="3"/>
        <v>0.64361622511600058</v>
      </c>
      <c r="AJ43" s="11">
        <f t="shared" si="3"/>
        <v>0.28438856458613981</v>
      </c>
      <c r="AK43" s="11">
        <f t="shared" si="1"/>
        <v>5.9871276754976804E-2</v>
      </c>
    </row>
    <row r="44" spans="1:37" x14ac:dyDescent="0.25">
      <c r="A44" s="17"/>
      <c r="B44" t="s">
        <v>31</v>
      </c>
      <c r="C44" s="1">
        <v>4208</v>
      </c>
      <c r="D44" s="1">
        <v>84</v>
      </c>
      <c r="E44">
        <v>39</v>
      </c>
      <c r="F44" s="1">
        <v>40</v>
      </c>
      <c r="G44" s="1">
        <v>8</v>
      </c>
      <c r="H44" s="5">
        <v>5</v>
      </c>
      <c r="I44">
        <v>0</v>
      </c>
      <c r="J44">
        <v>4</v>
      </c>
      <c r="K44">
        <v>0</v>
      </c>
      <c r="L44">
        <v>84</v>
      </c>
      <c r="M44">
        <v>41</v>
      </c>
      <c r="N44">
        <v>44</v>
      </c>
      <c r="O44">
        <v>86</v>
      </c>
      <c r="P44">
        <v>5</v>
      </c>
      <c r="Q44">
        <v>0</v>
      </c>
      <c r="R44">
        <v>4</v>
      </c>
      <c r="S44">
        <v>0</v>
      </c>
      <c r="V44" s="11">
        <f t="shared" si="3"/>
        <v>1.9961977186311788</v>
      </c>
      <c r="W44" s="11">
        <f t="shared" si="3"/>
        <v>0.92680608365019002</v>
      </c>
      <c r="X44" s="11">
        <f t="shared" si="3"/>
        <v>0.95057034220532322</v>
      </c>
      <c r="Y44" s="11">
        <f t="shared" si="3"/>
        <v>0.19011406844106463</v>
      </c>
      <c r="Z44" s="11">
        <f t="shared" si="3"/>
        <v>0.1188212927756654</v>
      </c>
      <c r="AA44" s="11">
        <f t="shared" si="3"/>
        <v>0</v>
      </c>
      <c r="AB44" s="11">
        <f t="shared" si="3"/>
        <v>9.5057034220532313E-2</v>
      </c>
      <c r="AC44" s="11">
        <f t="shared" si="3"/>
        <v>0</v>
      </c>
      <c r="AD44" s="11">
        <f t="shared" si="3"/>
        <v>1.9961977186311788</v>
      </c>
      <c r="AE44" s="11">
        <f t="shared" si="3"/>
        <v>0.9743346007604563</v>
      </c>
      <c r="AF44" s="11">
        <f t="shared" si="3"/>
        <v>1.0456273764258555</v>
      </c>
      <c r="AG44" s="11">
        <f t="shared" si="3"/>
        <v>2.043726235741445</v>
      </c>
      <c r="AH44" s="11">
        <f t="shared" si="3"/>
        <v>0.1188212927756654</v>
      </c>
      <c r="AI44" s="11">
        <f t="shared" si="3"/>
        <v>0</v>
      </c>
      <c r="AJ44" s="11">
        <f t="shared" si="3"/>
        <v>9.5057034220532313E-2</v>
      </c>
      <c r="AK44" s="11">
        <f t="shared" si="1"/>
        <v>0</v>
      </c>
    </row>
    <row r="45" spans="1:37" x14ac:dyDescent="0.25">
      <c r="A45" s="17"/>
      <c r="B45" t="s">
        <v>32</v>
      </c>
      <c r="C45" s="1">
        <v>6766</v>
      </c>
      <c r="D45" s="1">
        <v>106</v>
      </c>
      <c r="E45">
        <v>73</v>
      </c>
      <c r="F45" s="1">
        <v>228</v>
      </c>
      <c r="G45" s="1">
        <v>37</v>
      </c>
      <c r="H45" s="5">
        <v>16</v>
      </c>
      <c r="I45">
        <v>5</v>
      </c>
      <c r="J45">
        <v>60</v>
      </c>
      <c r="K45">
        <v>4</v>
      </c>
      <c r="L45">
        <v>109</v>
      </c>
      <c r="M45">
        <v>75</v>
      </c>
      <c r="N45">
        <v>229</v>
      </c>
      <c r="O45">
        <v>129</v>
      </c>
      <c r="P45">
        <v>16</v>
      </c>
      <c r="Q45">
        <v>5</v>
      </c>
      <c r="R45">
        <v>72</v>
      </c>
      <c r="S45">
        <v>4</v>
      </c>
      <c r="V45" s="11">
        <f t="shared" si="3"/>
        <v>1.5666568134791603</v>
      </c>
      <c r="W45" s="11">
        <f t="shared" si="3"/>
        <v>1.0789240319243274</v>
      </c>
      <c r="X45" s="11">
        <f t="shared" si="3"/>
        <v>3.369790127106119</v>
      </c>
      <c r="Y45" s="11">
        <f t="shared" si="3"/>
        <v>0.54685190659178251</v>
      </c>
      <c r="Z45" s="11">
        <f t="shared" si="3"/>
        <v>0.23647650014779784</v>
      </c>
      <c r="AA45" s="11">
        <f t="shared" si="3"/>
        <v>7.3898906296186812E-2</v>
      </c>
      <c r="AB45" s="11">
        <f t="shared" si="3"/>
        <v>0.88678687555424174</v>
      </c>
      <c r="AC45" s="11">
        <f t="shared" si="3"/>
        <v>5.9119125036949459E-2</v>
      </c>
      <c r="AD45" s="11">
        <f t="shared" si="3"/>
        <v>1.6109961572568727</v>
      </c>
      <c r="AE45" s="11">
        <f t="shared" si="3"/>
        <v>1.1084835944428022</v>
      </c>
      <c r="AF45" s="11">
        <f t="shared" si="3"/>
        <v>3.3845699083653562</v>
      </c>
      <c r="AG45" s="11">
        <f t="shared" si="3"/>
        <v>1.9065917824416201</v>
      </c>
      <c r="AH45" s="11">
        <f t="shared" si="3"/>
        <v>0.23647650014779784</v>
      </c>
      <c r="AI45" s="11">
        <f t="shared" si="3"/>
        <v>7.3898906296186812E-2</v>
      </c>
      <c r="AJ45" s="11">
        <f t="shared" si="3"/>
        <v>1.06414425066509</v>
      </c>
      <c r="AK45" s="11">
        <f t="shared" si="1"/>
        <v>5.9119125036949459E-2</v>
      </c>
    </row>
    <row r="46" spans="1:37" x14ac:dyDescent="0.25">
      <c r="A46" s="17"/>
      <c r="B46" t="s">
        <v>33</v>
      </c>
      <c r="C46" s="1">
        <v>5320</v>
      </c>
      <c r="D46" s="1">
        <v>72</v>
      </c>
      <c r="E46">
        <v>49</v>
      </c>
      <c r="F46" s="1">
        <v>105</v>
      </c>
      <c r="G46" s="1">
        <v>13</v>
      </c>
      <c r="H46" s="5">
        <v>6</v>
      </c>
      <c r="I46">
        <v>8</v>
      </c>
      <c r="J46">
        <v>26</v>
      </c>
      <c r="K46">
        <v>1</v>
      </c>
      <c r="L46">
        <v>74</v>
      </c>
      <c r="M46">
        <v>49</v>
      </c>
      <c r="N46">
        <v>105</v>
      </c>
      <c r="O46">
        <v>81</v>
      </c>
      <c r="P46">
        <v>6</v>
      </c>
      <c r="Q46">
        <v>8</v>
      </c>
      <c r="R46">
        <v>31</v>
      </c>
      <c r="S46">
        <v>1</v>
      </c>
      <c r="V46" s="11">
        <f t="shared" si="3"/>
        <v>1.3533834586466165</v>
      </c>
      <c r="W46" s="11">
        <f t="shared" si="3"/>
        <v>0.92105263157894723</v>
      </c>
      <c r="X46" s="11">
        <f t="shared" si="3"/>
        <v>1.9736842105263157</v>
      </c>
      <c r="Y46" s="11">
        <f t="shared" si="3"/>
        <v>0.24436090225563911</v>
      </c>
      <c r="Z46" s="11">
        <f t="shared" si="3"/>
        <v>0.11278195488721805</v>
      </c>
      <c r="AA46" s="11">
        <f t="shared" si="3"/>
        <v>0.15037593984962408</v>
      </c>
      <c r="AB46" s="11">
        <f t="shared" si="3"/>
        <v>0.48872180451127822</v>
      </c>
      <c r="AC46" s="11">
        <f t="shared" si="3"/>
        <v>1.879699248120301E-2</v>
      </c>
      <c r="AD46" s="11">
        <f t="shared" si="3"/>
        <v>1.3909774436090225</v>
      </c>
      <c r="AE46" s="11">
        <f t="shared" si="3"/>
        <v>0.92105263157894723</v>
      </c>
      <c r="AF46" s="11">
        <f t="shared" si="3"/>
        <v>1.9736842105263157</v>
      </c>
      <c r="AG46" s="11">
        <f t="shared" si="3"/>
        <v>1.5225563909774436</v>
      </c>
      <c r="AH46" s="11">
        <f t="shared" si="3"/>
        <v>0.11278195488721805</v>
      </c>
      <c r="AI46" s="11">
        <f t="shared" si="3"/>
        <v>0.15037593984962408</v>
      </c>
      <c r="AJ46" s="11">
        <f t="shared" si="3"/>
        <v>0.58270676691729328</v>
      </c>
      <c r="AK46" s="11">
        <f t="shared" si="1"/>
        <v>1.879699248120301E-2</v>
      </c>
    </row>
    <row r="47" spans="1:37" x14ac:dyDescent="0.25">
      <c r="A47" s="17"/>
      <c r="B47" t="s">
        <v>34</v>
      </c>
      <c r="C47" s="1">
        <v>5845</v>
      </c>
      <c r="D47" s="1">
        <v>116</v>
      </c>
      <c r="E47">
        <v>35</v>
      </c>
      <c r="F47" s="1">
        <v>92</v>
      </c>
      <c r="G47" s="1">
        <v>19</v>
      </c>
      <c r="H47" s="5">
        <v>19</v>
      </c>
      <c r="I47">
        <v>10</v>
      </c>
      <c r="J47">
        <v>41</v>
      </c>
      <c r="K47">
        <v>8</v>
      </c>
      <c r="L47">
        <v>119</v>
      </c>
      <c r="M47">
        <v>35</v>
      </c>
      <c r="N47">
        <v>92</v>
      </c>
      <c r="O47">
        <v>123</v>
      </c>
      <c r="P47">
        <v>22</v>
      </c>
      <c r="Q47">
        <v>11</v>
      </c>
      <c r="R47">
        <v>47</v>
      </c>
      <c r="S47">
        <v>9</v>
      </c>
      <c r="V47" s="11">
        <f t="shared" si="3"/>
        <v>1.984602224123182</v>
      </c>
      <c r="W47" s="11">
        <f t="shared" si="3"/>
        <v>0.5988023952095809</v>
      </c>
      <c r="X47" s="11">
        <f t="shared" si="3"/>
        <v>1.5739948674080411</v>
      </c>
      <c r="Y47" s="11">
        <f t="shared" si="3"/>
        <v>0.32506415739948674</v>
      </c>
      <c r="Z47" s="11">
        <f t="shared" si="3"/>
        <v>0.32506415739948674</v>
      </c>
      <c r="AA47" s="11">
        <f t="shared" si="3"/>
        <v>0.17108639863130881</v>
      </c>
      <c r="AB47" s="11">
        <f t="shared" si="3"/>
        <v>0.70145423438836618</v>
      </c>
      <c r="AC47" s="11">
        <f t="shared" si="3"/>
        <v>0.13686911890504705</v>
      </c>
      <c r="AD47" s="11">
        <f t="shared" si="3"/>
        <v>2.0359281437125749</v>
      </c>
      <c r="AE47" s="11">
        <f t="shared" si="3"/>
        <v>0.5988023952095809</v>
      </c>
      <c r="AF47" s="11">
        <f t="shared" si="3"/>
        <v>1.5739948674080411</v>
      </c>
      <c r="AG47" s="11">
        <f t="shared" si="3"/>
        <v>2.1043627031650982</v>
      </c>
      <c r="AH47" s="11">
        <f t="shared" si="3"/>
        <v>0.37639007698887939</v>
      </c>
      <c r="AI47" s="11">
        <f t="shared" si="3"/>
        <v>0.18819503849443969</v>
      </c>
      <c r="AJ47" s="11">
        <f t="shared" si="3"/>
        <v>0.80410607356715147</v>
      </c>
      <c r="AK47" s="11">
        <f t="shared" si="1"/>
        <v>0.15397775876817793</v>
      </c>
    </row>
    <row r="48" spans="1:37" x14ac:dyDescent="0.25">
      <c r="A48" s="17"/>
      <c r="B48" t="s">
        <v>35</v>
      </c>
      <c r="C48" s="1">
        <v>5730</v>
      </c>
      <c r="D48" s="1">
        <v>92</v>
      </c>
      <c r="E48">
        <v>52</v>
      </c>
      <c r="F48" s="1">
        <v>182</v>
      </c>
      <c r="G48" s="1">
        <v>19</v>
      </c>
      <c r="H48" s="5">
        <v>16</v>
      </c>
      <c r="I48">
        <v>6</v>
      </c>
      <c r="J48">
        <v>27</v>
      </c>
      <c r="K48">
        <v>3</v>
      </c>
      <c r="L48">
        <v>94</v>
      </c>
      <c r="M48">
        <v>52</v>
      </c>
      <c r="N48">
        <v>184</v>
      </c>
      <c r="O48">
        <v>100</v>
      </c>
      <c r="P48">
        <v>16</v>
      </c>
      <c r="Q48">
        <v>6</v>
      </c>
      <c r="R48">
        <v>28</v>
      </c>
      <c r="S48">
        <v>3</v>
      </c>
      <c r="V48" s="11">
        <f t="shared" si="3"/>
        <v>1.6055846422338569</v>
      </c>
      <c r="W48" s="11">
        <f t="shared" si="3"/>
        <v>0.90750436300174531</v>
      </c>
      <c r="X48" s="11">
        <f t="shared" si="3"/>
        <v>3.1762652705061081</v>
      </c>
      <c r="Y48" s="11">
        <f t="shared" si="3"/>
        <v>0.33158813263525305</v>
      </c>
      <c r="Z48" s="11">
        <f t="shared" si="3"/>
        <v>0.27923211169284468</v>
      </c>
      <c r="AA48" s="11">
        <f t="shared" si="3"/>
        <v>0.10471204188481677</v>
      </c>
      <c r="AB48" s="11">
        <f t="shared" si="3"/>
        <v>0.47120418848167539</v>
      </c>
      <c r="AC48" s="11">
        <f t="shared" si="3"/>
        <v>5.2356020942408384E-2</v>
      </c>
      <c r="AD48" s="11">
        <f t="shared" si="3"/>
        <v>1.6404886561954626</v>
      </c>
      <c r="AE48" s="11">
        <f t="shared" si="3"/>
        <v>0.90750436300174531</v>
      </c>
      <c r="AF48" s="11">
        <f t="shared" si="3"/>
        <v>3.2111692844677138</v>
      </c>
      <c r="AG48" s="11">
        <f t="shared" si="3"/>
        <v>1.7452006980802792</v>
      </c>
      <c r="AH48" s="11">
        <f t="shared" si="3"/>
        <v>0.27923211169284468</v>
      </c>
      <c r="AI48" s="11">
        <f t="shared" si="3"/>
        <v>0.10471204188481677</v>
      </c>
      <c r="AJ48" s="11">
        <f t="shared" si="3"/>
        <v>0.48865619546247824</v>
      </c>
      <c r="AK48" s="11">
        <f t="shared" si="1"/>
        <v>5.2356020942408384E-2</v>
      </c>
    </row>
    <row r="49" spans="1:37" x14ac:dyDescent="0.25">
      <c r="A49" s="17"/>
      <c r="B49" t="s">
        <v>36</v>
      </c>
      <c r="C49" s="1">
        <v>5363</v>
      </c>
      <c r="D49" s="1">
        <v>76</v>
      </c>
      <c r="E49">
        <v>84</v>
      </c>
      <c r="F49" s="1">
        <v>179</v>
      </c>
      <c r="G49" s="1">
        <v>25</v>
      </c>
      <c r="H49" s="5">
        <v>11</v>
      </c>
      <c r="I49">
        <v>10</v>
      </c>
      <c r="J49">
        <v>30</v>
      </c>
      <c r="K49">
        <v>2</v>
      </c>
      <c r="L49">
        <v>82</v>
      </c>
      <c r="M49">
        <v>86</v>
      </c>
      <c r="N49">
        <v>180</v>
      </c>
      <c r="O49">
        <v>96</v>
      </c>
      <c r="P49">
        <v>12</v>
      </c>
      <c r="Q49">
        <v>13</v>
      </c>
      <c r="R49">
        <v>37</v>
      </c>
      <c r="S49">
        <v>3</v>
      </c>
      <c r="V49" s="11">
        <f t="shared" si="3"/>
        <v>1.4171172851016223</v>
      </c>
      <c r="W49" s="11">
        <f t="shared" si="3"/>
        <v>1.5662875256386348</v>
      </c>
      <c r="X49" s="11">
        <f t="shared" si="3"/>
        <v>3.3376841320156627</v>
      </c>
      <c r="Y49" s="11">
        <f t="shared" si="3"/>
        <v>0.46615700167816521</v>
      </c>
      <c r="Z49" s="11">
        <f t="shared" si="3"/>
        <v>0.20510908073839268</v>
      </c>
      <c r="AA49" s="11">
        <f t="shared" si="3"/>
        <v>0.18646280067126608</v>
      </c>
      <c r="AB49" s="11">
        <f t="shared" si="3"/>
        <v>0.55938840201379825</v>
      </c>
      <c r="AC49" s="11">
        <f t="shared" si="3"/>
        <v>3.7292560134253215E-2</v>
      </c>
      <c r="AD49" s="11">
        <f t="shared" si="3"/>
        <v>1.5289949655043817</v>
      </c>
      <c r="AE49" s="11">
        <f t="shared" si="3"/>
        <v>1.6035800857728884</v>
      </c>
      <c r="AF49" s="11">
        <f t="shared" si="3"/>
        <v>3.356330412082789</v>
      </c>
      <c r="AG49" s="11">
        <f t="shared" si="3"/>
        <v>1.7900428864441547</v>
      </c>
      <c r="AH49" s="11">
        <f t="shared" si="3"/>
        <v>0.22375536080551933</v>
      </c>
      <c r="AI49" s="11">
        <f t="shared" si="3"/>
        <v>0.2424016408726459</v>
      </c>
      <c r="AJ49" s="11">
        <f t="shared" si="3"/>
        <v>0.68991236248368448</v>
      </c>
      <c r="AK49" s="11">
        <f t="shared" si="1"/>
        <v>5.5938840201379833E-2</v>
      </c>
    </row>
    <row r="50" spans="1:37" x14ac:dyDescent="0.25">
      <c r="A50" s="17"/>
      <c r="B50" t="s">
        <v>37</v>
      </c>
      <c r="C50" s="1">
        <v>6044</v>
      </c>
      <c r="D50" s="1">
        <v>123</v>
      </c>
      <c r="E50">
        <v>119</v>
      </c>
      <c r="F50" s="1">
        <v>139</v>
      </c>
      <c r="G50" s="1">
        <v>47</v>
      </c>
      <c r="H50" s="5">
        <v>10</v>
      </c>
      <c r="I50">
        <v>9</v>
      </c>
      <c r="J50">
        <v>30</v>
      </c>
      <c r="K50">
        <v>3</v>
      </c>
      <c r="L50">
        <v>126</v>
      </c>
      <c r="M50">
        <v>126</v>
      </c>
      <c r="N50">
        <v>140</v>
      </c>
      <c r="O50">
        <v>148</v>
      </c>
      <c r="P50">
        <v>11</v>
      </c>
      <c r="Q50">
        <v>13</v>
      </c>
      <c r="R50">
        <v>32</v>
      </c>
      <c r="S50">
        <v>4</v>
      </c>
      <c r="V50" s="11">
        <f t="shared" si="3"/>
        <v>2.0350761085373925</v>
      </c>
      <c r="W50" s="11">
        <f t="shared" si="3"/>
        <v>1.9688947716743879</v>
      </c>
      <c r="X50" s="11">
        <f t="shared" si="3"/>
        <v>2.2998014559894111</v>
      </c>
      <c r="Y50" s="11">
        <f t="shared" si="3"/>
        <v>0.77763070814030444</v>
      </c>
      <c r="Z50" s="11">
        <f t="shared" si="3"/>
        <v>0.16545334215751159</v>
      </c>
      <c r="AA50" s="11">
        <f t="shared" si="3"/>
        <v>0.14890800794176043</v>
      </c>
      <c r="AB50" s="11">
        <f t="shared" si="3"/>
        <v>0.4963600264725348</v>
      </c>
      <c r="AC50" s="11">
        <f t="shared" si="3"/>
        <v>4.9636002647253472E-2</v>
      </c>
      <c r="AD50" s="11">
        <f t="shared" si="3"/>
        <v>2.0847121111846461</v>
      </c>
      <c r="AE50" s="11">
        <f t="shared" si="3"/>
        <v>2.0847121111846461</v>
      </c>
      <c r="AF50" s="11">
        <f t="shared" si="3"/>
        <v>2.316346790205162</v>
      </c>
      <c r="AG50" s="11">
        <f t="shared" si="3"/>
        <v>2.4487094639311717</v>
      </c>
      <c r="AH50" s="11">
        <f t="shared" si="3"/>
        <v>0.18199867637326275</v>
      </c>
      <c r="AI50" s="11">
        <f t="shared" si="3"/>
        <v>0.21508934480476508</v>
      </c>
      <c r="AJ50" s="11">
        <f t="shared" si="3"/>
        <v>0.52945069490403707</v>
      </c>
      <c r="AK50" s="11">
        <f t="shared" si="1"/>
        <v>6.6181336863004633E-2</v>
      </c>
    </row>
    <row r="51" spans="1:37" x14ac:dyDescent="0.25">
      <c r="A51" s="17"/>
      <c r="B51" t="s">
        <v>38</v>
      </c>
      <c r="C51" s="1">
        <v>6895</v>
      </c>
      <c r="D51" s="1">
        <v>100</v>
      </c>
      <c r="E51">
        <v>90</v>
      </c>
      <c r="F51" s="1">
        <v>291</v>
      </c>
      <c r="G51" s="1">
        <v>40</v>
      </c>
      <c r="H51" s="5">
        <v>14</v>
      </c>
      <c r="I51">
        <v>10</v>
      </c>
      <c r="J51">
        <v>70</v>
      </c>
      <c r="K51">
        <v>5</v>
      </c>
      <c r="L51">
        <v>100</v>
      </c>
      <c r="M51">
        <v>92</v>
      </c>
      <c r="N51">
        <v>291</v>
      </c>
      <c r="O51">
        <v>116</v>
      </c>
      <c r="P51">
        <v>18</v>
      </c>
      <c r="Q51">
        <v>13</v>
      </c>
      <c r="R51">
        <v>86</v>
      </c>
      <c r="S51">
        <v>7</v>
      </c>
      <c r="V51" s="11">
        <f t="shared" si="3"/>
        <v>1.4503263234227701</v>
      </c>
      <c r="W51" s="11">
        <f t="shared" si="3"/>
        <v>1.3052936910804931</v>
      </c>
      <c r="X51" s="11">
        <f t="shared" si="3"/>
        <v>4.2204496011602606</v>
      </c>
      <c r="Y51" s="11">
        <f t="shared" si="3"/>
        <v>0.58013052936910803</v>
      </c>
      <c r="Z51" s="11">
        <f t="shared" si="3"/>
        <v>0.20304568527918782</v>
      </c>
      <c r="AA51" s="11">
        <f t="shared" si="3"/>
        <v>0.14503263234227701</v>
      </c>
      <c r="AB51" s="11">
        <f t="shared" si="3"/>
        <v>1.015228426395939</v>
      </c>
      <c r="AC51" s="11">
        <f t="shared" si="3"/>
        <v>7.2516316171138503E-2</v>
      </c>
      <c r="AD51" s="11">
        <f t="shared" si="3"/>
        <v>1.4503263234227701</v>
      </c>
      <c r="AE51" s="11">
        <f t="shared" si="3"/>
        <v>1.3343002175489485</v>
      </c>
      <c r="AF51" s="11">
        <f t="shared" si="3"/>
        <v>4.2204496011602606</v>
      </c>
      <c r="AG51" s="11">
        <f t="shared" si="3"/>
        <v>1.6823785351704132</v>
      </c>
      <c r="AH51" s="11">
        <f t="shared" si="3"/>
        <v>0.2610587382160986</v>
      </c>
      <c r="AI51" s="11">
        <f t="shared" si="3"/>
        <v>0.18854242204496011</v>
      </c>
      <c r="AJ51" s="11">
        <f t="shared" si="3"/>
        <v>1.2472806381435824</v>
      </c>
      <c r="AK51" s="11">
        <f t="shared" si="1"/>
        <v>0.10152284263959391</v>
      </c>
    </row>
    <row r="52" spans="1:37" x14ac:dyDescent="0.25">
      <c r="A52" s="17" t="s">
        <v>63</v>
      </c>
      <c r="B52" t="s">
        <v>39</v>
      </c>
      <c r="C52" s="1">
        <v>6033</v>
      </c>
      <c r="D52" s="1">
        <v>72</v>
      </c>
      <c r="E52">
        <v>41</v>
      </c>
      <c r="F52" s="1">
        <v>98</v>
      </c>
      <c r="G52" s="1">
        <v>14</v>
      </c>
      <c r="H52" s="5">
        <v>11</v>
      </c>
      <c r="I52">
        <v>12</v>
      </c>
      <c r="J52">
        <v>43</v>
      </c>
      <c r="K52">
        <v>4</v>
      </c>
      <c r="L52">
        <v>73</v>
      </c>
      <c r="M52">
        <v>41</v>
      </c>
      <c r="N52">
        <v>98</v>
      </c>
      <c r="O52">
        <v>77</v>
      </c>
      <c r="P52">
        <v>11</v>
      </c>
      <c r="Q52">
        <v>16</v>
      </c>
      <c r="R52">
        <v>55</v>
      </c>
      <c r="S52">
        <v>4</v>
      </c>
      <c r="V52" s="7">
        <f t="shared" si="3"/>
        <v>1.1934361014420687</v>
      </c>
      <c r="W52" s="7">
        <f t="shared" si="3"/>
        <v>0.67959555776562242</v>
      </c>
      <c r="X52" s="7">
        <f t="shared" si="3"/>
        <v>1.6243991380739267</v>
      </c>
      <c r="Y52" s="7">
        <f t="shared" si="3"/>
        <v>0.23205701972484669</v>
      </c>
      <c r="Z52" s="7">
        <f t="shared" si="3"/>
        <v>0.18233051549809381</v>
      </c>
      <c r="AA52" s="7">
        <f t="shared" si="3"/>
        <v>0.19890601690701143</v>
      </c>
      <c r="AB52" s="7">
        <f t="shared" si="3"/>
        <v>0.71274656058345764</v>
      </c>
      <c r="AC52" s="7">
        <f t="shared" si="3"/>
        <v>6.6302005635670486E-2</v>
      </c>
      <c r="AD52" s="7">
        <f t="shared" si="3"/>
        <v>1.2100116028509862</v>
      </c>
      <c r="AE52" s="7">
        <f t="shared" si="3"/>
        <v>0.67959555776562242</v>
      </c>
      <c r="AF52" s="7">
        <f t="shared" si="3"/>
        <v>1.6243991380739267</v>
      </c>
      <c r="AG52" s="7">
        <f t="shared" si="3"/>
        <v>1.2763136084866566</v>
      </c>
      <c r="AH52" s="7">
        <f t="shared" si="3"/>
        <v>0.18233051549809381</v>
      </c>
      <c r="AI52" s="7">
        <f t="shared" si="3"/>
        <v>0.26520802254268194</v>
      </c>
      <c r="AJ52" s="7">
        <f t="shared" si="3"/>
        <v>0.91165257749046913</v>
      </c>
      <c r="AK52" s="7">
        <f t="shared" si="1"/>
        <v>6.6302005635670486E-2</v>
      </c>
    </row>
    <row r="53" spans="1:37" x14ac:dyDescent="0.25">
      <c r="A53" s="17"/>
      <c r="B53" t="s">
        <v>40</v>
      </c>
      <c r="C53" s="1">
        <v>5363</v>
      </c>
      <c r="D53" s="1">
        <v>77</v>
      </c>
      <c r="E53">
        <v>35</v>
      </c>
      <c r="F53" s="1">
        <v>134</v>
      </c>
      <c r="G53" s="1">
        <v>20</v>
      </c>
      <c r="H53" s="5">
        <v>9</v>
      </c>
      <c r="I53">
        <v>7</v>
      </c>
      <c r="J53">
        <v>27</v>
      </c>
      <c r="K53">
        <v>5</v>
      </c>
      <c r="L53">
        <v>79</v>
      </c>
      <c r="M53">
        <v>35</v>
      </c>
      <c r="N53">
        <v>134</v>
      </c>
      <c r="O53">
        <v>87</v>
      </c>
      <c r="P53">
        <v>10</v>
      </c>
      <c r="Q53">
        <v>9</v>
      </c>
      <c r="R53">
        <v>31</v>
      </c>
      <c r="S53">
        <v>5</v>
      </c>
      <c r="V53" s="7">
        <f t="shared" ref="V53:AJ69" si="4">(D53/$C53)*100</f>
        <v>1.4357635651687488</v>
      </c>
      <c r="W53" s="7">
        <f t="shared" si="4"/>
        <v>0.65261980234943129</v>
      </c>
      <c r="X53" s="7">
        <f t="shared" si="4"/>
        <v>2.4986015289949655</v>
      </c>
      <c r="Y53" s="7">
        <f t="shared" si="4"/>
        <v>0.37292560134253216</v>
      </c>
      <c r="Z53" s="7">
        <f t="shared" si="4"/>
        <v>0.16781652060413949</v>
      </c>
      <c r="AA53" s="7">
        <f t="shared" si="4"/>
        <v>0.13052396046988626</v>
      </c>
      <c r="AB53" s="7">
        <f t="shared" si="4"/>
        <v>0.50344956181241851</v>
      </c>
      <c r="AC53" s="7">
        <f t="shared" si="4"/>
        <v>9.3231400335633041E-2</v>
      </c>
      <c r="AD53" s="7">
        <f t="shared" si="4"/>
        <v>1.4730561253030021</v>
      </c>
      <c r="AE53" s="7">
        <f t="shared" si="4"/>
        <v>0.65261980234943129</v>
      </c>
      <c r="AF53" s="7">
        <f t="shared" si="4"/>
        <v>2.4986015289949655</v>
      </c>
      <c r="AG53" s="7">
        <f t="shared" si="4"/>
        <v>1.6222263658400147</v>
      </c>
      <c r="AH53" s="7">
        <f t="shared" si="4"/>
        <v>0.18646280067126608</v>
      </c>
      <c r="AI53" s="7">
        <f t="shared" si="4"/>
        <v>0.16781652060413949</v>
      </c>
      <c r="AJ53" s="7">
        <f t="shared" si="4"/>
        <v>0.57803468208092479</v>
      </c>
      <c r="AK53" s="7">
        <f t="shared" si="1"/>
        <v>9.3231400335633041E-2</v>
      </c>
    </row>
    <row r="54" spans="1:37" x14ac:dyDescent="0.25">
      <c r="A54" s="17"/>
      <c r="B54" t="s">
        <v>41</v>
      </c>
      <c r="C54" s="1">
        <v>6956</v>
      </c>
      <c r="D54" s="1">
        <v>65</v>
      </c>
      <c r="E54">
        <v>82</v>
      </c>
      <c r="F54" s="1">
        <v>174</v>
      </c>
      <c r="G54" s="1">
        <v>26</v>
      </c>
      <c r="H54" s="5">
        <v>7</v>
      </c>
      <c r="I54">
        <v>5</v>
      </c>
      <c r="J54">
        <v>38</v>
      </c>
      <c r="K54">
        <v>0</v>
      </c>
      <c r="L54">
        <v>70</v>
      </c>
      <c r="M54">
        <v>84</v>
      </c>
      <c r="N54">
        <v>175</v>
      </c>
      <c r="O54">
        <v>80</v>
      </c>
      <c r="P54">
        <v>9</v>
      </c>
      <c r="Q54">
        <v>6</v>
      </c>
      <c r="R54">
        <v>44</v>
      </c>
      <c r="S54">
        <v>0</v>
      </c>
      <c r="V54" s="7">
        <f t="shared" si="4"/>
        <v>0.93444508338125354</v>
      </c>
      <c r="W54" s="7">
        <f t="shared" si="4"/>
        <v>1.1788384128809661</v>
      </c>
      <c r="X54" s="7">
        <f t="shared" si="4"/>
        <v>2.5014376078205869</v>
      </c>
      <c r="Y54" s="7">
        <f t="shared" si="4"/>
        <v>0.37377803335250143</v>
      </c>
      <c r="Z54" s="7">
        <f t="shared" si="4"/>
        <v>0.1006325474410581</v>
      </c>
      <c r="AA54" s="7">
        <f t="shared" si="4"/>
        <v>7.1880391029327209E-2</v>
      </c>
      <c r="AB54" s="7">
        <f t="shared" si="4"/>
        <v>0.54629097182288677</v>
      </c>
      <c r="AC54" s="7">
        <f t="shared" si="4"/>
        <v>0</v>
      </c>
      <c r="AD54" s="7">
        <f t="shared" si="4"/>
        <v>1.0063254744105807</v>
      </c>
      <c r="AE54" s="7">
        <f t="shared" si="4"/>
        <v>1.2075905692926969</v>
      </c>
      <c r="AF54" s="7">
        <f t="shared" si="4"/>
        <v>2.5158136860264522</v>
      </c>
      <c r="AG54" s="7">
        <f t="shared" si="4"/>
        <v>1.1500862564692353</v>
      </c>
      <c r="AH54" s="7">
        <f t="shared" si="4"/>
        <v>0.12938470385278894</v>
      </c>
      <c r="AI54" s="7">
        <f t="shared" si="4"/>
        <v>8.6256469235192632E-2</v>
      </c>
      <c r="AJ54" s="7">
        <f t="shared" si="4"/>
        <v>0.63254744105807936</v>
      </c>
      <c r="AK54" s="7">
        <f t="shared" si="1"/>
        <v>0</v>
      </c>
    </row>
    <row r="55" spans="1:37" x14ac:dyDescent="0.25">
      <c r="A55" s="17"/>
      <c r="B55" t="s">
        <v>42</v>
      </c>
      <c r="C55" s="1">
        <v>7565</v>
      </c>
      <c r="D55" s="1">
        <v>99</v>
      </c>
      <c r="E55">
        <v>84</v>
      </c>
      <c r="F55" s="1">
        <v>204</v>
      </c>
      <c r="G55" s="1">
        <v>45</v>
      </c>
      <c r="H55" s="5">
        <v>18</v>
      </c>
      <c r="I55">
        <v>10</v>
      </c>
      <c r="J55">
        <v>45</v>
      </c>
      <c r="K55">
        <v>7</v>
      </c>
      <c r="L55">
        <v>100</v>
      </c>
      <c r="M55">
        <v>84</v>
      </c>
      <c r="N55">
        <v>205</v>
      </c>
      <c r="O55">
        <v>118</v>
      </c>
      <c r="P55">
        <v>21</v>
      </c>
      <c r="Q55">
        <v>10</v>
      </c>
      <c r="R55">
        <v>49</v>
      </c>
      <c r="S55">
        <v>7</v>
      </c>
      <c r="V55" s="7">
        <f t="shared" si="4"/>
        <v>1.3086582947785856</v>
      </c>
      <c r="W55" s="7">
        <f t="shared" si="4"/>
        <v>1.1103767349636484</v>
      </c>
      <c r="X55" s="7">
        <f t="shared" si="4"/>
        <v>2.696629213483146</v>
      </c>
      <c r="Y55" s="7">
        <f t="shared" si="4"/>
        <v>0.59484467944481167</v>
      </c>
      <c r="Z55" s="7">
        <f t="shared" si="4"/>
        <v>0.23793787177792464</v>
      </c>
      <c r="AA55" s="7">
        <f t="shared" si="4"/>
        <v>0.13218770654329146</v>
      </c>
      <c r="AB55" s="7">
        <f t="shared" si="4"/>
        <v>0.59484467944481167</v>
      </c>
      <c r="AC55" s="7">
        <f t="shared" si="4"/>
        <v>9.253139458030403E-2</v>
      </c>
      <c r="AD55" s="7">
        <f t="shared" si="4"/>
        <v>1.3218770654329148</v>
      </c>
      <c r="AE55" s="7">
        <f t="shared" si="4"/>
        <v>1.1103767349636484</v>
      </c>
      <c r="AF55" s="7">
        <f t="shared" si="4"/>
        <v>2.7098479841374754</v>
      </c>
      <c r="AG55" s="7">
        <f t="shared" si="4"/>
        <v>1.5598149372108394</v>
      </c>
      <c r="AH55" s="7">
        <f t="shared" si="4"/>
        <v>0.2775941837409121</v>
      </c>
      <c r="AI55" s="7">
        <f t="shared" si="4"/>
        <v>0.13218770654329146</v>
      </c>
      <c r="AJ55" s="7">
        <f t="shared" si="4"/>
        <v>0.64771976206212822</v>
      </c>
      <c r="AK55" s="7">
        <f t="shared" si="1"/>
        <v>9.253139458030403E-2</v>
      </c>
    </row>
    <row r="56" spans="1:37" x14ac:dyDescent="0.25">
      <c r="A56" s="17"/>
      <c r="B56" t="s">
        <v>43</v>
      </c>
      <c r="C56" s="1">
        <v>4238</v>
      </c>
      <c r="D56" s="1">
        <v>69</v>
      </c>
      <c r="E56">
        <v>21</v>
      </c>
      <c r="F56" s="1">
        <v>89</v>
      </c>
      <c r="G56" s="1">
        <v>10</v>
      </c>
      <c r="H56" s="5">
        <v>19</v>
      </c>
      <c r="I56">
        <v>8</v>
      </c>
      <c r="J56">
        <v>30</v>
      </c>
      <c r="K56">
        <v>5</v>
      </c>
      <c r="L56">
        <v>71</v>
      </c>
      <c r="M56">
        <v>21</v>
      </c>
      <c r="N56">
        <v>89</v>
      </c>
      <c r="O56">
        <v>73</v>
      </c>
      <c r="P56">
        <v>23</v>
      </c>
      <c r="Q56">
        <v>9</v>
      </c>
      <c r="R56">
        <v>37</v>
      </c>
      <c r="S56">
        <v>6</v>
      </c>
      <c r="V56" s="7">
        <f t="shared" si="4"/>
        <v>1.6281264747522415</v>
      </c>
      <c r="W56" s="7">
        <f t="shared" si="4"/>
        <v>0.4955167531854649</v>
      </c>
      <c r="X56" s="7">
        <f t="shared" si="4"/>
        <v>2.1000471920717318</v>
      </c>
      <c r="Y56" s="7">
        <f t="shared" si="4"/>
        <v>0.23596035865974516</v>
      </c>
      <c r="Z56" s="7">
        <f t="shared" si="4"/>
        <v>0.44832468145351578</v>
      </c>
      <c r="AA56" s="7">
        <f t="shared" si="4"/>
        <v>0.18876828692779613</v>
      </c>
      <c r="AB56" s="7">
        <f t="shared" si="4"/>
        <v>0.70788107597923544</v>
      </c>
      <c r="AC56" s="7">
        <f t="shared" si="4"/>
        <v>0.11798017932987258</v>
      </c>
      <c r="AD56" s="7">
        <f t="shared" si="4"/>
        <v>1.6753185464841904</v>
      </c>
      <c r="AE56" s="7">
        <f t="shared" si="4"/>
        <v>0.4955167531854649</v>
      </c>
      <c r="AF56" s="7">
        <f t="shared" si="4"/>
        <v>2.1000471920717318</v>
      </c>
      <c r="AG56" s="7">
        <f t="shared" si="4"/>
        <v>1.7225106182161398</v>
      </c>
      <c r="AH56" s="7">
        <f t="shared" si="4"/>
        <v>0.5427088249174139</v>
      </c>
      <c r="AI56" s="7">
        <f t="shared" si="4"/>
        <v>0.21236432279377065</v>
      </c>
      <c r="AJ56" s="7">
        <f t="shared" si="4"/>
        <v>0.87305332704105709</v>
      </c>
      <c r="AK56" s="7">
        <f t="shared" si="1"/>
        <v>0.14157621519584712</v>
      </c>
    </row>
    <row r="57" spans="1:37" x14ac:dyDescent="0.25">
      <c r="A57" s="17"/>
      <c r="B57" t="s">
        <v>44</v>
      </c>
      <c r="C57" s="1">
        <v>7373</v>
      </c>
      <c r="D57" s="1">
        <v>94</v>
      </c>
      <c r="E57">
        <v>41</v>
      </c>
      <c r="F57" s="1">
        <v>135</v>
      </c>
      <c r="G57" s="1">
        <v>14</v>
      </c>
      <c r="H57" s="5">
        <v>9</v>
      </c>
      <c r="I57">
        <v>7</v>
      </c>
      <c r="J57">
        <v>32</v>
      </c>
      <c r="K57">
        <v>3</v>
      </c>
      <c r="L57">
        <v>98</v>
      </c>
      <c r="M57">
        <v>42</v>
      </c>
      <c r="N57">
        <v>137</v>
      </c>
      <c r="O57">
        <v>105</v>
      </c>
      <c r="P57">
        <v>9</v>
      </c>
      <c r="Q57">
        <v>8</v>
      </c>
      <c r="R57">
        <v>36</v>
      </c>
      <c r="S57">
        <v>3</v>
      </c>
      <c r="V57" s="7">
        <f t="shared" si="4"/>
        <v>1.27492201274922</v>
      </c>
      <c r="W57" s="7">
        <f t="shared" si="4"/>
        <v>0.55608300556083001</v>
      </c>
      <c r="X57" s="7">
        <f t="shared" si="4"/>
        <v>1.8310050183100501</v>
      </c>
      <c r="Y57" s="7">
        <f t="shared" si="4"/>
        <v>0.18988200189882001</v>
      </c>
      <c r="Z57" s="7">
        <f t="shared" si="4"/>
        <v>0.12206700122067002</v>
      </c>
      <c r="AA57" s="7">
        <f t="shared" si="4"/>
        <v>9.4941000949410007E-2</v>
      </c>
      <c r="AB57" s="7">
        <f t="shared" si="4"/>
        <v>0.43401600434016002</v>
      </c>
      <c r="AC57" s="7">
        <f t="shared" si="4"/>
        <v>4.0689000406890004E-2</v>
      </c>
      <c r="AD57" s="7">
        <f t="shared" si="4"/>
        <v>1.32917401329174</v>
      </c>
      <c r="AE57" s="7">
        <f t="shared" si="4"/>
        <v>0.56964600569646007</v>
      </c>
      <c r="AF57" s="7">
        <f t="shared" si="4"/>
        <v>1.85813101858131</v>
      </c>
      <c r="AG57" s="7">
        <f t="shared" si="4"/>
        <v>1.4241150142411503</v>
      </c>
      <c r="AH57" s="7">
        <f t="shared" si="4"/>
        <v>0.12206700122067002</v>
      </c>
      <c r="AI57" s="7">
        <f t="shared" si="4"/>
        <v>0.10850400108504001</v>
      </c>
      <c r="AJ57" s="7">
        <f t="shared" si="4"/>
        <v>0.48826800488268007</v>
      </c>
      <c r="AK57" s="7">
        <f t="shared" si="1"/>
        <v>4.0689000406890004E-2</v>
      </c>
    </row>
    <row r="58" spans="1:37" x14ac:dyDescent="0.25">
      <c r="A58" s="17"/>
      <c r="B58" t="s">
        <v>45</v>
      </c>
      <c r="C58" s="1">
        <v>7842</v>
      </c>
      <c r="D58" s="1">
        <v>116</v>
      </c>
      <c r="E58">
        <v>122</v>
      </c>
      <c r="F58" s="1">
        <v>260</v>
      </c>
      <c r="G58" s="1">
        <v>39</v>
      </c>
      <c r="H58" s="5">
        <v>16</v>
      </c>
      <c r="I58">
        <v>11</v>
      </c>
      <c r="J58">
        <v>55</v>
      </c>
      <c r="K58">
        <v>6</v>
      </c>
      <c r="L58">
        <v>118</v>
      </c>
      <c r="M58">
        <v>124</v>
      </c>
      <c r="N58">
        <v>267</v>
      </c>
      <c r="O58">
        <v>139</v>
      </c>
      <c r="P58">
        <v>18</v>
      </c>
      <c r="Q58">
        <v>14</v>
      </c>
      <c r="R58">
        <v>65</v>
      </c>
      <c r="S58">
        <v>8</v>
      </c>
      <c r="V58" s="7">
        <f t="shared" si="4"/>
        <v>1.4792144861004846</v>
      </c>
      <c r="W58" s="7">
        <f t="shared" si="4"/>
        <v>1.5557255802091303</v>
      </c>
      <c r="X58" s="7">
        <f t="shared" si="4"/>
        <v>3.3154807447079824</v>
      </c>
      <c r="Y58" s="7">
        <f t="shared" si="4"/>
        <v>0.49732211170619739</v>
      </c>
      <c r="Z58" s="7">
        <f t="shared" si="4"/>
        <v>0.20402958428972201</v>
      </c>
      <c r="AA58" s="7">
        <f t="shared" si="4"/>
        <v>0.14027033919918389</v>
      </c>
      <c r="AB58" s="7">
        <f t="shared" si="4"/>
        <v>0.7013516959959194</v>
      </c>
      <c r="AC58" s="7">
        <f t="shared" si="4"/>
        <v>7.6511094108645747E-2</v>
      </c>
      <c r="AD58" s="7">
        <f t="shared" si="4"/>
        <v>1.5047181841366999</v>
      </c>
      <c r="AE58" s="7">
        <f t="shared" si="4"/>
        <v>1.5812292782453454</v>
      </c>
      <c r="AF58" s="7">
        <f t="shared" si="4"/>
        <v>3.4047436878347361</v>
      </c>
      <c r="AG58" s="7">
        <f t="shared" si="4"/>
        <v>1.7725070135169601</v>
      </c>
      <c r="AH58" s="7">
        <f t="shared" si="4"/>
        <v>0.22953328232593728</v>
      </c>
      <c r="AI58" s="7">
        <f t="shared" si="4"/>
        <v>0.17852588625350677</v>
      </c>
      <c r="AJ58" s="7">
        <f t="shared" si="4"/>
        <v>0.82887018617699559</v>
      </c>
      <c r="AK58" s="7">
        <f t="shared" si="1"/>
        <v>0.10201479214486101</v>
      </c>
    </row>
    <row r="59" spans="1:37" x14ac:dyDescent="0.25">
      <c r="A59" s="17"/>
      <c r="B59" t="s">
        <v>46</v>
      </c>
      <c r="C59" s="1">
        <v>6142</v>
      </c>
      <c r="D59" s="1">
        <v>45</v>
      </c>
      <c r="E59">
        <v>30</v>
      </c>
      <c r="F59" s="1">
        <v>128</v>
      </c>
      <c r="G59" s="1">
        <v>16</v>
      </c>
      <c r="H59" s="5">
        <v>9</v>
      </c>
      <c r="I59">
        <v>6</v>
      </c>
      <c r="J59">
        <v>32</v>
      </c>
      <c r="K59">
        <v>4</v>
      </c>
      <c r="L59">
        <v>46</v>
      </c>
      <c r="M59">
        <v>30</v>
      </c>
      <c r="N59">
        <v>130</v>
      </c>
      <c r="O59">
        <v>52</v>
      </c>
      <c r="P59">
        <v>11</v>
      </c>
      <c r="Q59">
        <v>9</v>
      </c>
      <c r="R59">
        <v>37</v>
      </c>
      <c r="S59">
        <v>5</v>
      </c>
      <c r="V59" s="7">
        <f t="shared" si="4"/>
        <v>0.73266037121458805</v>
      </c>
      <c r="W59" s="7">
        <f t="shared" si="4"/>
        <v>0.48844024747639203</v>
      </c>
      <c r="X59" s="7">
        <f t="shared" si="4"/>
        <v>2.0840117225659394</v>
      </c>
      <c r="Y59" s="7">
        <f t="shared" si="4"/>
        <v>0.26050146532074242</v>
      </c>
      <c r="Z59" s="7">
        <f t="shared" si="4"/>
        <v>0.14653207424291761</v>
      </c>
      <c r="AA59" s="7">
        <f t="shared" si="4"/>
        <v>9.7688049495278415E-2</v>
      </c>
      <c r="AB59" s="7">
        <f t="shared" si="4"/>
        <v>0.52100293064148484</v>
      </c>
      <c r="AC59" s="7">
        <f t="shared" si="4"/>
        <v>6.5125366330185605E-2</v>
      </c>
      <c r="AD59" s="7">
        <f t="shared" si="4"/>
        <v>0.7489417127971344</v>
      </c>
      <c r="AE59" s="7">
        <f t="shared" si="4"/>
        <v>0.48844024747639203</v>
      </c>
      <c r="AF59" s="7">
        <f t="shared" si="4"/>
        <v>2.1165744057310323</v>
      </c>
      <c r="AG59" s="7">
        <f t="shared" si="4"/>
        <v>0.84662976229241282</v>
      </c>
      <c r="AH59" s="7">
        <f t="shared" si="4"/>
        <v>0.17909475740801042</v>
      </c>
      <c r="AI59" s="7">
        <f t="shared" si="4"/>
        <v>0.14653207424291761</v>
      </c>
      <c r="AJ59" s="7">
        <f t="shared" si="4"/>
        <v>0.60240963855421692</v>
      </c>
      <c r="AK59" s="7">
        <f t="shared" si="1"/>
        <v>8.140670791273201E-2</v>
      </c>
    </row>
    <row r="60" spans="1:37" x14ac:dyDescent="0.25">
      <c r="A60" s="17" t="s">
        <v>64</v>
      </c>
      <c r="B60" t="s">
        <v>47</v>
      </c>
      <c r="C60" s="1">
        <v>5859</v>
      </c>
      <c r="D60" s="1">
        <v>67</v>
      </c>
      <c r="E60">
        <v>71</v>
      </c>
      <c r="F60" s="1">
        <v>119</v>
      </c>
      <c r="G60" s="1">
        <v>16</v>
      </c>
      <c r="H60" s="5">
        <v>9</v>
      </c>
      <c r="I60">
        <v>3</v>
      </c>
      <c r="J60">
        <v>13</v>
      </c>
      <c r="K60">
        <v>0</v>
      </c>
      <c r="L60">
        <v>68</v>
      </c>
      <c r="M60">
        <v>72</v>
      </c>
      <c r="N60">
        <v>121</v>
      </c>
      <c r="O60">
        <v>75</v>
      </c>
      <c r="P60">
        <v>9</v>
      </c>
      <c r="Q60">
        <v>3</v>
      </c>
      <c r="R60">
        <v>15</v>
      </c>
      <c r="S60">
        <v>0</v>
      </c>
      <c r="V60" s="8">
        <f t="shared" si="4"/>
        <v>1.1435398532172725</v>
      </c>
      <c r="W60" s="8">
        <f t="shared" si="4"/>
        <v>1.2118108892302442</v>
      </c>
      <c r="X60" s="8">
        <f t="shared" si="4"/>
        <v>2.031063321385902</v>
      </c>
      <c r="Y60" s="8">
        <f t="shared" si="4"/>
        <v>0.27308414405188602</v>
      </c>
      <c r="Z60" s="8">
        <f t="shared" si="4"/>
        <v>0.15360983102918588</v>
      </c>
      <c r="AA60" s="8">
        <f t="shared" si="4"/>
        <v>5.1203277009728626E-2</v>
      </c>
      <c r="AB60" s="8">
        <f t="shared" si="4"/>
        <v>0.22188086704215737</v>
      </c>
      <c r="AC60" s="8">
        <f t="shared" si="4"/>
        <v>0</v>
      </c>
      <c r="AD60" s="8">
        <f t="shared" si="4"/>
        <v>1.1606076122205153</v>
      </c>
      <c r="AE60" s="8">
        <f t="shared" si="4"/>
        <v>1.228878648233487</v>
      </c>
      <c r="AF60" s="8">
        <f t="shared" si="4"/>
        <v>2.0651988393923881</v>
      </c>
      <c r="AG60" s="8">
        <f t="shared" si="4"/>
        <v>1.2800819252432156</v>
      </c>
      <c r="AH60" s="8">
        <f t="shared" si="4"/>
        <v>0.15360983102918588</v>
      </c>
      <c r="AI60" s="8">
        <f t="shared" si="4"/>
        <v>5.1203277009728626E-2</v>
      </c>
      <c r="AJ60" s="8">
        <f t="shared" si="4"/>
        <v>0.2560163850486431</v>
      </c>
      <c r="AK60" s="8">
        <f t="shared" si="1"/>
        <v>0</v>
      </c>
    </row>
    <row r="61" spans="1:37" x14ac:dyDescent="0.25">
      <c r="A61" s="17"/>
      <c r="B61" t="s">
        <v>48</v>
      </c>
      <c r="C61" s="1">
        <v>6129</v>
      </c>
      <c r="D61" s="1">
        <v>86</v>
      </c>
      <c r="E61">
        <v>58</v>
      </c>
      <c r="F61" s="1">
        <v>94</v>
      </c>
      <c r="G61" s="1">
        <v>25</v>
      </c>
      <c r="H61" s="5">
        <v>5</v>
      </c>
      <c r="I61">
        <v>9</v>
      </c>
      <c r="J61">
        <v>22</v>
      </c>
      <c r="K61">
        <v>3</v>
      </c>
      <c r="L61">
        <v>93</v>
      </c>
      <c r="M61">
        <v>60</v>
      </c>
      <c r="N61">
        <v>97</v>
      </c>
      <c r="O61">
        <v>107</v>
      </c>
      <c r="P61">
        <v>5</v>
      </c>
      <c r="Q61">
        <v>10</v>
      </c>
      <c r="R61">
        <v>29</v>
      </c>
      <c r="S61">
        <v>3</v>
      </c>
      <c r="V61" s="8">
        <f t="shared" si="4"/>
        <v>1.4031652798172622</v>
      </c>
      <c r="W61" s="8">
        <f t="shared" si="4"/>
        <v>0.94632077010931637</v>
      </c>
      <c r="X61" s="8">
        <f t="shared" si="4"/>
        <v>1.5336922825909611</v>
      </c>
      <c r="Y61" s="8">
        <f t="shared" si="4"/>
        <v>0.40789688366780874</v>
      </c>
      <c r="Z61" s="8">
        <f t="shared" si="4"/>
        <v>8.1579376733561762E-2</v>
      </c>
      <c r="AA61" s="8">
        <f t="shared" si="4"/>
        <v>0.14684287812041116</v>
      </c>
      <c r="AB61" s="8">
        <f t="shared" si="4"/>
        <v>0.35894925762767177</v>
      </c>
      <c r="AC61" s="8">
        <f t="shared" si="4"/>
        <v>4.8947626040137054E-2</v>
      </c>
      <c r="AD61" s="8">
        <f t="shared" si="4"/>
        <v>1.5173764072442486</v>
      </c>
      <c r="AE61" s="8">
        <f t="shared" si="4"/>
        <v>0.97895252080274098</v>
      </c>
      <c r="AF61" s="8">
        <f t="shared" si="4"/>
        <v>1.582639908631098</v>
      </c>
      <c r="AG61" s="8">
        <f t="shared" si="4"/>
        <v>1.7457986620982215</v>
      </c>
      <c r="AH61" s="8">
        <f t="shared" si="4"/>
        <v>8.1579376733561762E-2</v>
      </c>
      <c r="AI61" s="8">
        <f t="shared" si="4"/>
        <v>0.16315875346712352</v>
      </c>
      <c r="AJ61" s="8">
        <f t="shared" si="4"/>
        <v>0.47316038505465818</v>
      </c>
      <c r="AK61" s="8">
        <f t="shared" si="1"/>
        <v>4.8947626040137054E-2</v>
      </c>
    </row>
    <row r="62" spans="1:37" x14ac:dyDescent="0.25">
      <c r="A62" s="17"/>
      <c r="B62" t="s">
        <v>49</v>
      </c>
      <c r="C62" s="1">
        <v>3201</v>
      </c>
      <c r="D62" s="1">
        <v>24</v>
      </c>
      <c r="E62">
        <v>5</v>
      </c>
      <c r="F62" s="1">
        <v>35</v>
      </c>
      <c r="G62" s="1">
        <v>2</v>
      </c>
      <c r="H62" s="5">
        <v>1</v>
      </c>
      <c r="I62">
        <v>1</v>
      </c>
      <c r="J62">
        <v>16</v>
      </c>
      <c r="K62">
        <v>0</v>
      </c>
      <c r="L62">
        <v>24</v>
      </c>
      <c r="M62">
        <v>5</v>
      </c>
      <c r="N62">
        <v>35</v>
      </c>
      <c r="O62">
        <v>25</v>
      </c>
      <c r="P62">
        <v>1</v>
      </c>
      <c r="Q62">
        <v>1</v>
      </c>
      <c r="R62">
        <v>19</v>
      </c>
      <c r="S62">
        <v>0</v>
      </c>
      <c r="V62" s="8">
        <f t="shared" si="4"/>
        <v>0.7497656982193065</v>
      </c>
      <c r="W62" s="8">
        <f t="shared" si="4"/>
        <v>0.1562011871290222</v>
      </c>
      <c r="X62" s="8">
        <f t="shared" si="4"/>
        <v>1.0934083099031553</v>
      </c>
      <c r="Y62" s="8">
        <f t="shared" si="4"/>
        <v>6.2480474851608868E-2</v>
      </c>
      <c r="Z62" s="8">
        <f t="shared" si="4"/>
        <v>3.1240237425804434E-2</v>
      </c>
      <c r="AA62" s="8">
        <f t="shared" si="4"/>
        <v>3.1240237425804434E-2</v>
      </c>
      <c r="AB62" s="8">
        <f t="shared" si="4"/>
        <v>0.49984379881287094</v>
      </c>
      <c r="AC62" s="8">
        <f t="shared" si="4"/>
        <v>0</v>
      </c>
      <c r="AD62" s="8">
        <f t="shared" si="4"/>
        <v>0.7497656982193065</v>
      </c>
      <c r="AE62" s="8">
        <f t="shared" si="4"/>
        <v>0.1562011871290222</v>
      </c>
      <c r="AF62" s="8">
        <f t="shared" si="4"/>
        <v>1.0934083099031553</v>
      </c>
      <c r="AG62" s="8">
        <f t="shared" si="4"/>
        <v>0.78100593564511089</v>
      </c>
      <c r="AH62" s="8">
        <f t="shared" si="4"/>
        <v>3.1240237425804434E-2</v>
      </c>
      <c r="AI62" s="8">
        <f t="shared" si="4"/>
        <v>3.1240237425804434E-2</v>
      </c>
      <c r="AJ62" s="8">
        <f t="shared" si="4"/>
        <v>0.5935645110902843</v>
      </c>
      <c r="AK62" s="8">
        <f t="shared" si="1"/>
        <v>0</v>
      </c>
    </row>
    <row r="63" spans="1:37" x14ac:dyDescent="0.25">
      <c r="A63" s="17"/>
      <c r="B63" t="s">
        <v>50</v>
      </c>
      <c r="C63" s="1">
        <v>4367</v>
      </c>
      <c r="D63" s="1">
        <v>66</v>
      </c>
      <c r="E63">
        <v>44</v>
      </c>
      <c r="F63" s="1">
        <v>76</v>
      </c>
      <c r="G63" s="1">
        <v>17</v>
      </c>
      <c r="H63" s="5">
        <v>14</v>
      </c>
      <c r="I63">
        <v>9</v>
      </c>
      <c r="J63">
        <v>27</v>
      </c>
      <c r="K63">
        <v>5</v>
      </c>
      <c r="L63">
        <v>70</v>
      </c>
      <c r="M63">
        <v>44</v>
      </c>
      <c r="N63">
        <v>76</v>
      </c>
      <c r="O63">
        <v>79</v>
      </c>
      <c r="P63">
        <v>17</v>
      </c>
      <c r="Q63">
        <v>11</v>
      </c>
      <c r="R63">
        <v>32</v>
      </c>
      <c r="S63">
        <v>7</v>
      </c>
      <c r="V63" s="8">
        <f t="shared" si="4"/>
        <v>1.5113350125944585</v>
      </c>
      <c r="W63" s="8">
        <f t="shared" si="4"/>
        <v>1.0075566750629723</v>
      </c>
      <c r="X63" s="8">
        <f t="shared" si="4"/>
        <v>1.7403251660178611</v>
      </c>
      <c r="Y63" s="8">
        <f t="shared" si="4"/>
        <v>0.38928326081978476</v>
      </c>
      <c r="Z63" s="8">
        <f t="shared" si="4"/>
        <v>0.32058621479276395</v>
      </c>
      <c r="AA63" s="8">
        <f t="shared" si="4"/>
        <v>0.20609113808106252</v>
      </c>
      <c r="AB63" s="8">
        <f t="shared" si="4"/>
        <v>0.6182734142431876</v>
      </c>
      <c r="AC63" s="8">
        <f t="shared" si="4"/>
        <v>0.11449507671170141</v>
      </c>
      <c r="AD63" s="8">
        <f t="shared" si="4"/>
        <v>1.6029310739638196</v>
      </c>
      <c r="AE63" s="8">
        <f t="shared" si="4"/>
        <v>1.0075566750629723</v>
      </c>
      <c r="AF63" s="8">
        <f t="shared" si="4"/>
        <v>1.7403251660178611</v>
      </c>
      <c r="AG63" s="8">
        <f t="shared" si="4"/>
        <v>1.809022212044882</v>
      </c>
      <c r="AH63" s="8">
        <f t="shared" si="4"/>
        <v>0.38928326081978476</v>
      </c>
      <c r="AI63" s="8">
        <f t="shared" si="4"/>
        <v>0.25188916876574308</v>
      </c>
      <c r="AJ63" s="8">
        <f t="shared" si="4"/>
        <v>0.73276849095488894</v>
      </c>
      <c r="AK63" s="8">
        <f t="shared" si="1"/>
        <v>0.16029310739638197</v>
      </c>
    </row>
    <row r="64" spans="1:37" x14ac:dyDescent="0.25">
      <c r="A64" s="17"/>
      <c r="B64" t="s">
        <v>51</v>
      </c>
      <c r="C64" s="1">
        <v>5620</v>
      </c>
      <c r="D64" s="1">
        <v>67</v>
      </c>
      <c r="E64">
        <v>39</v>
      </c>
      <c r="F64" s="1">
        <v>146</v>
      </c>
      <c r="G64" s="1">
        <v>24</v>
      </c>
      <c r="H64" s="5">
        <v>2</v>
      </c>
      <c r="I64">
        <v>3</v>
      </c>
      <c r="J64">
        <v>24</v>
      </c>
      <c r="K64">
        <v>1</v>
      </c>
      <c r="L64">
        <v>70</v>
      </c>
      <c r="M64">
        <v>41</v>
      </c>
      <c r="N64">
        <v>146</v>
      </c>
      <c r="O64">
        <v>85</v>
      </c>
      <c r="P64">
        <v>2</v>
      </c>
      <c r="Q64">
        <v>3</v>
      </c>
      <c r="R64">
        <v>26</v>
      </c>
      <c r="S64">
        <v>1</v>
      </c>
      <c r="V64" s="8">
        <f t="shared" si="4"/>
        <v>1.1921708185053381</v>
      </c>
      <c r="W64" s="8">
        <f t="shared" si="4"/>
        <v>0.69395017793594305</v>
      </c>
      <c r="X64" s="8">
        <f t="shared" si="4"/>
        <v>2.5978647686832739</v>
      </c>
      <c r="Y64" s="8">
        <f t="shared" si="4"/>
        <v>0.42704626334519574</v>
      </c>
      <c r="Z64" s="8">
        <f t="shared" si="4"/>
        <v>3.5587188612099648E-2</v>
      </c>
      <c r="AA64" s="8">
        <f t="shared" si="4"/>
        <v>5.3380782918149468E-2</v>
      </c>
      <c r="AB64" s="8">
        <f t="shared" si="4"/>
        <v>0.42704626334519574</v>
      </c>
      <c r="AC64" s="8">
        <f t="shared" si="4"/>
        <v>1.7793594306049824E-2</v>
      </c>
      <c r="AD64" s="8">
        <f t="shared" si="4"/>
        <v>1.2455516014234875</v>
      </c>
      <c r="AE64" s="8">
        <f t="shared" si="4"/>
        <v>0.72953736654804269</v>
      </c>
      <c r="AF64" s="8">
        <f t="shared" si="4"/>
        <v>2.5978647686832739</v>
      </c>
      <c r="AG64" s="8">
        <f t="shared" si="4"/>
        <v>1.5124555160142348</v>
      </c>
      <c r="AH64" s="8">
        <f t="shared" si="4"/>
        <v>3.5587188612099648E-2</v>
      </c>
      <c r="AI64" s="8">
        <f t="shared" si="4"/>
        <v>5.3380782918149468E-2</v>
      </c>
      <c r="AJ64" s="8">
        <f t="shared" si="4"/>
        <v>0.46263345195729533</v>
      </c>
      <c r="AK64" s="8">
        <f t="shared" si="1"/>
        <v>1.7793594306049824E-2</v>
      </c>
    </row>
    <row r="65" spans="1:37" x14ac:dyDescent="0.25">
      <c r="A65" s="17" t="s">
        <v>65</v>
      </c>
      <c r="B65" t="s">
        <v>47</v>
      </c>
      <c r="C65" s="1">
        <v>5859</v>
      </c>
      <c r="D65" s="1">
        <v>67</v>
      </c>
      <c r="E65">
        <v>71</v>
      </c>
      <c r="F65" s="1">
        <v>119</v>
      </c>
      <c r="G65" s="1">
        <v>16</v>
      </c>
      <c r="H65" s="5">
        <v>9</v>
      </c>
      <c r="I65">
        <v>3</v>
      </c>
      <c r="J65">
        <v>13</v>
      </c>
      <c r="K65">
        <v>0</v>
      </c>
      <c r="L65">
        <v>68</v>
      </c>
      <c r="M65">
        <v>72</v>
      </c>
      <c r="N65">
        <v>121</v>
      </c>
      <c r="O65">
        <v>75</v>
      </c>
      <c r="P65">
        <v>9</v>
      </c>
      <c r="Q65">
        <v>3</v>
      </c>
      <c r="R65">
        <v>15</v>
      </c>
      <c r="S65">
        <v>0</v>
      </c>
      <c r="V65" s="9">
        <f t="shared" si="4"/>
        <v>1.1435398532172725</v>
      </c>
      <c r="W65" s="9">
        <f t="shared" si="4"/>
        <v>1.2118108892302442</v>
      </c>
      <c r="X65" s="9">
        <f t="shared" si="4"/>
        <v>2.031063321385902</v>
      </c>
      <c r="Y65" s="9">
        <f t="shared" si="4"/>
        <v>0.27308414405188602</v>
      </c>
      <c r="Z65" s="9">
        <f t="shared" si="4"/>
        <v>0.15360983102918588</v>
      </c>
      <c r="AA65" s="9">
        <f t="shared" si="4"/>
        <v>5.1203277009728626E-2</v>
      </c>
      <c r="AB65" s="9">
        <f t="shared" si="4"/>
        <v>0.22188086704215737</v>
      </c>
      <c r="AC65" s="9">
        <f t="shared" si="4"/>
        <v>0</v>
      </c>
      <c r="AD65" s="9">
        <f t="shared" si="4"/>
        <v>1.1606076122205153</v>
      </c>
      <c r="AE65" s="9">
        <f t="shared" si="4"/>
        <v>1.228878648233487</v>
      </c>
      <c r="AF65" s="9">
        <f t="shared" si="4"/>
        <v>2.0651988393923881</v>
      </c>
      <c r="AG65" s="9">
        <f t="shared" si="4"/>
        <v>1.2800819252432156</v>
      </c>
      <c r="AH65" s="9">
        <f t="shared" si="4"/>
        <v>0.15360983102918588</v>
      </c>
      <c r="AI65" s="9">
        <f t="shared" si="4"/>
        <v>5.1203277009728626E-2</v>
      </c>
      <c r="AJ65" s="9">
        <f t="shared" si="4"/>
        <v>0.2560163850486431</v>
      </c>
      <c r="AK65" s="9">
        <f t="shared" si="1"/>
        <v>0</v>
      </c>
    </row>
    <row r="66" spans="1:37" x14ac:dyDescent="0.25">
      <c r="A66" s="17"/>
      <c r="B66" t="s">
        <v>48</v>
      </c>
      <c r="C66" s="1">
        <v>6129</v>
      </c>
      <c r="D66" s="1">
        <v>86</v>
      </c>
      <c r="E66">
        <v>58</v>
      </c>
      <c r="F66" s="1">
        <v>94</v>
      </c>
      <c r="G66" s="1">
        <v>25</v>
      </c>
      <c r="H66" s="5">
        <v>5</v>
      </c>
      <c r="I66">
        <v>9</v>
      </c>
      <c r="J66">
        <v>22</v>
      </c>
      <c r="K66">
        <v>3</v>
      </c>
      <c r="L66">
        <v>93</v>
      </c>
      <c r="M66">
        <v>60</v>
      </c>
      <c r="N66">
        <v>97</v>
      </c>
      <c r="O66">
        <v>107</v>
      </c>
      <c r="P66">
        <v>5</v>
      </c>
      <c r="Q66">
        <v>10</v>
      </c>
      <c r="R66">
        <v>29</v>
      </c>
      <c r="S66">
        <v>3</v>
      </c>
      <c r="V66" s="9">
        <f t="shared" si="4"/>
        <v>1.4031652798172622</v>
      </c>
      <c r="W66" s="9">
        <f t="shared" si="4"/>
        <v>0.94632077010931637</v>
      </c>
      <c r="X66" s="9">
        <f t="shared" si="4"/>
        <v>1.5336922825909611</v>
      </c>
      <c r="Y66" s="9">
        <f t="shared" si="4"/>
        <v>0.40789688366780874</v>
      </c>
      <c r="Z66" s="9">
        <f t="shared" si="4"/>
        <v>8.1579376733561762E-2</v>
      </c>
      <c r="AA66" s="9">
        <f t="shared" si="4"/>
        <v>0.14684287812041116</v>
      </c>
      <c r="AB66" s="9">
        <f t="shared" si="4"/>
        <v>0.35894925762767177</v>
      </c>
      <c r="AC66" s="9">
        <f t="shared" si="4"/>
        <v>4.8947626040137054E-2</v>
      </c>
      <c r="AD66" s="9">
        <f t="shared" si="4"/>
        <v>1.5173764072442486</v>
      </c>
      <c r="AE66" s="9">
        <f t="shared" si="4"/>
        <v>0.97895252080274098</v>
      </c>
      <c r="AF66" s="9">
        <f t="shared" si="4"/>
        <v>1.582639908631098</v>
      </c>
      <c r="AG66" s="9">
        <f t="shared" si="4"/>
        <v>1.7457986620982215</v>
      </c>
      <c r="AH66" s="9">
        <f t="shared" si="4"/>
        <v>8.1579376733561762E-2</v>
      </c>
      <c r="AI66" s="9">
        <f t="shared" si="4"/>
        <v>0.16315875346712352</v>
      </c>
      <c r="AJ66" s="9">
        <f t="shared" si="4"/>
        <v>0.47316038505465818</v>
      </c>
      <c r="AK66" s="9">
        <f t="shared" si="1"/>
        <v>4.8947626040137054E-2</v>
      </c>
    </row>
    <row r="67" spans="1:37" x14ac:dyDescent="0.25">
      <c r="A67" s="17"/>
      <c r="B67" t="s">
        <v>49</v>
      </c>
      <c r="C67" s="1">
        <v>3201</v>
      </c>
      <c r="D67" s="1">
        <v>24</v>
      </c>
      <c r="E67">
        <v>5</v>
      </c>
      <c r="F67" s="1">
        <v>35</v>
      </c>
      <c r="G67" s="1">
        <v>2</v>
      </c>
      <c r="H67" s="5">
        <v>1</v>
      </c>
      <c r="I67">
        <v>1</v>
      </c>
      <c r="J67">
        <v>16</v>
      </c>
      <c r="K67">
        <v>0</v>
      </c>
      <c r="L67">
        <v>24</v>
      </c>
      <c r="M67">
        <v>5</v>
      </c>
      <c r="N67">
        <v>35</v>
      </c>
      <c r="O67">
        <v>25</v>
      </c>
      <c r="P67">
        <v>1</v>
      </c>
      <c r="Q67">
        <v>1</v>
      </c>
      <c r="R67">
        <v>19</v>
      </c>
      <c r="S67">
        <v>0</v>
      </c>
      <c r="V67" s="9">
        <f t="shared" si="4"/>
        <v>0.7497656982193065</v>
      </c>
      <c r="W67" s="9">
        <f t="shared" si="4"/>
        <v>0.1562011871290222</v>
      </c>
      <c r="X67" s="9">
        <f t="shared" si="4"/>
        <v>1.0934083099031553</v>
      </c>
      <c r="Y67" s="9">
        <f t="shared" si="4"/>
        <v>6.2480474851608868E-2</v>
      </c>
      <c r="Z67" s="9">
        <f t="shared" si="4"/>
        <v>3.1240237425804434E-2</v>
      </c>
      <c r="AA67" s="9">
        <f t="shared" si="4"/>
        <v>3.1240237425804434E-2</v>
      </c>
      <c r="AB67" s="9">
        <f t="shared" si="4"/>
        <v>0.49984379881287094</v>
      </c>
      <c r="AC67" s="9">
        <f t="shared" si="4"/>
        <v>0</v>
      </c>
      <c r="AD67" s="9">
        <f t="shared" si="4"/>
        <v>0.7497656982193065</v>
      </c>
      <c r="AE67" s="9">
        <f t="shared" si="4"/>
        <v>0.1562011871290222</v>
      </c>
      <c r="AF67" s="9">
        <f t="shared" si="4"/>
        <v>1.0934083099031553</v>
      </c>
      <c r="AG67" s="9">
        <f t="shared" si="4"/>
        <v>0.78100593564511089</v>
      </c>
      <c r="AH67" s="9">
        <f t="shared" si="4"/>
        <v>3.1240237425804434E-2</v>
      </c>
      <c r="AI67" s="9">
        <f t="shared" si="4"/>
        <v>3.1240237425804434E-2</v>
      </c>
      <c r="AJ67" s="9">
        <f t="shared" si="4"/>
        <v>0.5935645110902843</v>
      </c>
      <c r="AK67" s="9">
        <f t="shared" si="1"/>
        <v>0</v>
      </c>
    </row>
    <row r="68" spans="1:37" x14ac:dyDescent="0.25">
      <c r="A68" s="17"/>
      <c r="B68" t="s">
        <v>50</v>
      </c>
      <c r="C68" s="1">
        <v>4367</v>
      </c>
      <c r="D68" s="1">
        <v>66</v>
      </c>
      <c r="E68">
        <v>44</v>
      </c>
      <c r="F68" s="1">
        <v>76</v>
      </c>
      <c r="G68" s="1">
        <v>17</v>
      </c>
      <c r="H68" s="5">
        <v>14</v>
      </c>
      <c r="I68">
        <v>9</v>
      </c>
      <c r="J68">
        <v>27</v>
      </c>
      <c r="K68">
        <v>5</v>
      </c>
      <c r="L68">
        <v>70</v>
      </c>
      <c r="M68">
        <v>44</v>
      </c>
      <c r="N68">
        <v>76</v>
      </c>
      <c r="O68">
        <v>79</v>
      </c>
      <c r="P68">
        <v>17</v>
      </c>
      <c r="Q68">
        <v>11</v>
      </c>
      <c r="R68">
        <v>32</v>
      </c>
      <c r="S68">
        <v>7</v>
      </c>
      <c r="V68" s="9">
        <f t="shared" si="4"/>
        <v>1.5113350125944585</v>
      </c>
      <c r="W68" s="9">
        <f t="shared" si="4"/>
        <v>1.0075566750629723</v>
      </c>
      <c r="X68" s="9">
        <f t="shared" si="4"/>
        <v>1.7403251660178611</v>
      </c>
      <c r="Y68" s="9">
        <f t="shared" si="4"/>
        <v>0.38928326081978476</v>
      </c>
      <c r="Z68" s="9">
        <f t="shared" si="4"/>
        <v>0.32058621479276395</v>
      </c>
      <c r="AA68" s="9">
        <f t="shared" si="4"/>
        <v>0.20609113808106252</v>
      </c>
      <c r="AB68" s="9">
        <f t="shared" si="4"/>
        <v>0.6182734142431876</v>
      </c>
      <c r="AC68" s="9">
        <f t="shared" si="4"/>
        <v>0.11449507671170141</v>
      </c>
      <c r="AD68" s="9">
        <f t="shared" si="4"/>
        <v>1.6029310739638196</v>
      </c>
      <c r="AE68" s="9">
        <f t="shared" si="4"/>
        <v>1.0075566750629723</v>
      </c>
      <c r="AF68" s="9">
        <f t="shared" si="4"/>
        <v>1.7403251660178611</v>
      </c>
      <c r="AG68" s="9">
        <f t="shared" si="4"/>
        <v>1.809022212044882</v>
      </c>
      <c r="AH68" s="9">
        <f t="shared" si="4"/>
        <v>0.38928326081978476</v>
      </c>
      <c r="AI68" s="9">
        <f t="shared" si="4"/>
        <v>0.25188916876574308</v>
      </c>
      <c r="AJ68" s="9">
        <f t="shared" si="4"/>
        <v>0.73276849095488894</v>
      </c>
      <c r="AK68" s="9">
        <f t="shared" si="1"/>
        <v>0.16029310739638197</v>
      </c>
    </row>
    <row r="69" spans="1:37" x14ac:dyDescent="0.25">
      <c r="A69" s="17"/>
      <c r="B69" t="s">
        <v>51</v>
      </c>
      <c r="C69" s="1">
        <v>5620</v>
      </c>
      <c r="D69" s="1">
        <v>67</v>
      </c>
      <c r="E69">
        <v>39</v>
      </c>
      <c r="F69" s="1">
        <v>146</v>
      </c>
      <c r="G69" s="1">
        <v>24</v>
      </c>
      <c r="H69" s="5">
        <v>2</v>
      </c>
      <c r="I69">
        <v>3</v>
      </c>
      <c r="J69">
        <v>24</v>
      </c>
      <c r="K69">
        <v>1</v>
      </c>
      <c r="L69">
        <v>70</v>
      </c>
      <c r="M69">
        <v>41</v>
      </c>
      <c r="N69">
        <v>146</v>
      </c>
      <c r="O69">
        <v>85</v>
      </c>
      <c r="P69">
        <v>2</v>
      </c>
      <c r="Q69">
        <v>3</v>
      </c>
      <c r="R69">
        <v>26</v>
      </c>
      <c r="S69">
        <v>1</v>
      </c>
      <c r="V69" s="9">
        <f t="shared" si="4"/>
        <v>1.1921708185053381</v>
      </c>
      <c r="W69" s="9">
        <f t="shared" si="4"/>
        <v>0.69395017793594305</v>
      </c>
      <c r="X69" s="9">
        <f t="shared" si="4"/>
        <v>2.5978647686832739</v>
      </c>
      <c r="Y69" s="9">
        <f t="shared" si="4"/>
        <v>0.42704626334519574</v>
      </c>
      <c r="Z69" s="9">
        <f t="shared" si="4"/>
        <v>3.5587188612099648E-2</v>
      </c>
      <c r="AA69" s="9">
        <f t="shared" si="4"/>
        <v>5.3380782918149468E-2</v>
      </c>
      <c r="AB69" s="9">
        <f t="shared" si="4"/>
        <v>0.42704626334519574</v>
      </c>
      <c r="AC69" s="9">
        <f t="shared" si="4"/>
        <v>1.7793594306049824E-2</v>
      </c>
      <c r="AD69" s="9">
        <f t="shared" si="4"/>
        <v>1.2455516014234875</v>
      </c>
      <c r="AE69" s="9">
        <f t="shared" si="4"/>
        <v>0.72953736654804269</v>
      </c>
      <c r="AF69" s="9">
        <f t="shared" si="4"/>
        <v>2.5978647686832739</v>
      </c>
      <c r="AG69" s="9">
        <f t="shared" si="4"/>
        <v>1.5124555160142348</v>
      </c>
      <c r="AH69" s="9">
        <f t="shared" si="4"/>
        <v>3.5587188612099648E-2</v>
      </c>
      <c r="AI69" s="9">
        <f t="shared" si="4"/>
        <v>5.3380782918149468E-2</v>
      </c>
      <c r="AJ69" s="9">
        <f t="shared" si="4"/>
        <v>0.46263345195729533</v>
      </c>
      <c r="AK69" s="9">
        <f t="shared" si="1"/>
        <v>1.7793594306049824E-2</v>
      </c>
    </row>
    <row r="70" spans="1:37" x14ac:dyDescent="0.25">
      <c r="A70" s="17" t="s">
        <v>66</v>
      </c>
      <c r="B70" t="s">
        <v>52</v>
      </c>
      <c r="C70" s="1">
        <v>6869</v>
      </c>
      <c r="D70" s="1">
        <v>86</v>
      </c>
      <c r="E70">
        <v>51</v>
      </c>
      <c r="F70" s="1">
        <v>141</v>
      </c>
      <c r="G70" s="1">
        <v>18</v>
      </c>
      <c r="H70" s="5">
        <v>7</v>
      </c>
      <c r="I70">
        <v>2</v>
      </c>
      <c r="J70">
        <v>15</v>
      </c>
      <c r="K70">
        <v>2</v>
      </c>
      <c r="L70">
        <v>87</v>
      </c>
      <c r="M70">
        <v>53</v>
      </c>
      <c r="N70">
        <v>144</v>
      </c>
      <c r="O70">
        <v>94</v>
      </c>
      <c r="P70">
        <v>7</v>
      </c>
      <c r="Q70">
        <v>2</v>
      </c>
      <c r="R70">
        <v>15</v>
      </c>
      <c r="S70">
        <v>2</v>
      </c>
      <c r="V70" s="10">
        <f t="shared" ref="V70:AK85" si="5">(D70/$C70)*100</f>
        <v>1.2520017469791818</v>
      </c>
      <c r="W70" s="10">
        <f t="shared" si="5"/>
        <v>0.742466152278352</v>
      </c>
      <c r="X70" s="10">
        <f t="shared" si="5"/>
        <v>2.0527005386519144</v>
      </c>
      <c r="Y70" s="10">
        <f t="shared" si="5"/>
        <v>0.26204687727471249</v>
      </c>
      <c r="Z70" s="10">
        <f t="shared" si="5"/>
        <v>0.10190711894016596</v>
      </c>
      <c r="AA70" s="10">
        <f t="shared" si="5"/>
        <v>2.9116319697190276E-2</v>
      </c>
      <c r="AB70" s="10">
        <f t="shared" si="5"/>
        <v>0.21837239772892705</v>
      </c>
      <c r="AC70" s="10">
        <f t="shared" si="5"/>
        <v>2.9116319697190276E-2</v>
      </c>
      <c r="AD70" s="10">
        <f t="shared" si="5"/>
        <v>1.2665599068277771</v>
      </c>
      <c r="AE70" s="10">
        <f t="shared" si="5"/>
        <v>0.77158247197554231</v>
      </c>
      <c r="AF70" s="10">
        <f t="shared" si="5"/>
        <v>2.0963750181976999</v>
      </c>
      <c r="AG70" s="10">
        <f t="shared" si="5"/>
        <v>1.368467025767943</v>
      </c>
      <c r="AH70" s="10">
        <f t="shared" si="5"/>
        <v>0.10190711894016596</v>
      </c>
      <c r="AI70" s="10">
        <f t="shared" si="5"/>
        <v>2.9116319697190276E-2</v>
      </c>
      <c r="AJ70" s="10">
        <f t="shared" si="5"/>
        <v>0.21837239772892705</v>
      </c>
      <c r="AK70" s="10">
        <f t="shared" si="1"/>
        <v>2.9116319697190276E-2</v>
      </c>
    </row>
    <row r="71" spans="1:37" x14ac:dyDescent="0.25">
      <c r="A71" s="17"/>
      <c r="B71" t="s">
        <v>53</v>
      </c>
      <c r="C71" s="1">
        <v>7027</v>
      </c>
      <c r="D71" s="1">
        <v>119</v>
      </c>
      <c r="E71">
        <v>34</v>
      </c>
      <c r="F71" s="1">
        <v>101</v>
      </c>
      <c r="G71" s="1">
        <v>13</v>
      </c>
      <c r="H71" s="5">
        <v>20</v>
      </c>
      <c r="I71">
        <v>9</v>
      </c>
      <c r="J71">
        <v>42</v>
      </c>
      <c r="K71">
        <v>6</v>
      </c>
      <c r="L71">
        <v>120</v>
      </c>
      <c r="M71">
        <v>34</v>
      </c>
      <c r="N71">
        <v>102</v>
      </c>
      <c r="O71">
        <v>125</v>
      </c>
      <c r="P71">
        <v>23</v>
      </c>
      <c r="Q71">
        <v>13</v>
      </c>
      <c r="R71">
        <v>51</v>
      </c>
      <c r="S71">
        <v>9</v>
      </c>
      <c r="V71" s="10">
        <f t="shared" si="5"/>
        <v>1.6934680518001992</v>
      </c>
      <c r="W71" s="10">
        <f t="shared" si="5"/>
        <v>0.4838480148000569</v>
      </c>
      <c r="X71" s="10">
        <f t="shared" si="5"/>
        <v>1.4373132204354633</v>
      </c>
      <c r="Y71" s="10">
        <f t="shared" si="5"/>
        <v>0.18500071154119824</v>
      </c>
      <c r="Z71" s="10">
        <f t="shared" si="5"/>
        <v>0.28461647929415113</v>
      </c>
      <c r="AA71" s="10">
        <f t="shared" si="5"/>
        <v>0.128077415682368</v>
      </c>
      <c r="AB71" s="10">
        <f t="shared" si="5"/>
        <v>0.59769460651771744</v>
      </c>
      <c r="AC71" s="10">
        <f t="shared" si="5"/>
        <v>8.5384943788245349E-2</v>
      </c>
      <c r="AD71" s="10">
        <f t="shared" si="5"/>
        <v>1.7076988757649065</v>
      </c>
      <c r="AE71" s="10">
        <f t="shared" si="5"/>
        <v>0.4838480148000569</v>
      </c>
      <c r="AF71" s="10">
        <f t="shared" si="5"/>
        <v>1.4515440444001708</v>
      </c>
      <c r="AG71" s="10">
        <f t="shared" si="5"/>
        <v>1.7788529955884445</v>
      </c>
      <c r="AH71" s="10">
        <f t="shared" si="5"/>
        <v>0.3273089511882738</v>
      </c>
      <c r="AI71" s="10">
        <f t="shared" si="5"/>
        <v>0.18500071154119824</v>
      </c>
      <c r="AJ71" s="10">
        <f t="shared" si="5"/>
        <v>0.72577202220008541</v>
      </c>
      <c r="AK71" s="10">
        <f t="shared" si="1"/>
        <v>0.128077415682368</v>
      </c>
    </row>
    <row r="72" spans="1:37" x14ac:dyDescent="0.25">
      <c r="A72" s="17"/>
      <c r="B72" t="s">
        <v>54</v>
      </c>
      <c r="C72" s="1">
        <v>7091</v>
      </c>
      <c r="D72" s="1">
        <v>90</v>
      </c>
      <c r="E72">
        <v>110</v>
      </c>
      <c r="F72" s="1">
        <v>249</v>
      </c>
      <c r="G72" s="1">
        <v>37</v>
      </c>
      <c r="H72" s="5">
        <v>24</v>
      </c>
      <c r="I72">
        <v>18</v>
      </c>
      <c r="J72">
        <v>80</v>
      </c>
      <c r="K72">
        <v>10</v>
      </c>
      <c r="L72">
        <v>94</v>
      </c>
      <c r="M72">
        <v>115</v>
      </c>
      <c r="N72">
        <v>255</v>
      </c>
      <c r="O72">
        <v>106</v>
      </c>
      <c r="P72">
        <v>32</v>
      </c>
      <c r="Q72">
        <v>25</v>
      </c>
      <c r="R72">
        <v>98</v>
      </c>
      <c r="S72">
        <v>15</v>
      </c>
      <c r="V72" s="10">
        <f t="shared" si="5"/>
        <v>1.2692144972500352</v>
      </c>
      <c r="W72" s="10">
        <f t="shared" si="5"/>
        <v>1.5512621633055987</v>
      </c>
      <c r="X72" s="10">
        <f t="shared" si="5"/>
        <v>3.5114934423917643</v>
      </c>
      <c r="Y72" s="10">
        <f t="shared" si="5"/>
        <v>0.52178818220279233</v>
      </c>
      <c r="Z72" s="10">
        <f t="shared" si="5"/>
        <v>0.33845719926667606</v>
      </c>
      <c r="AA72" s="10">
        <f t="shared" si="5"/>
        <v>0.25384289945000704</v>
      </c>
      <c r="AB72" s="10">
        <f t="shared" si="5"/>
        <v>1.1281906642222534</v>
      </c>
      <c r="AC72" s="10">
        <f t="shared" si="5"/>
        <v>0.14102383302778168</v>
      </c>
      <c r="AD72" s="10">
        <f t="shared" si="5"/>
        <v>1.325624030461148</v>
      </c>
      <c r="AE72" s="10">
        <f t="shared" si="5"/>
        <v>1.6217740798194893</v>
      </c>
      <c r="AF72" s="10">
        <f t="shared" si="5"/>
        <v>3.5961077422084333</v>
      </c>
      <c r="AG72" s="10">
        <f t="shared" si="5"/>
        <v>1.494852630094486</v>
      </c>
      <c r="AH72" s="10">
        <f t="shared" si="5"/>
        <v>0.45127626568890145</v>
      </c>
      <c r="AI72" s="10">
        <f t="shared" si="5"/>
        <v>0.35255958256945424</v>
      </c>
      <c r="AJ72" s="10">
        <f t="shared" si="5"/>
        <v>1.3820335636722607</v>
      </c>
      <c r="AK72" s="10">
        <f t="shared" si="1"/>
        <v>0.21153574954167254</v>
      </c>
    </row>
    <row r="73" spans="1:37" x14ac:dyDescent="0.25">
      <c r="A73" s="17"/>
      <c r="B73" t="s">
        <v>55</v>
      </c>
      <c r="C73" s="1">
        <v>5852</v>
      </c>
      <c r="D73" s="1">
        <v>89</v>
      </c>
      <c r="E73">
        <v>100</v>
      </c>
      <c r="F73" s="1">
        <v>147</v>
      </c>
      <c r="G73" s="1">
        <v>29</v>
      </c>
      <c r="H73" s="5">
        <v>13</v>
      </c>
      <c r="I73">
        <v>14</v>
      </c>
      <c r="J73">
        <v>39</v>
      </c>
      <c r="K73">
        <v>6</v>
      </c>
      <c r="L73">
        <v>92</v>
      </c>
      <c r="M73">
        <v>104</v>
      </c>
      <c r="N73">
        <v>148</v>
      </c>
      <c r="O73">
        <v>100</v>
      </c>
      <c r="P73">
        <v>18</v>
      </c>
      <c r="Q73">
        <v>15</v>
      </c>
      <c r="R73">
        <v>45</v>
      </c>
      <c r="S73">
        <v>7</v>
      </c>
      <c r="V73" s="10">
        <f t="shared" si="5"/>
        <v>1.5208475734791524</v>
      </c>
      <c r="W73" s="10">
        <f t="shared" si="5"/>
        <v>1.7088174982911826</v>
      </c>
      <c r="X73" s="10">
        <f t="shared" si="5"/>
        <v>2.5119617224880382</v>
      </c>
      <c r="Y73" s="10">
        <f t="shared" si="5"/>
        <v>0.49555707450444292</v>
      </c>
      <c r="Z73" s="10">
        <f t="shared" si="5"/>
        <v>0.22214627477785376</v>
      </c>
      <c r="AA73" s="10">
        <f t="shared" si="5"/>
        <v>0.23923444976076555</v>
      </c>
      <c r="AB73" s="10">
        <f t="shared" si="5"/>
        <v>0.66643882433356116</v>
      </c>
      <c r="AC73" s="10">
        <f t="shared" si="5"/>
        <v>0.10252904989747096</v>
      </c>
      <c r="AD73" s="10">
        <f t="shared" si="5"/>
        <v>1.5721120984278878</v>
      </c>
      <c r="AE73" s="10">
        <f t="shared" si="5"/>
        <v>1.7771701982228301</v>
      </c>
      <c r="AF73" s="10">
        <f t="shared" si="5"/>
        <v>2.5290498974709501</v>
      </c>
      <c r="AG73" s="10">
        <f t="shared" si="5"/>
        <v>1.7088174982911826</v>
      </c>
      <c r="AH73" s="10">
        <f t="shared" si="5"/>
        <v>0.30758714969241285</v>
      </c>
      <c r="AI73" s="10">
        <f t="shared" si="5"/>
        <v>0.2563226247436774</v>
      </c>
      <c r="AJ73" s="10">
        <f t="shared" si="5"/>
        <v>0.76896787423103208</v>
      </c>
      <c r="AK73" s="10">
        <f t="shared" si="1"/>
        <v>0.11961722488038277</v>
      </c>
    </row>
    <row r="74" spans="1:37" x14ac:dyDescent="0.25">
      <c r="A74" s="17"/>
      <c r="B74" t="s">
        <v>56</v>
      </c>
      <c r="C74" s="1">
        <v>5974</v>
      </c>
      <c r="D74" s="1">
        <v>58</v>
      </c>
      <c r="E74">
        <v>58</v>
      </c>
      <c r="F74" s="1">
        <v>159</v>
      </c>
      <c r="G74" s="1">
        <v>18</v>
      </c>
      <c r="H74" s="5">
        <v>10</v>
      </c>
      <c r="I74">
        <v>4</v>
      </c>
      <c r="J74">
        <v>38</v>
      </c>
      <c r="K74">
        <v>3</v>
      </c>
      <c r="L74">
        <v>63</v>
      </c>
      <c r="M74">
        <v>61</v>
      </c>
      <c r="N74">
        <v>160</v>
      </c>
      <c r="O74">
        <v>69</v>
      </c>
      <c r="P74">
        <v>14</v>
      </c>
      <c r="Q74">
        <v>5</v>
      </c>
      <c r="R74">
        <v>43</v>
      </c>
      <c r="S74">
        <v>3</v>
      </c>
      <c r="V74" s="10">
        <f t="shared" si="5"/>
        <v>0.97087378640776689</v>
      </c>
      <c r="W74" s="10">
        <f t="shared" si="5"/>
        <v>0.97087378640776689</v>
      </c>
      <c r="X74" s="10">
        <f t="shared" si="5"/>
        <v>2.6615333110143959</v>
      </c>
      <c r="Y74" s="10">
        <f t="shared" si="5"/>
        <v>0.3013056578506863</v>
      </c>
      <c r="Z74" s="10">
        <f t="shared" si="5"/>
        <v>0.16739203213927017</v>
      </c>
      <c r="AA74" s="10">
        <f t="shared" si="5"/>
        <v>6.6956812855708078E-2</v>
      </c>
      <c r="AB74" s="10">
        <f t="shared" si="5"/>
        <v>0.63608972212922665</v>
      </c>
      <c r="AC74" s="10">
        <f t="shared" si="5"/>
        <v>5.0217609641781048E-2</v>
      </c>
      <c r="AD74" s="10">
        <f t="shared" si="5"/>
        <v>1.054569802477402</v>
      </c>
      <c r="AE74" s="10">
        <f t="shared" si="5"/>
        <v>1.021091396049548</v>
      </c>
      <c r="AF74" s="10">
        <f t="shared" si="5"/>
        <v>2.6782725142283228</v>
      </c>
      <c r="AG74" s="10">
        <f t="shared" si="5"/>
        <v>1.1550050217609642</v>
      </c>
      <c r="AH74" s="10">
        <f t="shared" si="5"/>
        <v>0.23434884499497821</v>
      </c>
      <c r="AI74" s="10">
        <f t="shared" si="5"/>
        <v>8.3696016069635087E-2</v>
      </c>
      <c r="AJ74" s="10">
        <f t="shared" si="5"/>
        <v>0.71978573819886171</v>
      </c>
      <c r="AK74" s="10">
        <f t="shared" si="1"/>
        <v>5.0217609641781048E-2</v>
      </c>
    </row>
    <row r="75" spans="1:37" x14ac:dyDescent="0.25">
      <c r="A75" s="17"/>
      <c r="B75" t="s">
        <v>57</v>
      </c>
      <c r="C75" s="1">
        <v>7674</v>
      </c>
      <c r="D75" s="1">
        <v>94</v>
      </c>
      <c r="E75">
        <v>114</v>
      </c>
      <c r="F75" s="1">
        <v>198</v>
      </c>
      <c r="G75" s="1">
        <v>39</v>
      </c>
      <c r="H75" s="5">
        <v>16</v>
      </c>
      <c r="I75">
        <v>16</v>
      </c>
      <c r="J75">
        <v>41</v>
      </c>
      <c r="K75">
        <v>3</v>
      </c>
      <c r="L75">
        <v>94</v>
      </c>
      <c r="M75">
        <v>114</v>
      </c>
      <c r="N75">
        <v>198</v>
      </c>
      <c r="O75">
        <v>114</v>
      </c>
      <c r="P75">
        <v>19</v>
      </c>
      <c r="Q75">
        <v>20</v>
      </c>
      <c r="R75">
        <v>46</v>
      </c>
      <c r="S75">
        <v>4</v>
      </c>
      <c r="V75" s="10">
        <f t="shared" si="5"/>
        <v>1.2249152984102163</v>
      </c>
      <c r="W75" s="10">
        <f t="shared" si="5"/>
        <v>1.4855355746677092</v>
      </c>
      <c r="X75" s="10">
        <f t="shared" si="5"/>
        <v>2.5801407349491789</v>
      </c>
      <c r="Y75" s="10">
        <f t="shared" si="5"/>
        <v>0.50820953870211105</v>
      </c>
      <c r="Z75" s="10">
        <f t="shared" si="5"/>
        <v>0.20849622100599427</v>
      </c>
      <c r="AA75" s="10">
        <f t="shared" si="5"/>
        <v>0.20849622100599427</v>
      </c>
      <c r="AB75" s="10">
        <f t="shared" si="5"/>
        <v>0.53427156632786021</v>
      </c>
      <c r="AC75" s="10">
        <f t="shared" si="5"/>
        <v>3.9093041438623924E-2</v>
      </c>
      <c r="AD75" s="10">
        <f t="shared" si="5"/>
        <v>1.2249152984102163</v>
      </c>
      <c r="AE75" s="10">
        <f t="shared" si="5"/>
        <v>1.4855355746677092</v>
      </c>
      <c r="AF75" s="10">
        <f t="shared" si="5"/>
        <v>2.5801407349491789</v>
      </c>
      <c r="AG75" s="10">
        <f t="shared" si="5"/>
        <v>1.4855355746677092</v>
      </c>
      <c r="AH75" s="10">
        <f t="shared" si="5"/>
        <v>0.24758926244461818</v>
      </c>
      <c r="AI75" s="10">
        <f t="shared" si="5"/>
        <v>0.26062027625749284</v>
      </c>
      <c r="AJ75" s="10">
        <f t="shared" si="5"/>
        <v>0.59942663539223351</v>
      </c>
      <c r="AK75" s="10">
        <f t="shared" si="1"/>
        <v>5.2124055251498567E-2</v>
      </c>
    </row>
    <row r="76" spans="1:37" x14ac:dyDescent="0.25">
      <c r="A76" s="17"/>
      <c r="B76" t="s">
        <v>58</v>
      </c>
      <c r="C76" s="1">
        <v>7324</v>
      </c>
      <c r="D76" s="1">
        <v>80</v>
      </c>
      <c r="E76">
        <v>62</v>
      </c>
      <c r="F76" s="1">
        <v>284</v>
      </c>
      <c r="G76" s="1">
        <v>35</v>
      </c>
      <c r="H76" s="5">
        <v>14</v>
      </c>
      <c r="I76">
        <v>5</v>
      </c>
      <c r="J76">
        <v>71</v>
      </c>
      <c r="K76">
        <v>5</v>
      </c>
      <c r="L76">
        <v>82</v>
      </c>
      <c r="M76">
        <v>63</v>
      </c>
      <c r="N76">
        <v>285</v>
      </c>
      <c r="O76">
        <v>100</v>
      </c>
      <c r="P76">
        <v>17</v>
      </c>
      <c r="Q76">
        <v>5</v>
      </c>
      <c r="R76">
        <v>83</v>
      </c>
      <c r="S76">
        <v>5</v>
      </c>
      <c r="V76" s="10">
        <f t="shared" si="5"/>
        <v>1.0922992900054616</v>
      </c>
      <c r="W76" s="10">
        <f t="shared" si="5"/>
        <v>0.84653194975423274</v>
      </c>
      <c r="X76" s="10">
        <f t="shared" si="5"/>
        <v>3.8776624795193886</v>
      </c>
      <c r="Y76" s="10">
        <f t="shared" si="5"/>
        <v>0.4778809393773894</v>
      </c>
      <c r="Z76" s="10">
        <f t="shared" si="5"/>
        <v>0.19115237575095578</v>
      </c>
      <c r="AA76" s="10">
        <f t="shared" si="5"/>
        <v>6.8268705625341347E-2</v>
      </c>
      <c r="AB76" s="10">
        <f t="shared" si="5"/>
        <v>0.96941561987984715</v>
      </c>
      <c r="AC76" s="10">
        <f t="shared" si="5"/>
        <v>6.8268705625341347E-2</v>
      </c>
      <c r="AD76" s="10">
        <f t="shared" si="5"/>
        <v>1.119606772255598</v>
      </c>
      <c r="AE76" s="10">
        <f t="shared" si="5"/>
        <v>0.86018569087930097</v>
      </c>
      <c r="AF76" s="10">
        <f t="shared" si="5"/>
        <v>3.8913162206444563</v>
      </c>
      <c r="AG76" s="10">
        <f t="shared" si="5"/>
        <v>1.3653741125068268</v>
      </c>
      <c r="AH76" s="10">
        <f t="shared" si="5"/>
        <v>0.23211359912616056</v>
      </c>
      <c r="AI76" s="10">
        <f t="shared" si="5"/>
        <v>6.8268705625341347E-2</v>
      </c>
      <c r="AJ76" s="10">
        <f t="shared" si="5"/>
        <v>1.1332605133806664</v>
      </c>
      <c r="AK76" s="10">
        <f t="shared" si="1"/>
        <v>6.8268705625341347E-2</v>
      </c>
    </row>
    <row r="77" spans="1:37" x14ac:dyDescent="0.25">
      <c r="A77" s="17"/>
      <c r="B77" t="s">
        <v>59</v>
      </c>
      <c r="C77" s="1">
        <v>6925</v>
      </c>
      <c r="D77" s="1">
        <v>146</v>
      </c>
      <c r="E77">
        <v>99</v>
      </c>
      <c r="F77" s="1">
        <v>227</v>
      </c>
      <c r="G77" s="1">
        <v>44</v>
      </c>
      <c r="H77" s="5">
        <v>40</v>
      </c>
      <c r="I77">
        <v>19</v>
      </c>
      <c r="J77">
        <v>79</v>
      </c>
      <c r="K77">
        <v>12</v>
      </c>
      <c r="L77">
        <v>153</v>
      </c>
      <c r="M77">
        <v>102</v>
      </c>
      <c r="N77">
        <v>231</v>
      </c>
      <c r="O77">
        <v>177</v>
      </c>
      <c r="P77">
        <v>51</v>
      </c>
      <c r="Q77">
        <v>27</v>
      </c>
      <c r="R77">
        <v>112</v>
      </c>
      <c r="S77">
        <v>19</v>
      </c>
      <c r="V77" s="10">
        <f t="shared" si="5"/>
        <v>2.1083032490974727</v>
      </c>
      <c r="W77" s="10">
        <f t="shared" si="5"/>
        <v>1.4296028880866425</v>
      </c>
      <c r="X77" s="10">
        <f t="shared" si="5"/>
        <v>3.2779783393501809</v>
      </c>
      <c r="Y77" s="10">
        <f t="shared" si="5"/>
        <v>0.63537906137184119</v>
      </c>
      <c r="Z77" s="10">
        <f t="shared" si="5"/>
        <v>0.57761732851985559</v>
      </c>
      <c r="AA77" s="10">
        <f t="shared" si="5"/>
        <v>0.27436823104693142</v>
      </c>
      <c r="AB77" s="10">
        <f t="shared" si="5"/>
        <v>1.1407942238267148</v>
      </c>
      <c r="AC77" s="10">
        <f t="shared" si="5"/>
        <v>0.17328519855595667</v>
      </c>
      <c r="AD77" s="10">
        <f t="shared" si="5"/>
        <v>2.2093862815884475</v>
      </c>
      <c r="AE77" s="10">
        <f t="shared" si="5"/>
        <v>1.4729241877256318</v>
      </c>
      <c r="AF77" s="10">
        <f t="shared" si="5"/>
        <v>3.335740072202166</v>
      </c>
      <c r="AG77" s="10">
        <f t="shared" si="5"/>
        <v>2.5559566787003609</v>
      </c>
      <c r="AH77" s="10">
        <f t="shared" si="5"/>
        <v>0.73646209386281591</v>
      </c>
      <c r="AI77" s="10">
        <f t="shared" si="5"/>
        <v>0.38989169675090252</v>
      </c>
      <c r="AJ77" s="10">
        <f t="shared" si="5"/>
        <v>1.6173285198555956</v>
      </c>
      <c r="AK77" s="10">
        <f t="shared" si="1"/>
        <v>0.27436823104693142</v>
      </c>
    </row>
    <row r="78" spans="1:37" x14ac:dyDescent="0.25">
      <c r="A78" s="17" t="s">
        <v>67</v>
      </c>
      <c r="B78" t="s">
        <v>52</v>
      </c>
      <c r="C78" s="1">
        <v>6869</v>
      </c>
      <c r="D78" s="1">
        <v>86</v>
      </c>
      <c r="E78">
        <v>51</v>
      </c>
      <c r="F78" s="1">
        <v>141</v>
      </c>
      <c r="G78" s="1">
        <v>18</v>
      </c>
      <c r="H78" s="5">
        <v>7</v>
      </c>
      <c r="I78">
        <v>2</v>
      </c>
      <c r="J78">
        <v>15</v>
      </c>
      <c r="K78">
        <v>2</v>
      </c>
      <c r="L78">
        <v>87</v>
      </c>
      <c r="M78">
        <v>53</v>
      </c>
      <c r="N78">
        <v>144</v>
      </c>
      <c r="O78">
        <v>94</v>
      </c>
      <c r="P78">
        <v>7</v>
      </c>
      <c r="Q78">
        <v>2</v>
      </c>
      <c r="R78">
        <v>15</v>
      </c>
      <c r="S78">
        <v>2</v>
      </c>
      <c r="V78" s="11">
        <f t="shared" si="5"/>
        <v>1.2520017469791818</v>
      </c>
      <c r="W78" s="11">
        <f t="shared" si="5"/>
        <v>0.742466152278352</v>
      </c>
      <c r="X78" s="11">
        <f t="shared" si="5"/>
        <v>2.0527005386519144</v>
      </c>
      <c r="Y78" s="11">
        <f t="shared" si="5"/>
        <v>0.26204687727471249</v>
      </c>
      <c r="Z78" s="11">
        <f t="shared" si="5"/>
        <v>0.10190711894016596</v>
      </c>
      <c r="AA78" s="11">
        <f t="shared" si="5"/>
        <v>2.9116319697190276E-2</v>
      </c>
      <c r="AB78" s="11">
        <f t="shared" si="5"/>
        <v>0.21837239772892705</v>
      </c>
      <c r="AC78" s="11">
        <f t="shared" si="5"/>
        <v>2.9116319697190276E-2</v>
      </c>
      <c r="AD78" s="11">
        <f t="shared" si="5"/>
        <v>1.2665599068277771</v>
      </c>
      <c r="AE78" s="11">
        <f t="shared" si="5"/>
        <v>0.77158247197554231</v>
      </c>
      <c r="AF78" s="11">
        <f t="shared" si="5"/>
        <v>2.0963750181976999</v>
      </c>
      <c r="AG78" s="11">
        <f t="shared" si="5"/>
        <v>1.368467025767943</v>
      </c>
      <c r="AH78" s="11">
        <f t="shared" si="5"/>
        <v>0.10190711894016596</v>
      </c>
      <c r="AI78" s="11">
        <f t="shared" si="5"/>
        <v>2.9116319697190276E-2</v>
      </c>
      <c r="AJ78" s="11">
        <f t="shared" si="5"/>
        <v>0.21837239772892705</v>
      </c>
      <c r="AK78" s="11">
        <f t="shared" si="1"/>
        <v>2.9116319697190276E-2</v>
      </c>
    </row>
    <row r="79" spans="1:37" x14ac:dyDescent="0.25">
      <c r="A79" s="17"/>
      <c r="B79" t="s">
        <v>53</v>
      </c>
      <c r="C79" s="1">
        <v>7027</v>
      </c>
      <c r="D79" s="1">
        <v>119</v>
      </c>
      <c r="E79">
        <v>34</v>
      </c>
      <c r="F79" s="1">
        <v>101</v>
      </c>
      <c r="G79" s="1">
        <v>13</v>
      </c>
      <c r="H79" s="5">
        <v>20</v>
      </c>
      <c r="I79">
        <v>9</v>
      </c>
      <c r="J79">
        <v>42</v>
      </c>
      <c r="K79">
        <v>6</v>
      </c>
      <c r="L79">
        <v>120</v>
      </c>
      <c r="M79">
        <v>34</v>
      </c>
      <c r="N79">
        <v>102</v>
      </c>
      <c r="O79">
        <v>125</v>
      </c>
      <c r="P79">
        <v>23</v>
      </c>
      <c r="Q79">
        <v>13</v>
      </c>
      <c r="R79">
        <v>51</v>
      </c>
      <c r="S79">
        <v>9</v>
      </c>
      <c r="V79" s="11">
        <f t="shared" si="5"/>
        <v>1.6934680518001992</v>
      </c>
      <c r="W79" s="11">
        <f t="shared" si="5"/>
        <v>0.4838480148000569</v>
      </c>
      <c r="X79" s="11">
        <f t="shared" si="5"/>
        <v>1.4373132204354633</v>
      </c>
      <c r="Y79" s="11">
        <f t="shared" si="5"/>
        <v>0.18500071154119824</v>
      </c>
      <c r="Z79" s="11">
        <f t="shared" si="5"/>
        <v>0.28461647929415113</v>
      </c>
      <c r="AA79" s="11">
        <f t="shared" si="5"/>
        <v>0.128077415682368</v>
      </c>
      <c r="AB79" s="11">
        <f t="shared" si="5"/>
        <v>0.59769460651771744</v>
      </c>
      <c r="AC79" s="11">
        <f t="shared" si="5"/>
        <v>8.5384943788245349E-2</v>
      </c>
      <c r="AD79" s="11">
        <f t="shared" si="5"/>
        <v>1.7076988757649065</v>
      </c>
      <c r="AE79" s="11">
        <f t="shared" si="5"/>
        <v>0.4838480148000569</v>
      </c>
      <c r="AF79" s="11">
        <f t="shared" si="5"/>
        <v>1.4515440444001708</v>
      </c>
      <c r="AG79" s="11">
        <f t="shared" si="5"/>
        <v>1.7788529955884445</v>
      </c>
      <c r="AH79" s="11">
        <f t="shared" si="5"/>
        <v>0.3273089511882738</v>
      </c>
      <c r="AI79" s="11">
        <f t="shared" si="5"/>
        <v>0.18500071154119824</v>
      </c>
      <c r="AJ79" s="11">
        <f t="shared" si="5"/>
        <v>0.72577202220008541</v>
      </c>
      <c r="AK79" s="11">
        <f t="shared" si="1"/>
        <v>0.128077415682368</v>
      </c>
    </row>
    <row r="80" spans="1:37" x14ac:dyDescent="0.25">
      <c r="A80" s="17"/>
      <c r="B80" t="s">
        <v>54</v>
      </c>
      <c r="C80" s="1">
        <v>7091</v>
      </c>
      <c r="D80" s="1">
        <v>90</v>
      </c>
      <c r="E80">
        <v>110</v>
      </c>
      <c r="F80" s="1">
        <v>249</v>
      </c>
      <c r="G80" s="1">
        <v>37</v>
      </c>
      <c r="H80" s="5">
        <v>24</v>
      </c>
      <c r="I80">
        <v>18</v>
      </c>
      <c r="J80">
        <v>80</v>
      </c>
      <c r="K80">
        <v>10</v>
      </c>
      <c r="L80">
        <v>94</v>
      </c>
      <c r="M80">
        <v>115</v>
      </c>
      <c r="N80">
        <v>255</v>
      </c>
      <c r="O80">
        <v>106</v>
      </c>
      <c r="P80">
        <v>32</v>
      </c>
      <c r="Q80">
        <v>25</v>
      </c>
      <c r="R80">
        <v>98</v>
      </c>
      <c r="S80">
        <v>15</v>
      </c>
      <c r="V80" s="11">
        <f t="shared" si="5"/>
        <v>1.2692144972500352</v>
      </c>
      <c r="W80" s="11">
        <f t="shared" si="5"/>
        <v>1.5512621633055987</v>
      </c>
      <c r="X80" s="11">
        <f t="shared" si="5"/>
        <v>3.5114934423917643</v>
      </c>
      <c r="Y80" s="11">
        <f t="shared" si="5"/>
        <v>0.52178818220279233</v>
      </c>
      <c r="Z80" s="11">
        <f t="shared" si="5"/>
        <v>0.33845719926667606</v>
      </c>
      <c r="AA80" s="11">
        <f t="shared" si="5"/>
        <v>0.25384289945000704</v>
      </c>
      <c r="AB80" s="11">
        <f t="shared" si="5"/>
        <v>1.1281906642222534</v>
      </c>
      <c r="AC80" s="11">
        <f t="shared" si="5"/>
        <v>0.14102383302778168</v>
      </c>
      <c r="AD80" s="11">
        <f t="shared" si="5"/>
        <v>1.325624030461148</v>
      </c>
      <c r="AE80" s="11">
        <f t="shared" si="5"/>
        <v>1.6217740798194893</v>
      </c>
      <c r="AF80" s="11">
        <f t="shared" si="5"/>
        <v>3.5961077422084333</v>
      </c>
      <c r="AG80" s="11">
        <f t="shared" si="5"/>
        <v>1.494852630094486</v>
      </c>
      <c r="AH80" s="11">
        <f t="shared" si="5"/>
        <v>0.45127626568890145</v>
      </c>
      <c r="AI80" s="11">
        <f t="shared" si="5"/>
        <v>0.35255958256945424</v>
      </c>
      <c r="AJ80" s="11">
        <f t="shared" si="5"/>
        <v>1.3820335636722607</v>
      </c>
      <c r="AK80" s="11">
        <f t="shared" si="1"/>
        <v>0.21153574954167254</v>
      </c>
    </row>
    <row r="81" spans="1:37" x14ac:dyDescent="0.25">
      <c r="A81" s="17"/>
      <c r="B81" t="s">
        <v>55</v>
      </c>
      <c r="C81" s="1">
        <v>5852</v>
      </c>
      <c r="D81" s="1">
        <v>89</v>
      </c>
      <c r="E81">
        <v>100</v>
      </c>
      <c r="F81" s="1">
        <v>147</v>
      </c>
      <c r="G81" s="1">
        <v>29</v>
      </c>
      <c r="H81" s="5">
        <v>13</v>
      </c>
      <c r="I81">
        <v>14</v>
      </c>
      <c r="J81">
        <v>39</v>
      </c>
      <c r="K81">
        <v>6</v>
      </c>
      <c r="L81">
        <v>92</v>
      </c>
      <c r="M81">
        <v>104</v>
      </c>
      <c r="N81">
        <v>148</v>
      </c>
      <c r="O81">
        <v>100</v>
      </c>
      <c r="P81">
        <v>18</v>
      </c>
      <c r="Q81">
        <v>15</v>
      </c>
      <c r="R81">
        <v>45</v>
      </c>
      <c r="S81">
        <v>7</v>
      </c>
      <c r="V81" s="11">
        <f t="shared" si="5"/>
        <v>1.5208475734791524</v>
      </c>
      <c r="W81" s="11">
        <f t="shared" si="5"/>
        <v>1.7088174982911826</v>
      </c>
      <c r="X81" s="11">
        <f t="shared" si="5"/>
        <v>2.5119617224880382</v>
      </c>
      <c r="Y81" s="11">
        <f t="shared" si="5"/>
        <v>0.49555707450444292</v>
      </c>
      <c r="Z81" s="11">
        <f t="shared" si="5"/>
        <v>0.22214627477785376</v>
      </c>
      <c r="AA81" s="11">
        <f t="shared" si="5"/>
        <v>0.23923444976076555</v>
      </c>
      <c r="AB81" s="11">
        <f t="shared" si="5"/>
        <v>0.66643882433356116</v>
      </c>
      <c r="AC81" s="11">
        <f t="shared" si="5"/>
        <v>0.10252904989747096</v>
      </c>
      <c r="AD81" s="11">
        <f t="shared" si="5"/>
        <v>1.5721120984278878</v>
      </c>
      <c r="AE81" s="11">
        <f t="shared" si="5"/>
        <v>1.7771701982228301</v>
      </c>
      <c r="AF81" s="11">
        <f t="shared" si="5"/>
        <v>2.5290498974709501</v>
      </c>
      <c r="AG81" s="11">
        <f t="shared" si="5"/>
        <v>1.7088174982911826</v>
      </c>
      <c r="AH81" s="11">
        <f t="shared" si="5"/>
        <v>0.30758714969241285</v>
      </c>
      <c r="AI81" s="11">
        <f t="shared" si="5"/>
        <v>0.2563226247436774</v>
      </c>
      <c r="AJ81" s="11">
        <f t="shared" si="5"/>
        <v>0.76896787423103208</v>
      </c>
      <c r="AK81" s="11">
        <f t="shared" si="1"/>
        <v>0.11961722488038277</v>
      </c>
    </row>
    <row r="82" spans="1:37" x14ac:dyDescent="0.25">
      <c r="A82" s="17"/>
      <c r="B82" t="s">
        <v>56</v>
      </c>
      <c r="C82" s="1">
        <v>5974</v>
      </c>
      <c r="D82" s="1">
        <v>58</v>
      </c>
      <c r="E82">
        <v>58</v>
      </c>
      <c r="F82" s="1">
        <v>159</v>
      </c>
      <c r="G82" s="1">
        <v>18</v>
      </c>
      <c r="H82" s="5">
        <v>10</v>
      </c>
      <c r="I82">
        <v>4</v>
      </c>
      <c r="J82">
        <v>38</v>
      </c>
      <c r="K82">
        <v>3</v>
      </c>
      <c r="L82">
        <v>63</v>
      </c>
      <c r="M82">
        <v>61</v>
      </c>
      <c r="N82">
        <v>160</v>
      </c>
      <c r="O82">
        <v>69</v>
      </c>
      <c r="P82">
        <v>14</v>
      </c>
      <c r="Q82">
        <v>5</v>
      </c>
      <c r="R82">
        <v>43</v>
      </c>
      <c r="S82">
        <v>3</v>
      </c>
      <c r="V82" s="11">
        <f t="shared" si="5"/>
        <v>0.97087378640776689</v>
      </c>
      <c r="W82" s="11">
        <f t="shared" si="5"/>
        <v>0.97087378640776689</v>
      </c>
      <c r="X82" s="11">
        <f t="shared" si="5"/>
        <v>2.6615333110143959</v>
      </c>
      <c r="Y82" s="11">
        <f t="shared" si="5"/>
        <v>0.3013056578506863</v>
      </c>
      <c r="Z82" s="11">
        <f t="shared" si="5"/>
        <v>0.16739203213927017</v>
      </c>
      <c r="AA82" s="11">
        <f t="shared" si="5"/>
        <v>6.6956812855708078E-2</v>
      </c>
      <c r="AB82" s="11">
        <f t="shared" si="5"/>
        <v>0.63608972212922665</v>
      </c>
      <c r="AC82" s="11">
        <f t="shared" si="5"/>
        <v>5.0217609641781048E-2</v>
      </c>
      <c r="AD82" s="11">
        <f t="shared" si="5"/>
        <v>1.054569802477402</v>
      </c>
      <c r="AE82" s="11">
        <f t="shared" si="5"/>
        <v>1.021091396049548</v>
      </c>
      <c r="AF82" s="11">
        <f t="shared" si="5"/>
        <v>2.6782725142283228</v>
      </c>
      <c r="AG82" s="11">
        <f t="shared" si="5"/>
        <v>1.1550050217609642</v>
      </c>
      <c r="AH82" s="11">
        <f t="shared" si="5"/>
        <v>0.23434884499497821</v>
      </c>
      <c r="AI82" s="11">
        <f t="shared" si="5"/>
        <v>8.3696016069635087E-2</v>
      </c>
      <c r="AJ82" s="11">
        <f t="shared" si="5"/>
        <v>0.71978573819886171</v>
      </c>
      <c r="AK82" s="11">
        <f t="shared" si="5"/>
        <v>5.0217609641781048E-2</v>
      </c>
    </row>
    <row r="83" spans="1:37" x14ac:dyDescent="0.25">
      <c r="A83" s="17"/>
      <c r="B83" t="s">
        <v>57</v>
      </c>
      <c r="C83" s="1">
        <v>7674</v>
      </c>
      <c r="D83" s="1">
        <v>94</v>
      </c>
      <c r="E83">
        <v>114</v>
      </c>
      <c r="F83" s="1">
        <v>198</v>
      </c>
      <c r="G83" s="1">
        <v>39</v>
      </c>
      <c r="H83" s="5">
        <v>16</v>
      </c>
      <c r="I83">
        <v>16</v>
      </c>
      <c r="J83">
        <v>41</v>
      </c>
      <c r="K83">
        <v>3</v>
      </c>
      <c r="L83">
        <v>94</v>
      </c>
      <c r="M83">
        <v>114</v>
      </c>
      <c r="N83">
        <v>198</v>
      </c>
      <c r="O83">
        <v>114</v>
      </c>
      <c r="P83">
        <v>19</v>
      </c>
      <c r="Q83">
        <v>20</v>
      </c>
      <c r="R83">
        <v>46</v>
      </c>
      <c r="S83">
        <v>4</v>
      </c>
      <c r="V83" s="11">
        <f t="shared" si="5"/>
        <v>1.2249152984102163</v>
      </c>
      <c r="W83" s="11">
        <f t="shared" si="5"/>
        <v>1.4855355746677092</v>
      </c>
      <c r="X83" s="11">
        <f t="shared" si="5"/>
        <v>2.5801407349491789</v>
      </c>
      <c r="Y83" s="11">
        <f t="shared" si="5"/>
        <v>0.50820953870211105</v>
      </c>
      <c r="Z83" s="11">
        <f t="shared" si="5"/>
        <v>0.20849622100599427</v>
      </c>
      <c r="AA83" s="11">
        <f t="shared" si="5"/>
        <v>0.20849622100599427</v>
      </c>
      <c r="AB83" s="11">
        <f t="shared" si="5"/>
        <v>0.53427156632786021</v>
      </c>
      <c r="AC83" s="11">
        <f t="shared" si="5"/>
        <v>3.9093041438623924E-2</v>
      </c>
      <c r="AD83" s="11">
        <f t="shared" si="5"/>
        <v>1.2249152984102163</v>
      </c>
      <c r="AE83" s="11">
        <f t="shared" si="5"/>
        <v>1.4855355746677092</v>
      </c>
      <c r="AF83" s="11">
        <f t="shared" si="5"/>
        <v>2.5801407349491789</v>
      </c>
      <c r="AG83" s="11">
        <f t="shared" si="5"/>
        <v>1.4855355746677092</v>
      </c>
      <c r="AH83" s="11">
        <f t="shared" si="5"/>
        <v>0.24758926244461818</v>
      </c>
      <c r="AI83" s="11">
        <f t="shared" si="5"/>
        <v>0.26062027625749284</v>
      </c>
      <c r="AJ83" s="11">
        <f t="shared" si="5"/>
        <v>0.59942663539223351</v>
      </c>
      <c r="AK83" s="11">
        <f t="shared" si="5"/>
        <v>5.2124055251498567E-2</v>
      </c>
    </row>
    <row r="84" spans="1:37" x14ac:dyDescent="0.25">
      <c r="A84" s="17"/>
      <c r="B84" t="s">
        <v>58</v>
      </c>
      <c r="C84" s="1">
        <v>7324</v>
      </c>
      <c r="D84" s="1">
        <v>80</v>
      </c>
      <c r="E84">
        <v>62</v>
      </c>
      <c r="F84" s="1">
        <v>284</v>
      </c>
      <c r="G84" s="1">
        <v>35</v>
      </c>
      <c r="H84" s="5">
        <v>14</v>
      </c>
      <c r="I84">
        <v>5</v>
      </c>
      <c r="J84">
        <v>71</v>
      </c>
      <c r="K84">
        <v>5</v>
      </c>
      <c r="L84">
        <v>82</v>
      </c>
      <c r="M84">
        <v>63</v>
      </c>
      <c r="N84">
        <v>285</v>
      </c>
      <c r="O84">
        <v>100</v>
      </c>
      <c r="P84">
        <v>17</v>
      </c>
      <c r="Q84">
        <v>5</v>
      </c>
      <c r="R84">
        <v>83</v>
      </c>
      <c r="S84">
        <v>5</v>
      </c>
      <c r="V84" s="11">
        <f t="shared" si="5"/>
        <v>1.0922992900054616</v>
      </c>
      <c r="W84" s="11">
        <f t="shared" si="5"/>
        <v>0.84653194975423274</v>
      </c>
      <c r="X84" s="11">
        <f t="shared" si="5"/>
        <v>3.8776624795193886</v>
      </c>
      <c r="Y84" s="11">
        <f t="shared" si="5"/>
        <v>0.4778809393773894</v>
      </c>
      <c r="Z84" s="11">
        <f t="shared" si="5"/>
        <v>0.19115237575095578</v>
      </c>
      <c r="AA84" s="11">
        <f t="shared" si="5"/>
        <v>6.8268705625341347E-2</v>
      </c>
      <c r="AB84" s="11">
        <f t="shared" si="5"/>
        <v>0.96941561987984715</v>
      </c>
      <c r="AC84" s="11">
        <f t="shared" si="5"/>
        <v>6.8268705625341347E-2</v>
      </c>
      <c r="AD84" s="11">
        <f t="shared" si="5"/>
        <v>1.119606772255598</v>
      </c>
      <c r="AE84" s="11">
        <f t="shared" si="5"/>
        <v>0.86018569087930097</v>
      </c>
      <c r="AF84" s="11">
        <f t="shared" si="5"/>
        <v>3.8913162206444563</v>
      </c>
      <c r="AG84" s="11">
        <f t="shared" si="5"/>
        <v>1.3653741125068268</v>
      </c>
      <c r="AH84" s="11">
        <f t="shared" si="5"/>
        <v>0.23211359912616056</v>
      </c>
      <c r="AI84" s="11">
        <f t="shared" si="5"/>
        <v>6.8268705625341347E-2</v>
      </c>
      <c r="AJ84" s="11">
        <f t="shared" si="5"/>
        <v>1.1332605133806664</v>
      </c>
      <c r="AK84" s="11">
        <f t="shared" si="5"/>
        <v>6.8268705625341347E-2</v>
      </c>
    </row>
    <row r="85" spans="1:37" x14ac:dyDescent="0.25">
      <c r="A85" s="17"/>
      <c r="B85" t="s">
        <v>59</v>
      </c>
      <c r="C85" s="1">
        <v>6925</v>
      </c>
      <c r="D85" s="1">
        <v>146</v>
      </c>
      <c r="E85">
        <v>99</v>
      </c>
      <c r="F85" s="1">
        <v>227</v>
      </c>
      <c r="G85" s="1">
        <v>44</v>
      </c>
      <c r="H85" s="5">
        <v>40</v>
      </c>
      <c r="I85">
        <v>19</v>
      </c>
      <c r="J85">
        <v>79</v>
      </c>
      <c r="K85">
        <v>12</v>
      </c>
      <c r="L85">
        <v>153</v>
      </c>
      <c r="M85">
        <v>102</v>
      </c>
      <c r="N85">
        <v>231</v>
      </c>
      <c r="O85">
        <v>177</v>
      </c>
      <c r="P85">
        <v>51</v>
      </c>
      <c r="Q85">
        <v>27</v>
      </c>
      <c r="R85">
        <v>112</v>
      </c>
      <c r="S85">
        <v>19</v>
      </c>
      <c r="V85" s="11">
        <f t="shared" si="5"/>
        <v>2.1083032490974727</v>
      </c>
      <c r="W85" s="11">
        <f t="shared" si="5"/>
        <v>1.4296028880866425</v>
      </c>
      <c r="X85" s="11">
        <f t="shared" si="5"/>
        <v>3.2779783393501809</v>
      </c>
      <c r="Y85" s="11">
        <f t="shared" si="5"/>
        <v>0.63537906137184119</v>
      </c>
      <c r="Z85" s="11">
        <f t="shared" si="5"/>
        <v>0.57761732851985559</v>
      </c>
      <c r="AA85" s="11">
        <f t="shared" si="5"/>
        <v>0.27436823104693142</v>
      </c>
      <c r="AB85" s="11">
        <f t="shared" si="5"/>
        <v>1.1407942238267148</v>
      </c>
      <c r="AC85" s="11">
        <f t="shared" si="5"/>
        <v>0.17328519855595667</v>
      </c>
      <c r="AD85" s="11">
        <f t="shared" si="5"/>
        <v>2.2093862815884475</v>
      </c>
      <c r="AE85" s="11">
        <f t="shared" si="5"/>
        <v>1.4729241877256318</v>
      </c>
      <c r="AF85" s="11">
        <f t="shared" si="5"/>
        <v>3.335740072202166</v>
      </c>
      <c r="AG85" s="11">
        <f t="shared" si="5"/>
        <v>2.5559566787003609</v>
      </c>
      <c r="AH85" s="11">
        <f t="shared" si="5"/>
        <v>0.73646209386281591</v>
      </c>
      <c r="AI85" s="11">
        <f t="shared" si="5"/>
        <v>0.38989169675090252</v>
      </c>
      <c r="AJ85" s="11">
        <f t="shared" si="5"/>
        <v>1.6173285198555956</v>
      </c>
      <c r="AK85" s="11">
        <f t="shared" si="5"/>
        <v>0.27436823104693142</v>
      </c>
    </row>
    <row r="87" spans="1:37" x14ac:dyDescent="0.25">
      <c r="B87" s="2" t="s">
        <v>2</v>
      </c>
      <c r="C87" s="3">
        <f>AVERAGE(C3:C11)*100</f>
        <v>465277.77777777775</v>
      </c>
      <c r="D87" s="3">
        <f t="shared" ref="D87" si="6">AVERAGE(D3:D11)*100</f>
        <v>10711.111111111111</v>
      </c>
      <c r="E87" s="4"/>
      <c r="F87" s="3">
        <f>AVERAGE(F3:F11)*100</f>
        <v>13144.444444444445</v>
      </c>
      <c r="G87" s="3">
        <f t="shared" ref="G87" si="7">AVERAGE(G3:G11)*100</f>
        <v>3144.4444444444443</v>
      </c>
      <c r="H87" s="3"/>
      <c r="I87" s="4"/>
      <c r="V87" s="3">
        <f t="shared" ref="V87:AC87" si="8">AVERAGE(V3:V11)</f>
        <v>2.2805862107829231</v>
      </c>
      <c r="W87" s="3">
        <f t="shared" si="8"/>
        <v>1.4819957755947479</v>
      </c>
      <c r="X87" s="3">
        <f t="shared" si="8"/>
        <v>2.8210976577722149</v>
      </c>
      <c r="Y87" s="3">
        <f t="shared" si="8"/>
        <v>0.68584007460267815</v>
      </c>
      <c r="Z87" s="3">
        <f t="shared" si="8"/>
        <v>0.32467727265298535</v>
      </c>
      <c r="AA87" s="3">
        <f t="shared" si="8"/>
        <v>0.21390264729962694</v>
      </c>
      <c r="AB87" s="3">
        <f t="shared" si="8"/>
        <v>0.56472679503211731</v>
      </c>
      <c r="AC87" s="3">
        <f t="shared" si="8"/>
        <v>8.2660730319913778E-2</v>
      </c>
      <c r="AD87" s="3">
        <f t="shared" ref="AD87:AK87" si="9">AVERAGE(AD3:AD11)</f>
        <v>2.3415182048735033</v>
      </c>
      <c r="AE87" s="3">
        <f t="shared" si="9"/>
        <v>1.5264744462672732</v>
      </c>
      <c r="AF87" s="3">
        <f t="shared" si="9"/>
        <v>2.8440637283444521</v>
      </c>
      <c r="AG87" s="3">
        <f t="shared" si="9"/>
        <v>2.6328503268416878</v>
      </c>
      <c r="AH87" s="3">
        <f t="shared" si="9"/>
        <v>0.3671089853943223</v>
      </c>
      <c r="AI87" s="3">
        <f t="shared" si="9"/>
        <v>0.25594682444924521</v>
      </c>
      <c r="AJ87" s="3">
        <f t="shared" si="9"/>
        <v>0.67008906746185815</v>
      </c>
      <c r="AK87" s="3">
        <f t="shared" si="9"/>
        <v>0.10677206223095453</v>
      </c>
    </row>
    <row r="88" spans="1:37" x14ac:dyDescent="0.25">
      <c r="B88" s="2" t="s">
        <v>3</v>
      </c>
      <c r="C88" s="3">
        <f>AVERAGE(C12:C20)*100</f>
        <v>618333.33333333326</v>
      </c>
      <c r="D88" s="3">
        <f t="shared" ref="D88" si="10">AVERAGE(D12:D20)*100</f>
        <v>13300</v>
      </c>
      <c r="E88" s="4"/>
      <c r="F88" s="3">
        <f>AVERAGE(F12:F20)*100</f>
        <v>19177.777777777777</v>
      </c>
      <c r="G88" s="3">
        <f t="shared" ref="G88" si="11">AVERAGE(G12:G20)*100</f>
        <v>3988.8888888888887</v>
      </c>
      <c r="H88" s="3"/>
      <c r="I88" s="4"/>
      <c r="J88" s="2"/>
      <c r="K88" s="5"/>
      <c r="L88" s="5"/>
      <c r="V88" s="3">
        <f t="shared" ref="V88:AC88" si="12">AVERAGE(V12:V20)</f>
        <v>2.1802946473637244</v>
      </c>
      <c r="W88" s="3">
        <f t="shared" si="12"/>
        <v>1.3304527517753639</v>
      </c>
      <c r="X88" s="3">
        <f t="shared" si="12"/>
        <v>3.1634571274875798</v>
      </c>
      <c r="Y88" s="3">
        <f t="shared" si="12"/>
        <v>0.66887600126257496</v>
      </c>
      <c r="Z88" s="3">
        <f t="shared" si="12"/>
        <v>0.24441444401199197</v>
      </c>
      <c r="AA88" s="3">
        <f t="shared" si="12"/>
        <v>0.13488911077107238</v>
      </c>
      <c r="AB88" s="3">
        <f t="shared" si="12"/>
        <v>0.51593305552421487</v>
      </c>
      <c r="AC88" s="3">
        <f t="shared" si="12"/>
        <v>7.0128254818333277E-2</v>
      </c>
      <c r="AD88" s="3">
        <f t="shared" ref="AD88:AK88" si="13">AVERAGE(AD12:AD20)</f>
        <v>2.2541257887983712</v>
      </c>
      <c r="AE88" s="3">
        <f t="shared" si="13"/>
        <v>1.3683642741497524</v>
      </c>
      <c r="AF88" s="3">
        <f t="shared" si="13"/>
        <v>3.1854061321751672</v>
      </c>
      <c r="AG88" s="3">
        <f t="shared" si="13"/>
        <v>2.5342864431571552</v>
      </c>
      <c r="AH88" s="3">
        <f t="shared" si="13"/>
        <v>0.26725081822659247</v>
      </c>
      <c r="AI88" s="3">
        <f t="shared" si="13"/>
        <v>0.14659823433212671</v>
      </c>
      <c r="AJ88" s="3">
        <f t="shared" si="13"/>
        <v>0.61418578064382823</v>
      </c>
      <c r="AK88" s="3">
        <f t="shared" si="13"/>
        <v>7.7812347669593981E-2</v>
      </c>
    </row>
    <row r="89" spans="1:37" x14ac:dyDescent="0.25">
      <c r="B89" s="2" t="s">
        <v>8</v>
      </c>
      <c r="C89" s="3">
        <f>AVERAGE(C21:C29)*100</f>
        <v>618333.33333333326</v>
      </c>
      <c r="D89" s="3">
        <f t="shared" ref="D89" si="14">AVERAGE(D21:D29)*100</f>
        <v>13300</v>
      </c>
      <c r="E89" s="4"/>
      <c r="F89" s="3">
        <f>AVERAGE(F21:F29)*100</f>
        <v>19177.777777777777</v>
      </c>
      <c r="G89" s="3">
        <f t="shared" ref="G89" si="15">AVERAGE(G21:G29)*100</f>
        <v>3988.8888888888887</v>
      </c>
      <c r="H89" s="3"/>
      <c r="I89" s="4"/>
      <c r="J89" s="2"/>
      <c r="K89" s="5"/>
      <c r="L89" s="5"/>
      <c r="V89" s="3">
        <f t="shared" ref="V89:AC89" si="16">AVERAGE(V21:V29)</f>
        <v>2.1802946473637244</v>
      </c>
      <c r="W89" s="3">
        <f t="shared" si="16"/>
        <v>1.3304527517753639</v>
      </c>
      <c r="X89" s="3">
        <f t="shared" si="16"/>
        <v>3.1634571274875798</v>
      </c>
      <c r="Y89" s="3">
        <f t="shared" si="16"/>
        <v>0.66887600126257496</v>
      </c>
      <c r="Z89" s="3">
        <f t="shared" si="16"/>
        <v>0.24441444401199197</v>
      </c>
      <c r="AA89" s="3">
        <f t="shared" si="16"/>
        <v>0.13488911077107238</v>
      </c>
      <c r="AB89" s="3">
        <f t="shared" si="16"/>
        <v>0.51593305552421487</v>
      </c>
      <c r="AC89" s="3">
        <f t="shared" si="16"/>
        <v>7.0128254818333277E-2</v>
      </c>
      <c r="AD89" s="3">
        <f t="shared" ref="AD89:AK89" si="17">AVERAGE(AD21:AD29)</f>
        <v>2.2541257887983712</v>
      </c>
      <c r="AE89" s="3">
        <f t="shared" si="17"/>
        <v>1.3683642741497524</v>
      </c>
      <c r="AF89" s="3">
        <f t="shared" si="17"/>
        <v>3.1854061321751672</v>
      </c>
      <c r="AG89" s="3">
        <f t="shared" si="17"/>
        <v>2.5342864431571552</v>
      </c>
      <c r="AH89" s="3">
        <f t="shared" si="17"/>
        <v>0.26725081822659247</v>
      </c>
      <c r="AI89" s="3">
        <f t="shared" si="17"/>
        <v>0.14659823433212671</v>
      </c>
      <c r="AJ89" s="3">
        <f t="shared" si="17"/>
        <v>0.61418578064382823</v>
      </c>
      <c r="AK89" s="3">
        <f t="shared" si="17"/>
        <v>7.7812347669593981E-2</v>
      </c>
    </row>
    <row r="90" spans="1:37" x14ac:dyDescent="0.25">
      <c r="B90" s="2" t="s">
        <v>0</v>
      </c>
      <c r="C90" s="3">
        <f>AVERAGE(C30:C40)*100</f>
        <v>579745.45454545447</v>
      </c>
      <c r="D90" s="3">
        <f t="shared" ref="D90" si="18">AVERAGE(D30:D40)*100</f>
        <v>9754.545454545454</v>
      </c>
      <c r="E90" s="4"/>
      <c r="F90" s="3">
        <f>AVERAGE(F30:F40)*100</f>
        <v>16800</v>
      </c>
      <c r="G90" s="3">
        <f t="shared" ref="G90" si="19">AVERAGE(G30:G40)*100</f>
        <v>3118.1818181818185</v>
      </c>
      <c r="H90" s="3"/>
      <c r="I90" s="4"/>
      <c r="J90" s="4"/>
      <c r="K90" s="4"/>
      <c r="V90" s="3">
        <f t="shared" ref="V90:AC90" si="20">AVERAGE(V30:V40)</f>
        <v>1.6886502702610755</v>
      </c>
      <c r="W90" s="3">
        <f t="shared" si="20"/>
        <v>1.4918211050337187</v>
      </c>
      <c r="X90" s="3">
        <f t="shared" si="20"/>
        <v>2.8108569337032496</v>
      </c>
      <c r="Y90" s="3">
        <f t="shared" si="20"/>
        <v>0.51522354731539677</v>
      </c>
      <c r="Z90" s="3">
        <f t="shared" si="20"/>
        <v>0.20097480535257786</v>
      </c>
      <c r="AA90" s="3">
        <f t="shared" si="20"/>
        <v>0.16355762024137421</v>
      </c>
      <c r="AB90" s="3">
        <f t="shared" si="20"/>
        <v>0.59782996941603439</v>
      </c>
      <c r="AC90" s="3">
        <f t="shared" si="20"/>
        <v>4.7174995049160208E-2</v>
      </c>
      <c r="AD90" s="3">
        <f t="shared" ref="AD90:AK90" si="21">AVERAGE(AD30:AD40)</f>
        <v>1.7406730320782666</v>
      </c>
      <c r="AE90" s="3">
        <f t="shared" si="21"/>
        <v>1.541353742976707</v>
      </c>
      <c r="AF90" s="3">
        <f t="shared" si="21"/>
        <v>2.8422650832570646</v>
      </c>
      <c r="AG90" s="3">
        <f t="shared" si="21"/>
        <v>1.9533513422951636</v>
      </c>
      <c r="AH90" s="3">
        <f t="shared" si="21"/>
        <v>0.21929437014536102</v>
      </c>
      <c r="AI90" s="3">
        <f t="shared" si="21"/>
        <v>0.18856465804616585</v>
      </c>
      <c r="AJ90" s="3">
        <f t="shared" si="21"/>
        <v>0.68266787127325057</v>
      </c>
      <c r="AK90" s="3">
        <f t="shared" si="21"/>
        <v>5.456652055956604E-2</v>
      </c>
    </row>
    <row r="91" spans="1:37" x14ac:dyDescent="0.25">
      <c r="B91" s="2" t="s">
        <v>1</v>
      </c>
      <c r="C91" s="3">
        <f>AVERAGE(C41:C51)*100</f>
        <v>579745.45454545447</v>
      </c>
      <c r="D91" s="3">
        <f t="shared" ref="D91" si="22">AVERAGE(D41:D51)*100</f>
        <v>9754.545454545454</v>
      </c>
      <c r="E91" s="4"/>
      <c r="F91" s="3">
        <f>AVERAGE(F41:F51)*100</f>
        <v>16800</v>
      </c>
      <c r="G91" s="3">
        <f t="shared" ref="G91" si="23">AVERAGE(G41:G51)*100</f>
        <v>3118.1818181818185</v>
      </c>
      <c r="H91" s="3"/>
      <c r="I91" s="4"/>
      <c r="J91" s="4"/>
      <c r="K91" s="4"/>
      <c r="V91" s="3">
        <f t="shared" ref="V91:AC91" si="24">AVERAGE(V41:V51)</f>
        <v>1.6886502702610755</v>
      </c>
      <c r="W91" s="3">
        <f t="shared" si="24"/>
        <v>1.4918211050337187</v>
      </c>
      <c r="X91" s="3">
        <f t="shared" si="24"/>
        <v>2.8108569337032496</v>
      </c>
      <c r="Y91" s="3">
        <f t="shared" si="24"/>
        <v>0.51522354731539677</v>
      </c>
      <c r="Z91" s="3">
        <f t="shared" si="24"/>
        <v>0.20097480535257786</v>
      </c>
      <c r="AA91" s="3">
        <f t="shared" si="24"/>
        <v>0.16355762024137421</v>
      </c>
      <c r="AB91" s="3">
        <f t="shared" si="24"/>
        <v>0.59782996941603439</v>
      </c>
      <c r="AC91" s="3">
        <f t="shared" si="24"/>
        <v>4.7174995049160208E-2</v>
      </c>
      <c r="AD91" s="3">
        <f t="shared" ref="AD91:AK91" si="25">AVERAGE(AD41:AD51)</f>
        <v>1.7406730320782666</v>
      </c>
      <c r="AE91" s="3">
        <f t="shared" si="25"/>
        <v>1.541353742976707</v>
      </c>
      <c r="AF91" s="3">
        <f t="shared" si="25"/>
        <v>2.8422650832570646</v>
      </c>
      <c r="AG91" s="3">
        <f t="shared" si="25"/>
        <v>1.9533513422951636</v>
      </c>
      <c r="AH91" s="3">
        <f t="shared" si="25"/>
        <v>0.21929437014536102</v>
      </c>
      <c r="AI91" s="3">
        <f t="shared" si="25"/>
        <v>0.18856465804616585</v>
      </c>
      <c r="AJ91" s="3">
        <f t="shared" si="25"/>
        <v>0.68266787127325057</v>
      </c>
      <c r="AK91" s="3">
        <f t="shared" si="25"/>
        <v>5.456652055956604E-2</v>
      </c>
    </row>
    <row r="92" spans="1:37" x14ac:dyDescent="0.25">
      <c r="B92" s="2" t="s">
        <v>4</v>
      </c>
      <c r="C92" s="3">
        <f>AVERAGE(C52:C59)*100</f>
        <v>643900</v>
      </c>
      <c r="D92" s="3">
        <f t="shared" ref="D92" si="26">AVERAGE(D52:D59)*100</f>
        <v>7962.5</v>
      </c>
      <c r="E92" s="4"/>
      <c r="F92" s="3">
        <f>AVERAGE(F52:F59)*100</f>
        <v>15275</v>
      </c>
      <c r="G92" s="3">
        <f t="shared" ref="G92" si="27">AVERAGE(G52:G59)*100</f>
        <v>2300</v>
      </c>
      <c r="H92" s="3"/>
      <c r="I92" s="4"/>
      <c r="J92" s="4"/>
      <c r="K92" s="4"/>
      <c r="V92" s="3">
        <f t="shared" ref="V92:AC92" si="28">AVERAGE(V52:V59)</f>
        <v>1.2484032986983991</v>
      </c>
      <c r="W92" s="3">
        <f t="shared" si="28"/>
        <v>0.83964951179893565</v>
      </c>
      <c r="X92" s="3">
        <f t="shared" si="28"/>
        <v>2.3314515207535411</v>
      </c>
      <c r="Y92" s="3">
        <f t="shared" si="28"/>
        <v>0.34465890893127465</v>
      </c>
      <c r="Z92" s="3">
        <f t="shared" si="28"/>
        <v>0.20120884956600518</v>
      </c>
      <c r="AA92" s="3">
        <f t="shared" si="28"/>
        <v>0.13189571894014809</v>
      </c>
      <c r="AB92" s="3">
        <f t="shared" si="28"/>
        <v>0.59019793507754681</v>
      </c>
      <c r="AC92" s="3">
        <f t="shared" si="28"/>
        <v>6.9046305090900192E-2</v>
      </c>
      <c r="AD92" s="3">
        <f t="shared" ref="AD92:AK92" si="29">AVERAGE(AD52:AD59)</f>
        <v>1.2836778405884057</v>
      </c>
      <c r="AE92" s="3">
        <f t="shared" si="29"/>
        <v>0.84812686862188258</v>
      </c>
      <c r="AF92" s="3">
        <f t="shared" si="29"/>
        <v>2.3535198301814537</v>
      </c>
      <c r="AG92" s="3">
        <f t="shared" si="29"/>
        <v>1.4217754470341761</v>
      </c>
      <c r="AH92" s="3">
        <f t="shared" si="29"/>
        <v>0.23114700870438656</v>
      </c>
      <c r="AI92" s="3">
        <f t="shared" si="29"/>
        <v>0.1621743754125676</v>
      </c>
      <c r="AJ92" s="3">
        <f t="shared" si="29"/>
        <v>0.69531945241831894</v>
      </c>
      <c r="AK92" s="3">
        <f t="shared" si="29"/>
        <v>7.7218939526492211E-2</v>
      </c>
    </row>
    <row r="93" spans="1:37" x14ac:dyDescent="0.25">
      <c r="B93" s="2" t="s">
        <v>5</v>
      </c>
      <c r="C93" s="3">
        <f>AVERAGE(C60:C64)*100</f>
        <v>503520</v>
      </c>
      <c r="D93" s="3">
        <f t="shared" ref="D93" si="30">AVERAGE(D60:D64)*100</f>
        <v>6200</v>
      </c>
      <c r="E93" s="4"/>
      <c r="F93" s="3">
        <f>AVERAGE(F60:F64)*100</f>
        <v>9400</v>
      </c>
      <c r="G93" s="3">
        <f t="shared" ref="G93" si="31">AVERAGE(G60:G64)*100</f>
        <v>1680</v>
      </c>
      <c r="H93" s="3"/>
      <c r="I93" s="4"/>
      <c r="J93" s="4"/>
      <c r="K93" s="4"/>
      <c r="V93" s="3">
        <f t="shared" ref="V93:AC93" si="32">AVERAGE(V60:V64)</f>
        <v>1.1999953324707275</v>
      </c>
      <c r="W93" s="3">
        <f t="shared" si="32"/>
        <v>0.80316793989349977</v>
      </c>
      <c r="X93" s="3">
        <f t="shared" si="32"/>
        <v>1.7992707697162309</v>
      </c>
      <c r="Y93" s="3">
        <f t="shared" si="32"/>
        <v>0.31195820534725682</v>
      </c>
      <c r="Z93" s="3">
        <f t="shared" si="32"/>
        <v>0.12452056971868315</v>
      </c>
      <c r="AA93" s="3">
        <f t="shared" si="32"/>
        <v>9.7751662711031237E-2</v>
      </c>
      <c r="AB93" s="3">
        <f t="shared" si="32"/>
        <v>0.42519872021421667</v>
      </c>
      <c r="AC93" s="3">
        <f t="shared" si="32"/>
        <v>3.6247259411577658E-2</v>
      </c>
      <c r="AD93" s="3">
        <f t="shared" ref="AD93:AK93" si="33">AVERAGE(AD60:AD64)</f>
        <v>1.2552464786142754</v>
      </c>
      <c r="AE93" s="3">
        <f t="shared" si="33"/>
        <v>0.82022527955525315</v>
      </c>
      <c r="AF93" s="3">
        <f t="shared" si="33"/>
        <v>1.8158873985255553</v>
      </c>
      <c r="AG93" s="3">
        <f t="shared" si="33"/>
        <v>1.4256728502091329</v>
      </c>
      <c r="AH93" s="3">
        <f t="shared" si="33"/>
        <v>0.13825997892408731</v>
      </c>
      <c r="AI93" s="3">
        <f t="shared" si="33"/>
        <v>0.11017444391730984</v>
      </c>
      <c r="AJ93" s="3">
        <f t="shared" si="33"/>
        <v>0.50362864482115399</v>
      </c>
      <c r="AK93" s="3">
        <f t="shared" si="33"/>
        <v>4.5406865548513767E-2</v>
      </c>
    </row>
    <row r="94" spans="1:37" x14ac:dyDescent="0.25">
      <c r="B94" s="2" t="s">
        <v>9</v>
      </c>
      <c r="C94" s="3">
        <f>AVERAGE(C65:C69)*100</f>
        <v>503520</v>
      </c>
      <c r="D94" s="3">
        <f t="shared" ref="D94" si="34">AVERAGE(D65:D69)*100</f>
        <v>6200</v>
      </c>
      <c r="E94" s="4"/>
      <c r="F94" s="3">
        <f>AVERAGE(F65:F69)*100</f>
        <v>9400</v>
      </c>
      <c r="G94" s="3">
        <f t="shared" ref="G94" si="35">AVERAGE(G65:G69)*100</f>
        <v>1680</v>
      </c>
      <c r="H94" s="3"/>
      <c r="I94" s="4"/>
      <c r="J94" s="4"/>
      <c r="K94" s="4"/>
      <c r="V94" s="3">
        <f t="shared" ref="V94:AC94" si="36">AVERAGE(V65:V69)</f>
        <v>1.1999953324707275</v>
      </c>
      <c r="W94" s="3">
        <f t="shared" si="36"/>
        <v>0.80316793989349977</v>
      </c>
      <c r="X94" s="3">
        <f t="shared" si="36"/>
        <v>1.7992707697162309</v>
      </c>
      <c r="Y94" s="3">
        <f t="shared" si="36"/>
        <v>0.31195820534725682</v>
      </c>
      <c r="Z94" s="3">
        <f t="shared" si="36"/>
        <v>0.12452056971868315</v>
      </c>
      <c r="AA94" s="3">
        <f t="shared" si="36"/>
        <v>9.7751662711031237E-2</v>
      </c>
      <c r="AB94" s="3">
        <f t="shared" si="36"/>
        <v>0.42519872021421667</v>
      </c>
      <c r="AC94" s="3">
        <f t="shared" si="36"/>
        <v>3.6247259411577658E-2</v>
      </c>
      <c r="AD94" s="3">
        <f t="shared" ref="AD94:AK94" si="37">AVERAGE(AD65:AD69)</f>
        <v>1.2552464786142754</v>
      </c>
      <c r="AE94" s="3">
        <f t="shared" si="37"/>
        <v>0.82022527955525315</v>
      </c>
      <c r="AF94" s="3">
        <f t="shared" si="37"/>
        <v>1.8158873985255553</v>
      </c>
      <c r="AG94" s="3">
        <f t="shared" si="37"/>
        <v>1.4256728502091329</v>
      </c>
      <c r="AH94" s="3">
        <f t="shared" si="37"/>
        <v>0.13825997892408731</v>
      </c>
      <c r="AI94" s="3">
        <f t="shared" si="37"/>
        <v>0.11017444391730984</v>
      </c>
      <c r="AJ94" s="3">
        <f t="shared" si="37"/>
        <v>0.50362864482115399</v>
      </c>
      <c r="AK94" s="3">
        <f t="shared" si="37"/>
        <v>4.5406865548513767E-2</v>
      </c>
    </row>
    <row r="95" spans="1:37" x14ac:dyDescent="0.25">
      <c r="B95" s="2" t="s">
        <v>6</v>
      </c>
      <c r="C95" s="3">
        <f>AVERAGE(C70:C77)*100</f>
        <v>684200</v>
      </c>
      <c r="D95" s="3">
        <f t="shared" ref="D95" si="38">AVERAGE(D70:D77)*100</f>
        <v>9525</v>
      </c>
      <c r="E95" s="4"/>
      <c r="F95" s="3">
        <f>AVERAGE(F70:F77)*100</f>
        <v>18825</v>
      </c>
      <c r="G95" s="3">
        <f t="shared" ref="G95" si="39">AVERAGE(G70:G77)*100</f>
        <v>2912.5</v>
      </c>
      <c r="H95" s="3"/>
      <c r="I95" s="4"/>
      <c r="J95" s="4"/>
      <c r="K95" s="4"/>
      <c r="V95" s="3">
        <f t="shared" ref="V95:AC95" si="40">AVERAGE(V70:V77)</f>
        <v>1.3914904366786858</v>
      </c>
      <c r="W95" s="3">
        <f t="shared" si="40"/>
        <v>1.1523672534489426</v>
      </c>
      <c r="X95" s="3">
        <f t="shared" si="40"/>
        <v>2.7388479736000408</v>
      </c>
      <c r="Y95" s="3">
        <f t="shared" si="40"/>
        <v>0.42339600535314675</v>
      </c>
      <c r="Z95" s="3">
        <f t="shared" si="40"/>
        <v>0.26147312871186534</v>
      </c>
      <c r="AA95" s="3">
        <f t="shared" si="40"/>
        <v>0.15854513189053826</v>
      </c>
      <c r="AB95" s="3">
        <f t="shared" si="40"/>
        <v>0.73640845312076353</v>
      </c>
      <c r="AC95" s="3">
        <f t="shared" si="40"/>
        <v>8.6114837709048916E-2</v>
      </c>
      <c r="AD95" s="3">
        <f t="shared" ref="AD95:AK95" si="41">AVERAGE(AD70:AD77)</f>
        <v>1.4350591332766727</v>
      </c>
      <c r="AE95" s="3">
        <f t="shared" si="41"/>
        <v>1.1867639517675135</v>
      </c>
      <c r="AF95" s="3">
        <f t="shared" si="41"/>
        <v>2.7698182805376721</v>
      </c>
      <c r="AG95" s="3">
        <f t="shared" si="41"/>
        <v>1.6141076921722397</v>
      </c>
      <c r="AH95" s="3">
        <f t="shared" si="41"/>
        <v>0.32982416074229082</v>
      </c>
      <c r="AI95" s="3">
        <f t="shared" si="41"/>
        <v>0.20318449165686148</v>
      </c>
      <c r="AJ95" s="3">
        <f t="shared" si="41"/>
        <v>0.89561840808245785</v>
      </c>
      <c r="AK95" s="3">
        <f t="shared" si="41"/>
        <v>0.11666566392089575</v>
      </c>
    </row>
    <row r="96" spans="1:37" x14ac:dyDescent="0.25">
      <c r="B96" s="2" t="s">
        <v>7</v>
      </c>
      <c r="C96" s="3">
        <f>AVERAGE(C78:C85)*100</f>
        <v>684200</v>
      </c>
      <c r="D96" s="3">
        <f t="shared" ref="D96" si="42">AVERAGE(D78:D85)*100</f>
        <v>9525</v>
      </c>
      <c r="E96" s="4"/>
      <c r="F96" s="3">
        <f>AVERAGE(F78:F85)*100</f>
        <v>18825</v>
      </c>
      <c r="G96" s="3">
        <f t="shared" ref="G96" si="43">AVERAGE(G78:G85)*100</f>
        <v>2912.5</v>
      </c>
      <c r="H96" s="3"/>
      <c r="I96" s="4"/>
      <c r="J96" s="4"/>
      <c r="K96" s="4"/>
      <c r="V96" s="3">
        <f t="shared" ref="V96:AC96" si="44">AVERAGE(V78:V85)</f>
        <v>1.3914904366786858</v>
      </c>
      <c r="W96" s="3">
        <f t="shared" si="44"/>
        <v>1.1523672534489426</v>
      </c>
      <c r="X96" s="3">
        <f t="shared" si="44"/>
        <v>2.7388479736000408</v>
      </c>
      <c r="Y96" s="3">
        <f t="shared" si="44"/>
        <v>0.42339600535314675</v>
      </c>
      <c r="Z96" s="3">
        <f t="shared" si="44"/>
        <v>0.26147312871186534</v>
      </c>
      <c r="AA96" s="3">
        <f t="shared" si="44"/>
        <v>0.15854513189053826</v>
      </c>
      <c r="AB96" s="3">
        <f t="shared" si="44"/>
        <v>0.73640845312076353</v>
      </c>
      <c r="AC96" s="3">
        <f t="shared" si="44"/>
        <v>8.6114837709048916E-2</v>
      </c>
      <c r="AD96" s="3">
        <f t="shared" ref="AD96:AK96" si="45">AVERAGE(AD78:AD85)</f>
        <v>1.4350591332766727</v>
      </c>
      <c r="AE96" s="3">
        <f t="shared" si="45"/>
        <v>1.1867639517675135</v>
      </c>
      <c r="AF96" s="3">
        <f t="shared" si="45"/>
        <v>2.7698182805376721</v>
      </c>
      <c r="AG96" s="3">
        <f t="shared" si="45"/>
        <v>1.6141076921722397</v>
      </c>
      <c r="AH96" s="3">
        <f t="shared" si="45"/>
        <v>0.32982416074229082</v>
      </c>
      <c r="AI96" s="3">
        <f t="shared" si="45"/>
        <v>0.20318449165686148</v>
      </c>
      <c r="AJ96" s="3">
        <f t="shared" si="45"/>
        <v>0.89561840808245785</v>
      </c>
      <c r="AK96" s="3">
        <f t="shared" si="45"/>
        <v>0.11666566392089575</v>
      </c>
    </row>
    <row r="97" spans="3:37" ht="15.75" thickBot="1" x14ac:dyDescent="0.3">
      <c r="C97" s="4"/>
      <c r="D97" s="4"/>
      <c r="E97" s="4"/>
      <c r="F97" s="4"/>
      <c r="G97" s="4"/>
      <c r="H97" s="4"/>
      <c r="I97" s="4"/>
      <c r="J97" s="4"/>
      <c r="K97" s="4"/>
    </row>
    <row r="98" spans="3:37" x14ac:dyDescent="0.25">
      <c r="C98" s="4"/>
      <c r="D98" s="4"/>
      <c r="E98" s="4"/>
      <c r="F98" s="4"/>
      <c r="G98" s="4"/>
      <c r="H98" s="4"/>
      <c r="I98" s="4"/>
      <c r="J98" s="4"/>
      <c r="K98" s="4"/>
      <c r="V98" s="12">
        <f t="shared" ref="V98:AC98" si="46">TTEST(V3:V11,V12:V20,2,2)</f>
        <v>0.61047914903375888</v>
      </c>
      <c r="W98" s="12">
        <f t="shared" si="46"/>
        <v>0.49508803712486238</v>
      </c>
      <c r="X98" s="12">
        <f t="shared" si="46"/>
        <v>0.579334411077149</v>
      </c>
      <c r="Y98" s="12">
        <f t="shared" si="46"/>
        <v>0.91362813028526357</v>
      </c>
      <c r="Z98" s="12">
        <f t="shared" si="46"/>
        <v>0.17642871412624031</v>
      </c>
      <c r="AA98" s="13">
        <f t="shared" si="46"/>
        <v>5.7642289946321805E-2</v>
      </c>
      <c r="AB98" s="12">
        <f t="shared" si="46"/>
        <v>0.66534544451276056</v>
      </c>
      <c r="AC98" s="12">
        <f t="shared" si="46"/>
        <v>0.63337921900312777</v>
      </c>
      <c r="AD98" s="12">
        <f t="shared" ref="AD98:AK98" si="47">TTEST(AD3:AD11,AD12:AD20,2,2)</f>
        <v>0.6694919032955684</v>
      </c>
      <c r="AE98" s="12">
        <f t="shared" si="47"/>
        <v>0.49086406429436358</v>
      </c>
      <c r="AF98" s="12">
        <f t="shared" si="47"/>
        <v>0.58121429893085874</v>
      </c>
      <c r="AG98" s="12">
        <f t="shared" si="47"/>
        <v>0.68595093767298454</v>
      </c>
      <c r="AH98" s="12">
        <f t="shared" si="47"/>
        <v>0.14619421849422021</v>
      </c>
      <c r="AI98" s="12">
        <f t="shared" si="47"/>
        <v>4.1517212885390981E-2</v>
      </c>
      <c r="AJ98" s="12">
        <f t="shared" si="47"/>
        <v>0.69400037721992947</v>
      </c>
      <c r="AK98" s="12">
        <f t="shared" si="47"/>
        <v>0.40407071363794234</v>
      </c>
    </row>
    <row r="99" spans="3:37" x14ac:dyDescent="0.25">
      <c r="V99" s="12">
        <f t="shared" ref="V99:AC99" si="48">TTEST(V3:V11,V30:V40,2,2)</f>
        <v>1.5106716593257675E-3</v>
      </c>
      <c r="W99" s="12">
        <f t="shared" si="48"/>
        <v>0.98236406841465818</v>
      </c>
      <c r="X99" s="12">
        <f t="shared" si="48"/>
        <v>0.98076978542450532</v>
      </c>
      <c r="Y99" s="12">
        <f t="shared" si="48"/>
        <v>0.19465849462171467</v>
      </c>
      <c r="Z99" s="12">
        <f t="shared" si="48"/>
        <v>1.7961796378146089E-2</v>
      </c>
      <c r="AA99" s="14">
        <f t="shared" si="48"/>
        <v>0.38300178898721704</v>
      </c>
      <c r="AB99" s="12">
        <f t="shared" si="48"/>
        <v>0.81064973115434324</v>
      </c>
      <c r="AC99" s="12">
        <f t="shared" si="48"/>
        <v>0.15744596219355075</v>
      </c>
      <c r="AD99" s="12">
        <f t="shared" ref="AD99:AK99" si="49">TTEST(AD3:AD11,AD30:AD40,2,2)</f>
        <v>1.288372871720035E-3</v>
      </c>
      <c r="AE99" s="12">
        <f t="shared" si="49"/>
        <v>0.97483598049072184</v>
      </c>
      <c r="AF99" s="12">
        <f t="shared" si="49"/>
        <v>0.9966178893277744</v>
      </c>
      <c r="AG99" s="12">
        <f t="shared" si="49"/>
        <v>2.4883793251165914E-3</v>
      </c>
      <c r="AH99" s="12">
        <f t="shared" si="49"/>
        <v>1.6641908397950215E-2</v>
      </c>
      <c r="AI99" s="12">
        <f t="shared" si="49"/>
        <v>0.31747508951472247</v>
      </c>
      <c r="AJ99" s="12">
        <f t="shared" si="49"/>
        <v>0.93990146193486124</v>
      </c>
      <c r="AK99" s="12">
        <f t="shared" si="49"/>
        <v>0.10664397644046135</v>
      </c>
    </row>
    <row r="100" spans="3:37" x14ac:dyDescent="0.25">
      <c r="V100" s="12">
        <f t="shared" ref="V100:AC100" si="50">TTEST(V12:V20,V30:V40,2,2)</f>
        <v>5.4699789061004103E-3</v>
      </c>
      <c r="W100" s="12">
        <f t="shared" si="50"/>
        <v>0.73101260764282017</v>
      </c>
      <c r="X100" s="12">
        <f t="shared" si="50"/>
        <v>0.55287370214699205</v>
      </c>
      <c r="Y100" s="12">
        <f t="shared" si="50"/>
        <v>0.34309851675186132</v>
      </c>
      <c r="Z100" s="12">
        <f t="shared" si="50"/>
        <v>0.31489966893485677</v>
      </c>
      <c r="AA100" s="14">
        <f t="shared" si="50"/>
        <v>0.60647318960284347</v>
      </c>
      <c r="AB100" s="12">
        <f t="shared" si="50"/>
        <v>0.48554411410547538</v>
      </c>
      <c r="AC100" s="12">
        <f t="shared" si="50"/>
        <v>0.19126334234776154</v>
      </c>
      <c r="AD100" s="12">
        <f t="shared" ref="AD100:AK100" si="51">TTEST(AD12:AD20,AD30:AD40,2,2)</f>
        <v>4.9308516063086569E-3</v>
      </c>
      <c r="AE100" s="12">
        <f t="shared" si="51"/>
        <v>0.72705013799830287</v>
      </c>
      <c r="AF100" s="12">
        <f t="shared" si="51"/>
        <v>0.56283215957779764</v>
      </c>
      <c r="AG100" s="12">
        <f t="shared" si="51"/>
        <v>6.758889052192258E-3</v>
      </c>
      <c r="AH100" s="12">
        <f t="shared" si="51"/>
        <v>0.32839627856299691</v>
      </c>
      <c r="AI100" s="12">
        <f t="shared" si="51"/>
        <v>0.50781311295868092</v>
      </c>
      <c r="AJ100" s="12">
        <f t="shared" si="51"/>
        <v>0.64767585146738393</v>
      </c>
      <c r="AK100" s="12">
        <f t="shared" si="51"/>
        <v>0.27528123961163076</v>
      </c>
    </row>
    <row r="101" spans="3:37" ht="15.75" thickBot="1" x14ac:dyDescent="0.3">
      <c r="V101" s="12">
        <f t="shared" ref="V101:AC101" si="52">TTEST(V12:V20,V41:V51,2,2)</f>
        <v>5.4699789061004103E-3</v>
      </c>
      <c r="W101" s="12">
        <f t="shared" si="52"/>
        <v>0.73101260764282017</v>
      </c>
      <c r="X101" s="12">
        <f t="shared" si="52"/>
        <v>0.55287370214699205</v>
      </c>
      <c r="Y101" s="12">
        <f t="shared" si="52"/>
        <v>0.34309851675186132</v>
      </c>
      <c r="Z101" s="12">
        <f t="shared" si="52"/>
        <v>0.31489966893485677</v>
      </c>
      <c r="AA101" s="15">
        <f t="shared" si="52"/>
        <v>0.60647318960284347</v>
      </c>
      <c r="AB101" s="12">
        <f t="shared" si="52"/>
        <v>0.48554411410547538</v>
      </c>
      <c r="AC101" s="12">
        <f t="shared" si="52"/>
        <v>0.19126334234776154</v>
      </c>
      <c r="AD101" s="12">
        <f t="shared" ref="AD101:AK101" si="53">TTEST(AD12:AD20,AD41:AD51,2,2)</f>
        <v>4.9308516063086569E-3</v>
      </c>
      <c r="AE101" s="12">
        <f t="shared" si="53"/>
        <v>0.72705013799830287</v>
      </c>
      <c r="AF101" s="12">
        <f t="shared" si="53"/>
        <v>0.56283215957779764</v>
      </c>
      <c r="AG101" s="12">
        <f t="shared" si="53"/>
        <v>6.758889052192258E-3</v>
      </c>
      <c r="AH101" s="12">
        <f t="shared" si="53"/>
        <v>0.32839627856299691</v>
      </c>
      <c r="AI101" s="12">
        <f t="shared" si="53"/>
        <v>0.50781311295868092</v>
      </c>
      <c r="AJ101" s="12">
        <f t="shared" si="53"/>
        <v>0.64767585146738393</v>
      </c>
      <c r="AK101" s="12">
        <f t="shared" si="53"/>
        <v>0.27528123961163076</v>
      </c>
    </row>
    <row r="102" spans="3:37" x14ac:dyDescent="0.25"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</row>
    <row r="103" spans="3:37" x14ac:dyDescent="0.25">
      <c r="V103" s="12">
        <f t="shared" ref="V103:AC103" si="54">TTEST(V52:V59,V70:V77,2,2)</f>
        <v>0.40495461605087946</v>
      </c>
      <c r="W103" s="12">
        <f t="shared" si="54"/>
        <v>0.1595967985524866</v>
      </c>
      <c r="X103" s="12">
        <f t="shared" si="54"/>
        <v>0.25009332097180986</v>
      </c>
      <c r="Y103" s="12">
        <f t="shared" si="54"/>
        <v>0.30848372724549905</v>
      </c>
      <c r="Z103" s="12">
        <f t="shared" si="54"/>
        <v>0.36627861285167074</v>
      </c>
      <c r="AA103" s="12">
        <f t="shared" si="54"/>
        <v>0.49140861039636541</v>
      </c>
      <c r="AB103" s="12">
        <f t="shared" si="54"/>
        <v>0.23990278838532278</v>
      </c>
      <c r="AC103" s="12">
        <f t="shared" si="54"/>
        <v>0.45097710929390766</v>
      </c>
      <c r="AD103" s="12">
        <f t="shared" ref="AD103:AK103" si="55">TTEST(AD52:AD59,AD70:AD77,2,2)</f>
        <v>0.39010760045500781</v>
      </c>
      <c r="AE103" s="12">
        <f t="shared" si="55"/>
        <v>0.14135554456817417</v>
      </c>
      <c r="AF103" s="12">
        <f t="shared" si="55"/>
        <v>0.24977512941033411</v>
      </c>
      <c r="AG103" s="12">
        <f t="shared" si="55"/>
        <v>0.3243619030347562</v>
      </c>
      <c r="AH103" s="12">
        <f t="shared" si="55"/>
        <v>0.25471168801286564</v>
      </c>
      <c r="AI103" s="12">
        <f t="shared" si="55"/>
        <v>0.44079797374858742</v>
      </c>
      <c r="AJ103" s="12">
        <f t="shared" si="55"/>
        <v>0.25629111532263432</v>
      </c>
      <c r="AK103" s="12">
        <f t="shared" si="55"/>
        <v>0.26728050957994587</v>
      </c>
    </row>
  </sheetData>
  <mergeCells count="14">
    <mergeCell ref="A12:A20"/>
    <mergeCell ref="D1:K1"/>
    <mergeCell ref="L1:S1"/>
    <mergeCell ref="V1:AC1"/>
    <mergeCell ref="AD1:AK1"/>
    <mergeCell ref="A3:A11"/>
    <mergeCell ref="A70:A77"/>
    <mergeCell ref="A78:A85"/>
    <mergeCell ref="A21:A29"/>
    <mergeCell ref="A30:A40"/>
    <mergeCell ref="A41:A51"/>
    <mergeCell ref="A52:A59"/>
    <mergeCell ref="A60:A64"/>
    <mergeCell ref="A65:A69"/>
  </mergeCells>
  <conditionalFormatting sqref="V98:AK101 V103:AK103">
    <cfRule type="cellIs" dxfId="0" priority="1" operator="lessThan">
      <formula>0.05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SlowSpindles-FRO-Seed</vt:lpstr>
      <vt:lpstr>SlowSpindles-PAR-Seed</vt:lpstr>
      <vt:lpstr>BroadBdSpindles-FRO-Seed</vt:lpstr>
      <vt:lpstr>BroadBdSpindles-PAR-Seed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2017-04-09T20:29:05Z</dcterms:modified>
</cp:coreProperties>
</file>