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6230"/>
  <workbookPr filterPrivacy="1" codeName="ThisWorkbook"/>
  <mc:AlternateContent xmlns:mc="http://schemas.openxmlformats.org/markup-compatibility/2006">
    <mc:Choice Requires="x15">
      <x15ac:absPath xmlns:x15ac="http://schemas.microsoft.com/office/spreadsheetml/2010/11/ac" url="/Users/Koreign/Documents/0 - IBS/1 - SW Spindles/Data Analysis Remake 201703/Avg Traces and peak plot per mice/"/>
    </mc:Choice>
  </mc:AlternateContent>
  <bookViews>
    <workbookView xWindow="780" yWindow="460" windowWidth="22560" windowHeight="16320"/>
  </bookViews>
  <sheets>
    <sheet name="Ripple-500msPost" sheetId="36" r:id="rId1"/>
    <sheet name="Ripple-750msPost" sheetId="38" r:id="rId2"/>
  </sheets>
  <calcPr calcId="162913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96" i="38" l="1"/>
  <c r="C96" i="38"/>
  <c r="E95" i="38"/>
  <c r="C95" i="38"/>
  <c r="E94" i="38"/>
  <c r="C94" i="38"/>
  <c r="E93" i="38"/>
  <c r="C93" i="38"/>
  <c r="E92" i="38"/>
  <c r="C92" i="38"/>
  <c r="E91" i="38"/>
  <c r="C91" i="38"/>
  <c r="E90" i="38"/>
  <c r="C90" i="38"/>
  <c r="J89" i="38"/>
  <c r="I89" i="38"/>
  <c r="E89" i="38"/>
  <c r="C89" i="38"/>
  <c r="J88" i="38"/>
  <c r="I88" i="38"/>
  <c r="E88" i="38"/>
  <c r="C88" i="38"/>
  <c r="E87" i="38"/>
  <c r="C87" i="38"/>
  <c r="C89" i="36"/>
  <c r="J89" i="36"/>
  <c r="I89" i="36"/>
  <c r="J88" i="36"/>
  <c r="I88" i="36"/>
  <c r="C96" i="36"/>
  <c r="E96" i="36"/>
  <c r="E95" i="36"/>
  <c r="E94" i="36"/>
  <c r="E93" i="36"/>
  <c r="E92" i="36"/>
  <c r="E91" i="36"/>
  <c r="E90" i="36"/>
  <c r="E89" i="36"/>
  <c r="E88" i="36"/>
  <c r="E87" i="36"/>
  <c r="C95" i="36"/>
  <c r="C94" i="36"/>
  <c r="C93" i="36"/>
  <c r="C92" i="36"/>
  <c r="C91" i="36"/>
  <c r="C90" i="36"/>
  <c r="C88" i="36"/>
  <c r="C87" i="36"/>
</calcChain>
</file>

<file path=xl/sharedStrings.xml><?xml version="1.0" encoding="utf-8"?>
<sst xmlns="http://schemas.openxmlformats.org/spreadsheetml/2006/main" count="236" uniqueCount="77">
  <si>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</si>
  <si>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</si>
  <si>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</si>
  <si>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</si>
  <si>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</si>
  <si>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</si>
  <si>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</si>
  <si>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</si>
  <si>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OUT-FC-Detect</t>
  </si>
  <si>
    <t>OUT-creARC-Detect</t>
  </si>
  <si>
    <t>'IN-FC-OS46'</t>
  </si>
  <si>
    <t>'IN-FC-OS47'</t>
  </si>
  <si>
    <t>'IN-FC-OS49'</t>
  </si>
  <si>
    <t>'IN-FC-OS59'</t>
  </si>
  <si>
    <t>'IN-FC-OS62'</t>
  </si>
  <si>
    <t>'IN-FC-OS65'</t>
  </si>
  <si>
    <t>'IN-FC-OS83'</t>
  </si>
  <si>
    <t>'IN-FC-OS86'</t>
  </si>
  <si>
    <t>'IN-FC-OS88'</t>
  </si>
  <si>
    <t>Num</t>
  </si>
  <si>
    <t>Immediate</t>
  </si>
  <si>
    <t>Late</t>
  </si>
  <si>
    <t>0 to 500 ms</t>
  </si>
  <si>
    <t>1500 to 2000 ms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</si>
  <si>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</si>
  <si>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</si>
  <si>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</si>
  <si>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</si>
  <si>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</si>
  <si>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</si>
  <si>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</si>
  <si>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'OUT-FC-OS84'</t>
  </si>
  <si>
    <t>'OUT-FC-OS89'</t>
  </si>
  <si>
    <t>'NOSTIM-FC-OS41'</t>
  </si>
  <si>
    <t>'NOSTIM-FC-OS44'</t>
  </si>
  <si>
    <t>'NOSTIM-FC-OS51'</t>
  </si>
  <si>
    <t>'NOSTIM-FC-OS52'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</si>
  <si>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</si>
  <si>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</si>
  <si>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</si>
  <si>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</si>
  <si>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</si>
  <si>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</si>
  <si>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</si>
  <si>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</si>
  <si>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</si>
  <si>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</si>
  <si>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</si>
  <si>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</si>
  <si>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</si>
  <si>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</si>
  <si>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</si>
  <si>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</si>
  <si>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</si>
  <si>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</si>
  <si>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</si>
  <si>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</si>
  <si>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</si>
  <si>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</si>
  <si>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</si>
  <si>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</si>
  <si>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</si>
  <si>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</si>
  <si>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</si>
  <si>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'NOSTIM-OIcreNOARC4'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</si>
  <si>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</si>
  <si>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</si>
  <si>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</si>
  <si>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</si>
  <si>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</si>
  <si>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</si>
  <si>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</si>
  <si>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7-10 Hz</t>
  </si>
  <si>
    <t>NoStim-OUT-ARC</t>
  </si>
  <si>
    <t>Num-FC-Stim</t>
  </si>
  <si>
    <t>Num-ARC-Stim</t>
  </si>
  <si>
    <t>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</si>
</sst>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abSelected="1" topLeftCell="A16" workbookViewId="0">
      <selection activeCell="C30" sqref="C30:C51"/>
    </sheetView>
  </sheetViews>
  <sheetFormatPr baseColWidth="10" defaultColWidth="9.1640625" defaultRowHeight="15" x14ac:dyDescent="0.2"/>
  <cols>
    <col min="2" max="2" width="24.1640625" bestFit="1" customWidth="1"/>
    <col min="8" max="8" width="14.5" bestFit="1" customWidth="1"/>
  </cols>
  <sheetData>
    <row r="1" spans="1:9" x14ac:dyDescent="0.2">
      <c r="C1" s="8" t="s">
        <v>20</v>
      </c>
      <c r="D1" s="8"/>
      <c r="E1" s="8" t="s">
        <v>21</v>
      </c>
      <c r="F1" s="8"/>
      <c r="H1" t="s">
        <v>72</v>
      </c>
    </row>
    <row r="2" spans="1:9" x14ac:dyDescent="0.2">
      <c r="C2" t="s">
        <v>76</v>
      </c>
      <c r="D2" t="s">
        <v>19</v>
      </c>
      <c r="E2" t="s">
        <v>76</v>
      </c>
      <c r="F2" t="s">
        <v>19</v>
      </c>
      <c r="H2" t="s">
        <v>20</v>
      </c>
      <c r="I2" t="s">
        <v>22</v>
      </c>
    </row>
    <row r="3" spans="1:9" x14ac:dyDescent="0.2">
      <c r="A3" s="7" t="s">
        <v>65</v>
      </c>
      <c r="B3" t="s">
        <v>10</v>
      </c>
      <c r="C3" s="1">
        <v>0.171597633136095</v>
      </c>
      <c r="D3">
        <v>169</v>
      </c>
      <c r="E3" s="1">
        <v>0.15476190476190499</v>
      </c>
      <c r="F3">
        <v>168</v>
      </c>
      <c r="H3" t="s">
        <v>21</v>
      </c>
      <c r="I3" t="s">
        <v>23</v>
      </c>
    </row>
    <row r="4" spans="1:9" x14ac:dyDescent="0.2">
      <c r="A4" s="7"/>
      <c r="B4" t="s">
        <v>11</v>
      </c>
      <c r="C4" s="1">
        <v>0.113924050632911</v>
      </c>
      <c r="D4">
        <v>316</v>
      </c>
      <c r="E4" s="1">
        <v>0.174050632911392</v>
      </c>
      <c r="F4">
        <v>316</v>
      </c>
    </row>
    <row r="5" spans="1:9" x14ac:dyDescent="0.2">
      <c r="A5" s="7"/>
      <c r="B5" t="s">
        <v>12</v>
      </c>
      <c r="C5" s="1">
        <v>0.15405777166437401</v>
      </c>
      <c r="D5">
        <v>727</v>
      </c>
      <c r="E5" s="1">
        <v>0.12242090784044</v>
      </c>
      <c r="F5">
        <v>727</v>
      </c>
    </row>
    <row r="6" spans="1:9" x14ac:dyDescent="0.2">
      <c r="A6" s="7"/>
      <c r="B6" t="s">
        <v>13</v>
      </c>
      <c r="C6" s="1">
        <v>0.198461538461538</v>
      </c>
      <c r="D6">
        <v>650</v>
      </c>
      <c r="E6" s="1">
        <v>0.14307692307692299</v>
      </c>
      <c r="F6">
        <v>650</v>
      </c>
    </row>
    <row r="7" spans="1:9" x14ac:dyDescent="0.2">
      <c r="A7" s="7"/>
      <c r="B7" s="6" t="s">
        <v>14</v>
      </c>
      <c r="C7" s="1"/>
      <c r="E7" s="1"/>
    </row>
    <row r="8" spans="1:9" x14ac:dyDescent="0.2">
      <c r="A8" s="7"/>
      <c r="B8" t="s">
        <v>15</v>
      </c>
      <c r="C8" s="1">
        <v>0.13872832369942201</v>
      </c>
      <c r="D8">
        <v>692</v>
      </c>
      <c r="E8" s="1">
        <v>9.6820809248554907E-2</v>
      </c>
      <c r="F8">
        <v>692</v>
      </c>
    </row>
    <row r="9" spans="1:9" x14ac:dyDescent="0.2">
      <c r="A9" s="7"/>
      <c r="B9" t="s">
        <v>16</v>
      </c>
      <c r="C9" s="1">
        <v>0.10659898477157401</v>
      </c>
      <c r="D9">
        <v>591</v>
      </c>
      <c r="E9" s="1">
        <v>0.109983079526227</v>
      </c>
      <c r="F9">
        <v>591</v>
      </c>
    </row>
    <row r="10" spans="1:9" x14ac:dyDescent="0.2">
      <c r="A10" s="7"/>
      <c r="B10" t="s">
        <v>17</v>
      </c>
      <c r="C10" s="1">
        <v>0.17967781908302399</v>
      </c>
      <c r="D10">
        <v>807</v>
      </c>
      <c r="E10" s="1">
        <v>0.168525402726146</v>
      </c>
      <c r="F10">
        <v>807</v>
      </c>
    </row>
    <row r="11" spans="1:9" x14ac:dyDescent="0.2">
      <c r="A11" s="7"/>
      <c r="B11" t="s">
        <v>18</v>
      </c>
      <c r="C11" s="1">
        <v>0.174801362088536</v>
      </c>
      <c r="D11">
        <v>881</v>
      </c>
      <c r="E11" s="1">
        <v>0.16004540295119199</v>
      </c>
      <c r="F11">
        <v>881</v>
      </c>
    </row>
    <row r="12" spans="1:9" x14ac:dyDescent="0.2">
      <c r="A12" s="7" t="s">
        <v>66</v>
      </c>
      <c r="B12" t="s">
        <v>24</v>
      </c>
      <c r="C12" s="1">
        <v>0.12833333333333299</v>
      </c>
      <c r="D12">
        <v>600</v>
      </c>
      <c r="E12" s="1">
        <v>0.09</v>
      </c>
      <c r="F12">
        <v>600</v>
      </c>
    </row>
    <row r="13" spans="1:9" x14ac:dyDescent="0.2">
      <c r="A13" s="7"/>
      <c r="B13" t="s">
        <v>25</v>
      </c>
      <c r="C13" s="1">
        <v>0.158244680851064</v>
      </c>
      <c r="D13">
        <v>752</v>
      </c>
      <c r="E13" s="1">
        <v>0.10904255319148901</v>
      </c>
      <c r="F13">
        <v>752</v>
      </c>
    </row>
    <row r="14" spans="1:9" x14ac:dyDescent="0.2">
      <c r="A14" s="7"/>
      <c r="B14" t="s">
        <v>26</v>
      </c>
      <c r="C14" s="1">
        <v>0.12844036697247699</v>
      </c>
      <c r="D14">
        <v>545</v>
      </c>
      <c r="E14" s="1">
        <v>0.108256880733945</v>
      </c>
      <c r="F14">
        <v>545</v>
      </c>
    </row>
    <row r="15" spans="1:9" x14ac:dyDescent="0.2">
      <c r="A15" s="7"/>
      <c r="B15" t="s">
        <v>27</v>
      </c>
      <c r="C15" s="1">
        <v>0.12956810631229199</v>
      </c>
      <c r="D15">
        <v>903</v>
      </c>
      <c r="E15" s="1">
        <v>0.10520487264673301</v>
      </c>
      <c r="F15">
        <v>903</v>
      </c>
    </row>
    <row r="16" spans="1:9" x14ac:dyDescent="0.2">
      <c r="A16" s="7"/>
      <c r="B16" t="s">
        <v>28</v>
      </c>
      <c r="C16" s="1">
        <v>0.17272727272727301</v>
      </c>
      <c r="D16">
        <v>660</v>
      </c>
      <c r="E16" s="1">
        <v>0.133333333333333</v>
      </c>
      <c r="F16">
        <v>660</v>
      </c>
    </row>
    <row r="17" spans="1:6" x14ac:dyDescent="0.2">
      <c r="A17" s="7"/>
      <c r="B17" t="s">
        <v>29</v>
      </c>
      <c r="C17" s="1">
        <v>0.144951140065147</v>
      </c>
      <c r="D17">
        <v>614</v>
      </c>
      <c r="E17" s="1">
        <v>0.15146579804560301</v>
      </c>
      <c r="F17">
        <v>614</v>
      </c>
    </row>
    <row r="18" spans="1:6" x14ac:dyDescent="0.2">
      <c r="A18" s="7"/>
      <c r="B18" t="s">
        <v>30</v>
      </c>
      <c r="C18" s="1">
        <v>0.15889830508474601</v>
      </c>
      <c r="D18">
        <v>472</v>
      </c>
      <c r="E18" s="1">
        <v>0.16525423728813601</v>
      </c>
      <c r="F18">
        <v>472</v>
      </c>
    </row>
    <row r="19" spans="1:6" x14ac:dyDescent="0.2">
      <c r="A19" s="7"/>
      <c r="B19" s="6" t="s">
        <v>31</v>
      </c>
      <c r="C19" s="1"/>
      <c r="E19" s="1"/>
    </row>
    <row r="20" spans="1:6" x14ac:dyDescent="0.2">
      <c r="A20" s="7"/>
      <c r="B20" t="s">
        <v>32</v>
      </c>
      <c r="C20" s="1">
        <v>0.14683544303797499</v>
      </c>
      <c r="D20">
        <v>790</v>
      </c>
      <c r="E20" s="1">
        <v>0.113924050632911</v>
      </c>
      <c r="F20">
        <v>790</v>
      </c>
    </row>
    <row r="21" spans="1:6" x14ac:dyDescent="0.2">
      <c r="A21" s="7" t="s">
        <v>67</v>
      </c>
      <c r="B21" t="s">
        <v>24</v>
      </c>
      <c r="C21" s="1">
        <v>0.12355848434925901</v>
      </c>
      <c r="D21">
        <v>607</v>
      </c>
      <c r="E21" s="1">
        <v>0.110378912685338</v>
      </c>
      <c r="F21">
        <v>607</v>
      </c>
    </row>
    <row r="22" spans="1:6" x14ac:dyDescent="0.2">
      <c r="A22" s="7"/>
      <c r="B22" t="s">
        <v>25</v>
      </c>
      <c r="C22" s="1">
        <v>0.14323258869908001</v>
      </c>
      <c r="D22">
        <v>761</v>
      </c>
      <c r="E22" s="1">
        <v>0.126149802890933</v>
      </c>
      <c r="F22">
        <v>761</v>
      </c>
    </row>
    <row r="23" spans="1:6" x14ac:dyDescent="0.2">
      <c r="A23" s="7"/>
      <c r="B23" t="s">
        <v>26</v>
      </c>
      <c r="C23" s="1">
        <v>0.11387900355871899</v>
      </c>
      <c r="D23">
        <v>562</v>
      </c>
      <c r="E23" s="1">
        <v>9.2526690391459096E-2</v>
      </c>
      <c r="F23">
        <v>562</v>
      </c>
    </row>
    <row r="24" spans="1:6" x14ac:dyDescent="0.2">
      <c r="A24" s="7"/>
      <c r="B24" t="s">
        <v>27</v>
      </c>
      <c r="C24" s="1">
        <v>0.13172338090010999</v>
      </c>
      <c r="D24">
        <v>911</v>
      </c>
      <c r="E24" s="1">
        <v>0.121844127332602</v>
      </c>
      <c r="F24">
        <v>911</v>
      </c>
    </row>
    <row r="25" spans="1:6" x14ac:dyDescent="0.2">
      <c r="A25" s="7"/>
      <c r="B25" t="s">
        <v>28</v>
      </c>
      <c r="C25" s="1">
        <v>0.21641791044776101</v>
      </c>
      <c r="D25">
        <v>670</v>
      </c>
      <c r="E25" s="1">
        <v>0.16567164179104499</v>
      </c>
      <c r="F25">
        <v>670</v>
      </c>
    </row>
    <row r="26" spans="1:6" x14ac:dyDescent="0.2">
      <c r="A26" s="7"/>
      <c r="B26" t="s">
        <v>29</v>
      </c>
      <c r="C26" s="1">
        <v>0.15359999999999999</v>
      </c>
      <c r="D26">
        <v>625</v>
      </c>
      <c r="E26" s="1">
        <v>0.1648</v>
      </c>
      <c r="F26">
        <v>625</v>
      </c>
    </row>
    <row r="27" spans="1:6" x14ac:dyDescent="0.2">
      <c r="A27" s="7"/>
      <c r="B27" t="s">
        <v>30</v>
      </c>
      <c r="C27" s="1">
        <v>0.22406639004149401</v>
      </c>
      <c r="D27">
        <v>482</v>
      </c>
      <c r="E27" s="1">
        <v>0.134854771784232</v>
      </c>
      <c r="F27">
        <v>482</v>
      </c>
    </row>
    <row r="28" spans="1:6" x14ac:dyDescent="0.2">
      <c r="A28" s="7"/>
      <c r="B28" s="6" t="s">
        <v>31</v>
      </c>
      <c r="C28" s="1"/>
      <c r="E28" s="1"/>
    </row>
    <row r="29" spans="1:6" x14ac:dyDescent="0.2">
      <c r="A29" s="7"/>
      <c r="B29" t="s">
        <v>32</v>
      </c>
      <c r="C29" s="1">
        <v>0.142679900744417</v>
      </c>
      <c r="D29">
        <v>806</v>
      </c>
      <c r="E29" s="1">
        <v>0.14143920595533499</v>
      </c>
      <c r="F29">
        <v>806</v>
      </c>
    </row>
    <row r="30" spans="1:6" x14ac:dyDescent="0.2">
      <c r="A30" s="7" t="s">
        <v>0</v>
      </c>
      <c r="B30" t="s">
        <v>33</v>
      </c>
      <c r="C30" s="1">
        <v>0.160741885625966</v>
      </c>
      <c r="D30">
        <v>647</v>
      </c>
      <c r="E30" s="1">
        <v>0.15610510046367901</v>
      </c>
      <c r="F30">
        <v>647</v>
      </c>
    </row>
    <row r="31" spans="1:6" x14ac:dyDescent="0.2">
      <c r="A31" s="7"/>
      <c r="B31" t="s">
        <v>34</v>
      </c>
      <c r="C31" s="1">
        <v>0.15610510046367901</v>
      </c>
      <c r="D31">
        <v>647</v>
      </c>
      <c r="E31" s="1">
        <v>0.18083462132921199</v>
      </c>
      <c r="F31">
        <v>647</v>
      </c>
    </row>
    <row r="32" spans="1:6" x14ac:dyDescent="0.2">
      <c r="A32" s="7"/>
      <c r="B32" s="6" t="s">
        <v>35</v>
      </c>
      <c r="C32" s="1"/>
      <c r="E32" s="1"/>
    </row>
    <row r="33" spans="1:6" x14ac:dyDescent="0.2">
      <c r="A33" s="7"/>
      <c r="B33" s="6" t="s">
        <v>36</v>
      </c>
      <c r="C33" s="1"/>
      <c r="E33" s="1"/>
    </row>
    <row r="34" spans="1:6" x14ac:dyDescent="0.2">
      <c r="A34" s="7"/>
      <c r="B34" t="s">
        <v>37</v>
      </c>
      <c r="C34" s="1">
        <v>0.213292117465224</v>
      </c>
      <c r="D34">
        <v>647</v>
      </c>
      <c r="E34" s="1">
        <v>0.17001545595054099</v>
      </c>
      <c r="F34">
        <v>647</v>
      </c>
    </row>
    <row r="35" spans="1:6" x14ac:dyDescent="0.2">
      <c r="A35" s="7"/>
      <c r="B35" t="s">
        <v>38</v>
      </c>
      <c r="C35" s="1">
        <v>0.165378670788253</v>
      </c>
      <c r="D35">
        <v>647</v>
      </c>
      <c r="E35" s="1">
        <v>0.15919629057187001</v>
      </c>
      <c r="F35">
        <v>647</v>
      </c>
    </row>
    <row r="36" spans="1:6" x14ac:dyDescent="0.2">
      <c r="A36" s="7"/>
      <c r="B36" t="s">
        <v>39</v>
      </c>
      <c r="C36" s="1">
        <v>0.153013910355487</v>
      </c>
      <c r="D36">
        <v>647</v>
      </c>
      <c r="E36" s="1">
        <v>0.12982998454404901</v>
      </c>
      <c r="F36">
        <v>647</v>
      </c>
    </row>
    <row r="37" spans="1:6" x14ac:dyDescent="0.2">
      <c r="A37" s="7"/>
      <c r="B37" t="s">
        <v>40</v>
      </c>
      <c r="C37" s="1">
        <v>0.15452930728241601</v>
      </c>
      <c r="D37">
        <v>563</v>
      </c>
      <c r="E37" s="1">
        <v>0.120781527531083</v>
      </c>
      <c r="F37">
        <v>563</v>
      </c>
    </row>
    <row r="38" spans="1:6" x14ac:dyDescent="0.2">
      <c r="A38" s="7"/>
      <c r="B38" t="s">
        <v>41</v>
      </c>
      <c r="C38" s="1">
        <v>0.17532467532467499</v>
      </c>
      <c r="D38">
        <v>154</v>
      </c>
      <c r="E38" s="1">
        <v>0.162337662337662</v>
      </c>
      <c r="F38">
        <v>154</v>
      </c>
    </row>
    <row r="39" spans="1:6" x14ac:dyDescent="0.2">
      <c r="A39" s="7"/>
      <c r="B39" t="s">
        <v>42</v>
      </c>
      <c r="C39" s="1">
        <v>0.17465224111282801</v>
      </c>
      <c r="D39">
        <v>647</v>
      </c>
      <c r="E39" s="1">
        <v>0.15455950540958299</v>
      </c>
      <c r="F39">
        <v>647</v>
      </c>
    </row>
    <row r="40" spans="1:6" x14ac:dyDescent="0.2">
      <c r="A40" s="7"/>
      <c r="B40" t="s">
        <v>43</v>
      </c>
      <c r="C40" s="1">
        <v>0.21638330757341601</v>
      </c>
      <c r="D40">
        <v>647</v>
      </c>
      <c r="E40" s="1">
        <v>0.17774343122101999</v>
      </c>
      <c r="F40">
        <v>647</v>
      </c>
    </row>
    <row r="41" spans="1:6" x14ac:dyDescent="0.2">
      <c r="A41" s="7" t="s">
        <v>1</v>
      </c>
      <c r="B41" t="s">
        <v>33</v>
      </c>
      <c r="C41" s="1">
        <v>0.14528593508500801</v>
      </c>
      <c r="D41">
        <v>647</v>
      </c>
      <c r="E41" s="1">
        <v>0.14528593508500801</v>
      </c>
      <c r="F41">
        <v>647</v>
      </c>
    </row>
    <row r="42" spans="1:6" x14ac:dyDescent="0.2">
      <c r="A42" s="7"/>
      <c r="B42" t="s">
        <v>34</v>
      </c>
      <c r="C42" s="1">
        <v>0.19165378670788299</v>
      </c>
      <c r="D42">
        <v>647</v>
      </c>
      <c r="E42" s="1">
        <v>0.18083462132921199</v>
      </c>
      <c r="F42">
        <v>647</v>
      </c>
    </row>
    <row r="43" spans="1:6" x14ac:dyDescent="0.2">
      <c r="A43" s="7"/>
      <c r="B43" s="6" t="s">
        <v>35</v>
      </c>
      <c r="C43" s="1"/>
      <c r="E43" s="1"/>
    </row>
    <row r="44" spans="1:6" x14ac:dyDescent="0.2">
      <c r="A44" s="7"/>
      <c r="B44" s="6" t="s">
        <v>36</v>
      </c>
      <c r="C44" s="1"/>
      <c r="E44" s="1"/>
    </row>
    <row r="45" spans="1:6" x14ac:dyDescent="0.2">
      <c r="A45" s="7"/>
      <c r="B45" t="s">
        <v>37</v>
      </c>
      <c r="C45" s="1">
        <v>0.20865533230293701</v>
      </c>
      <c r="D45">
        <v>647</v>
      </c>
      <c r="E45" s="1">
        <v>0.168469860896445</v>
      </c>
      <c r="F45">
        <v>647</v>
      </c>
    </row>
    <row r="46" spans="1:6" x14ac:dyDescent="0.2">
      <c r="A46" s="7"/>
      <c r="B46" t="s">
        <v>38</v>
      </c>
      <c r="C46" s="1">
        <v>0.15455950540958299</v>
      </c>
      <c r="D46">
        <v>647</v>
      </c>
      <c r="E46" s="1">
        <v>0.18083462132921199</v>
      </c>
      <c r="F46">
        <v>647</v>
      </c>
    </row>
    <row r="47" spans="1:6" x14ac:dyDescent="0.2">
      <c r="A47" s="7"/>
      <c r="B47" t="s">
        <v>39</v>
      </c>
      <c r="C47" s="1">
        <v>0.12210200927357</v>
      </c>
      <c r="D47">
        <v>647</v>
      </c>
      <c r="E47" s="1">
        <v>0.14683153013910399</v>
      </c>
      <c r="F47">
        <v>647</v>
      </c>
    </row>
    <row r="48" spans="1:6" x14ac:dyDescent="0.2">
      <c r="A48" s="7"/>
      <c r="B48" t="s">
        <v>40</v>
      </c>
      <c r="C48" s="1">
        <v>0.13562386980108501</v>
      </c>
      <c r="D48">
        <v>553</v>
      </c>
      <c r="E48" s="1">
        <v>0.151898734177215</v>
      </c>
      <c r="F48">
        <v>553</v>
      </c>
    </row>
    <row r="49" spans="1:6" x14ac:dyDescent="0.2">
      <c r="A49" s="7"/>
      <c r="B49" t="s">
        <v>41</v>
      </c>
      <c r="C49" s="1">
        <v>0.177631578947368</v>
      </c>
      <c r="D49">
        <v>152</v>
      </c>
      <c r="E49" s="1">
        <v>0.197368421052632</v>
      </c>
      <c r="F49">
        <v>152</v>
      </c>
    </row>
    <row r="50" spans="1:6" x14ac:dyDescent="0.2">
      <c r="A50" s="7"/>
      <c r="B50" t="s">
        <v>42</v>
      </c>
      <c r="C50" s="1">
        <v>0.17310664605873299</v>
      </c>
      <c r="D50">
        <v>647</v>
      </c>
      <c r="E50" s="1">
        <v>0.15610510046367901</v>
      </c>
      <c r="F50">
        <v>647</v>
      </c>
    </row>
    <row r="51" spans="1:6" x14ac:dyDescent="0.2">
      <c r="A51" s="7"/>
      <c r="B51" t="s">
        <v>43</v>
      </c>
      <c r="C51" s="1">
        <v>0.176197836166924</v>
      </c>
      <c r="D51">
        <v>647</v>
      </c>
      <c r="E51" s="1">
        <v>0.14837712519319901</v>
      </c>
      <c r="F51">
        <v>647</v>
      </c>
    </row>
    <row r="52" spans="1:6" x14ac:dyDescent="0.2">
      <c r="A52" s="7" t="s">
        <v>68</v>
      </c>
      <c r="B52" t="s">
        <v>44</v>
      </c>
      <c r="C52" s="1">
        <v>0.16012084592145001</v>
      </c>
      <c r="D52">
        <v>662</v>
      </c>
      <c r="E52" s="1">
        <v>0.16616314199395801</v>
      </c>
      <c r="F52">
        <v>662</v>
      </c>
    </row>
    <row r="53" spans="1:6" x14ac:dyDescent="0.2">
      <c r="A53" s="7"/>
      <c r="B53" t="s">
        <v>45</v>
      </c>
      <c r="C53" s="1">
        <v>0.16616766467065899</v>
      </c>
      <c r="D53">
        <v>668</v>
      </c>
      <c r="E53" s="1">
        <v>0.15868263473053901</v>
      </c>
      <c r="F53">
        <v>668</v>
      </c>
    </row>
    <row r="54" spans="1:6" x14ac:dyDescent="0.2">
      <c r="A54" s="7"/>
      <c r="B54" t="s">
        <v>46</v>
      </c>
      <c r="C54" s="1">
        <v>0.192350956130484</v>
      </c>
      <c r="D54">
        <v>889</v>
      </c>
      <c r="E54" s="1">
        <v>0.17454954954954999</v>
      </c>
      <c r="F54">
        <v>888</v>
      </c>
    </row>
    <row r="55" spans="1:6" x14ac:dyDescent="0.2">
      <c r="A55" s="7"/>
      <c r="B55" t="s">
        <v>47</v>
      </c>
      <c r="C55" s="1">
        <v>0.202380952380952</v>
      </c>
      <c r="D55">
        <v>504</v>
      </c>
      <c r="E55" s="1">
        <v>0.16666666666666699</v>
      </c>
      <c r="F55">
        <v>504</v>
      </c>
    </row>
    <row r="56" spans="1:6" x14ac:dyDescent="0.2">
      <c r="A56" s="7"/>
      <c r="B56" t="s">
        <v>48</v>
      </c>
      <c r="C56" s="1">
        <v>0.104477611940299</v>
      </c>
      <c r="D56">
        <v>201</v>
      </c>
      <c r="E56" s="1">
        <v>0.15920398009950201</v>
      </c>
      <c r="F56">
        <v>201</v>
      </c>
    </row>
    <row r="57" spans="1:6" x14ac:dyDescent="0.2">
      <c r="A57" s="7"/>
      <c r="B57" t="s">
        <v>49</v>
      </c>
      <c r="C57" s="1">
        <v>0.16222222222222199</v>
      </c>
      <c r="D57">
        <v>900</v>
      </c>
      <c r="E57" s="1">
        <v>0.13666666666666699</v>
      </c>
      <c r="F57">
        <v>900</v>
      </c>
    </row>
    <row r="58" spans="1:6" x14ac:dyDescent="0.2">
      <c r="A58" s="7"/>
      <c r="B58" t="s">
        <v>50</v>
      </c>
      <c r="C58" s="1">
        <v>0.15029761904761901</v>
      </c>
      <c r="D58">
        <v>672</v>
      </c>
      <c r="E58" s="1">
        <v>0.10267857142857099</v>
      </c>
      <c r="F58">
        <v>672</v>
      </c>
    </row>
    <row r="59" spans="1:6" x14ac:dyDescent="0.2">
      <c r="A59" s="7"/>
      <c r="B59" t="s">
        <v>51</v>
      </c>
      <c r="C59" s="1">
        <v>0.23277909738717301</v>
      </c>
      <c r="D59">
        <v>421</v>
      </c>
      <c r="E59" s="1">
        <v>0.20427553444180499</v>
      </c>
      <c r="F59">
        <v>421</v>
      </c>
    </row>
    <row r="60" spans="1:6" x14ac:dyDescent="0.2">
      <c r="A60" s="7" t="s">
        <v>69</v>
      </c>
      <c r="B60" t="s">
        <v>52</v>
      </c>
      <c r="C60" s="1">
        <v>0.14746543778801799</v>
      </c>
      <c r="D60">
        <v>651</v>
      </c>
      <c r="E60" s="1">
        <v>0.14132104454685099</v>
      </c>
      <c r="F60">
        <v>651</v>
      </c>
    </row>
    <row r="61" spans="1:6" x14ac:dyDescent="0.2">
      <c r="A61" s="7"/>
      <c r="B61" t="s">
        <v>53</v>
      </c>
      <c r="C61" s="1">
        <v>0.144702842377261</v>
      </c>
      <c r="D61">
        <v>774</v>
      </c>
      <c r="E61" s="1">
        <v>0.13178294573643401</v>
      </c>
      <c r="F61">
        <v>774</v>
      </c>
    </row>
    <row r="62" spans="1:6" x14ac:dyDescent="0.2">
      <c r="A62" s="7"/>
      <c r="B62" t="s">
        <v>54</v>
      </c>
      <c r="C62" s="1">
        <v>0.118343195266272</v>
      </c>
      <c r="D62">
        <v>169</v>
      </c>
      <c r="E62" s="1">
        <v>0.15976331360946699</v>
      </c>
      <c r="F62">
        <v>169</v>
      </c>
    </row>
    <row r="63" spans="1:6" x14ac:dyDescent="0.2">
      <c r="A63" s="7"/>
      <c r="B63" t="s">
        <v>55</v>
      </c>
      <c r="C63" s="1">
        <v>0.146788990825688</v>
      </c>
      <c r="D63">
        <v>436</v>
      </c>
      <c r="E63" s="1">
        <v>0.18119266055045899</v>
      </c>
      <c r="F63">
        <v>436</v>
      </c>
    </row>
    <row r="64" spans="1:6" x14ac:dyDescent="0.2">
      <c r="A64" s="7"/>
      <c r="B64" t="s">
        <v>56</v>
      </c>
      <c r="C64" s="1">
        <v>0.106918238993711</v>
      </c>
      <c r="D64">
        <v>636</v>
      </c>
      <c r="E64" s="1">
        <v>0.16666666666666699</v>
      </c>
      <c r="F64">
        <v>636</v>
      </c>
    </row>
    <row r="65" spans="1:6" x14ac:dyDescent="0.2">
      <c r="A65" s="7" t="s">
        <v>70</v>
      </c>
      <c r="B65" t="s">
        <v>52</v>
      </c>
      <c r="C65" s="1">
        <v>0.14392803598200901</v>
      </c>
      <c r="D65">
        <v>667</v>
      </c>
      <c r="E65" s="1">
        <v>0.13793103448275901</v>
      </c>
      <c r="F65">
        <v>667</v>
      </c>
    </row>
    <row r="66" spans="1:6" x14ac:dyDescent="0.2">
      <c r="A66" s="7"/>
      <c r="B66" t="s">
        <v>53</v>
      </c>
      <c r="C66" s="1">
        <v>0.17468354430379701</v>
      </c>
      <c r="D66">
        <v>790</v>
      </c>
      <c r="E66" s="1">
        <v>0.13670886075949401</v>
      </c>
      <c r="F66">
        <v>790</v>
      </c>
    </row>
    <row r="67" spans="1:6" x14ac:dyDescent="0.2">
      <c r="A67" s="7"/>
      <c r="B67" t="s">
        <v>54</v>
      </c>
      <c r="C67" s="1">
        <v>0.209302325581395</v>
      </c>
      <c r="D67">
        <v>172</v>
      </c>
      <c r="E67" s="1">
        <v>0.122093023255814</v>
      </c>
      <c r="F67">
        <v>172</v>
      </c>
    </row>
    <row r="68" spans="1:6" x14ac:dyDescent="0.2">
      <c r="A68" s="7"/>
      <c r="B68" t="s">
        <v>55</v>
      </c>
      <c r="C68" s="1">
        <v>0.16367713004484299</v>
      </c>
      <c r="D68">
        <v>446</v>
      </c>
      <c r="E68" s="1">
        <v>0.161434977578475</v>
      </c>
      <c r="F68">
        <v>446</v>
      </c>
    </row>
    <row r="69" spans="1:6" x14ac:dyDescent="0.2">
      <c r="A69" s="7"/>
      <c r="B69" t="s">
        <v>56</v>
      </c>
      <c r="C69" s="1">
        <v>0.15062111801242201</v>
      </c>
      <c r="D69">
        <v>644</v>
      </c>
      <c r="E69" s="1">
        <v>0.14906832298136599</v>
      </c>
      <c r="F69">
        <v>644</v>
      </c>
    </row>
    <row r="70" spans="1:6" x14ac:dyDescent="0.2">
      <c r="A70" s="7" t="s">
        <v>71</v>
      </c>
      <c r="B70" t="s">
        <v>57</v>
      </c>
      <c r="C70" s="1">
        <v>0.13207547169811301</v>
      </c>
      <c r="D70">
        <v>583</v>
      </c>
      <c r="E70" s="1">
        <v>0.12006861063464799</v>
      </c>
      <c r="F70">
        <v>583</v>
      </c>
    </row>
    <row r="71" spans="1:6" x14ac:dyDescent="0.2">
      <c r="A71" s="7"/>
      <c r="B71" t="s">
        <v>58</v>
      </c>
      <c r="C71" s="1">
        <v>0.144082332761578</v>
      </c>
      <c r="D71">
        <v>583</v>
      </c>
      <c r="E71" s="1">
        <v>0.14579759862778699</v>
      </c>
      <c r="F71">
        <v>583</v>
      </c>
    </row>
    <row r="72" spans="1:6" x14ac:dyDescent="0.2">
      <c r="A72" s="7"/>
      <c r="B72" t="s">
        <v>59</v>
      </c>
      <c r="C72" s="1">
        <v>0.24013722126929701</v>
      </c>
      <c r="D72">
        <v>583</v>
      </c>
      <c r="E72" s="1">
        <v>0.22298456260720401</v>
      </c>
      <c r="F72">
        <v>583</v>
      </c>
    </row>
    <row r="73" spans="1:6" x14ac:dyDescent="0.2">
      <c r="A73" s="7"/>
      <c r="B73" t="s">
        <v>60</v>
      </c>
      <c r="C73" s="1">
        <v>0.17152658662092601</v>
      </c>
      <c r="D73">
        <v>583</v>
      </c>
      <c r="E73" s="1">
        <v>0.17495711835334499</v>
      </c>
      <c r="F73">
        <v>583</v>
      </c>
    </row>
    <row r="74" spans="1:6" x14ac:dyDescent="0.2">
      <c r="A74" s="7"/>
      <c r="B74" t="s">
        <v>61</v>
      </c>
      <c r="C74" s="1">
        <v>0.133790737564322</v>
      </c>
      <c r="D74">
        <v>583</v>
      </c>
      <c r="E74" s="1">
        <v>0.14065180102916</v>
      </c>
      <c r="F74">
        <v>583</v>
      </c>
    </row>
    <row r="75" spans="1:6" x14ac:dyDescent="0.2">
      <c r="A75" s="7"/>
      <c r="B75" t="s">
        <v>62</v>
      </c>
      <c r="C75" s="1">
        <v>0.198970840480274</v>
      </c>
      <c r="D75">
        <v>583</v>
      </c>
      <c r="E75" s="1">
        <v>0.21440823327615799</v>
      </c>
      <c r="F75">
        <v>583</v>
      </c>
    </row>
    <row r="76" spans="1:6" x14ac:dyDescent="0.2">
      <c r="A76" s="7"/>
      <c r="B76" t="s">
        <v>63</v>
      </c>
      <c r="C76" s="1">
        <v>0.198970840480274</v>
      </c>
      <c r="D76">
        <v>583</v>
      </c>
      <c r="E76" s="1">
        <v>0.205831903945112</v>
      </c>
      <c r="F76">
        <v>583</v>
      </c>
    </row>
    <row r="77" spans="1:6" x14ac:dyDescent="0.2">
      <c r="A77" s="7"/>
      <c r="B77" s="6" t="s">
        <v>64</v>
      </c>
      <c r="C77" s="1"/>
      <c r="E77" s="1"/>
    </row>
    <row r="78" spans="1:6" x14ac:dyDescent="0.2">
      <c r="A78" s="7" t="s">
        <v>73</v>
      </c>
      <c r="B78" t="s">
        <v>57</v>
      </c>
      <c r="C78" s="1">
        <v>0.12521440823327601</v>
      </c>
      <c r="D78">
        <v>583</v>
      </c>
      <c r="E78" s="1">
        <v>0.12349914236706699</v>
      </c>
      <c r="F78">
        <v>583</v>
      </c>
    </row>
    <row r="79" spans="1:6" x14ac:dyDescent="0.2">
      <c r="A79" s="7"/>
      <c r="B79" t="s">
        <v>58</v>
      </c>
      <c r="C79" s="1">
        <v>0.111492281303602</v>
      </c>
      <c r="D79">
        <v>583</v>
      </c>
      <c r="E79" s="1">
        <v>0.14065180102916</v>
      </c>
      <c r="F79">
        <v>583</v>
      </c>
    </row>
    <row r="80" spans="1:6" x14ac:dyDescent="0.2">
      <c r="A80" s="7"/>
      <c r="B80" t="s">
        <v>59</v>
      </c>
      <c r="C80" s="1">
        <v>0.195540308747856</v>
      </c>
      <c r="D80">
        <v>583</v>
      </c>
      <c r="E80" s="1">
        <v>0.22126929674099499</v>
      </c>
      <c r="F80">
        <v>583</v>
      </c>
    </row>
    <row r="81" spans="1:10" x14ac:dyDescent="0.2">
      <c r="A81" s="7"/>
      <c r="B81" t="s">
        <v>60</v>
      </c>
      <c r="C81" s="1">
        <v>0.16809605488850801</v>
      </c>
      <c r="D81">
        <v>583</v>
      </c>
      <c r="E81" s="1">
        <v>0.16809605488850801</v>
      </c>
      <c r="F81">
        <v>583</v>
      </c>
    </row>
    <row r="82" spans="1:10" x14ac:dyDescent="0.2">
      <c r="A82" s="7"/>
      <c r="B82" t="s">
        <v>61</v>
      </c>
      <c r="C82" s="1">
        <v>0.14579759862778699</v>
      </c>
      <c r="D82">
        <v>583</v>
      </c>
      <c r="E82" s="1">
        <v>0.14236706689536899</v>
      </c>
      <c r="F82">
        <v>583</v>
      </c>
    </row>
    <row r="83" spans="1:10" x14ac:dyDescent="0.2">
      <c r="A83" s="7"/>
      <c r="B83" t="s">
        <v>62</v>
      </c>
      <c r="C83" s="1">
        <v>0.22126929674099499</v>
      </c>
      <c r="D83">
        <v>583</v>
      </c>
      <c r="E83" s="1">
        <v>0.21440823327615799</v>
      </c>
      <c r="F83">
        <v>583</v>
      </c>
    </row>
    <row r="84" spans="1:10" x14ac:dyDescent="0.2">
      <c r="A84" s="7"/>
      <c r="B84" t="s">
        <v>63</v>
      </c>
      <c r="C84" s="1">
        <v>0.17838765008576299</v>
      </c>
      <c r="D84">
        <v>583</v>
      </c>
      <c r="E84" s="1">
        <v>0.15094339622641501</v>
      </c>
      <c r="F84">
        <v>583</v>
      </c>
    </row>
    <row r="85" spans="1:10" x14ac:dyDescent="0.2">
      <c r="A85" s="7"/>
      <c r="B85" s="6" t="s">
        <v>64</v>
      </c>
      <c r="C85" s="1"/>
      <c r="E85" s="1"/>
    </row>
    <row r="87" spans="1:10" x14ac:dyDescent="0.2">
      <c r="B87" s="2" t="s">
        <v>2</v>
      </c>
      <c r="C87" s="3">
        <f>AVERAGE(C3:C11)*100</f>
        <v>15.473093544218425</v>
      </c>
      <c r="D87" s="4"/>
      <c r="E87" s="3">
        <f>AVERAGE(E3:E11)*100</f>
        <v>14.121063288034749</v>
      </c>
      <c r="F87" s="4"/>
      <c r="G87" s="4"/>
      <c r="I87" t="s">
        <v>20</v>
      </c>
      <c r="J87" t="s">
        <v>21</v>
      </c>
    </row>
    <row r="88" spans="1:10" x14ac:dyDescent="0.2">
      <c r="B88" s="2" t="s">
        <v>3</v>
      </c>
      <c r="C88" s="3">
        <f>AVERAGE(C12:C20)*100</f>
        <v>14.599983104803837</v>
      </c>
      <c r="D88" s="4"/>
      <c r="E88" s="3">
        <f>AVERAGE(E12:E20)*100</f>
        <v>12.206021573401877</v>
      </c>
      <c r="F88" s="4"/>
      <c r="G88" s="4"/>
      <c r="H88" s="2" t="s">
        <v>74</v>
      </c>
      <c r="I88" s="5">
        <f>AVERAGE(D3:D20)</f>
        <v>635.5625</v>
      </c>
      <c r="J88" s="5">
        <f>AVERAGE(F3:F20)</f>
        <v>635.5</v>
      </c>
    </row>
    <row r="89" spans="1:10" x14ac:dyDescent="0.2">
      <c r="B89" s="2" t="s">
        <v>8</v>
      </c>
      <c r="C89" s="3">
        <f>AVERAGE(C21:C29)*100</f>
        <v>15.614470734260502</v>
      </c>
      <c r="D89" s="4"/>
      <c r="E89" s="3">
        <f>AVERAGE(E21:E29)*100</f>
        <v>13.220814410386799</v>
      </c>
      <c r="F89" s="4"/>
      <c r="G89" s="4"/>
      <c r="H89" s="2" t="s">
        <v>75</v>
      </c>
      <c r="I89" s="5">
        <f>AVERAGE(D52:D64)</f>
        <v>583.30769230769226</v>
      </c>
      <c r="J89" s="5">
        <f>AVERAGE(F52:F64)</f>
        <v>583.23076923076928</v>
      </c>
    </row>
    <row r="90" spans="1:10" x14ac:dyDescent="0.2">
      <c r="B90" s="2" t="s">
        <v>0</v>
      </c>
      <c r="C90" s="3">
        <f>AVERAGE(C30:C40)*100</f>
        <v>17.438013511021598</v>
      </c>
      <c r="D90" s="4"/>
      <c r="E90" s="3">
        <f>AVERAGE(E30:E40)*100</f>
        <v>15.682261992874432</v>
      </c>
      <c r="F90" s="4"/>
      <c r="G90" s="4"/>
      <c r="H90" s="4"/>
      <c r="I90" s="4"/>
    </row>
    <row r="91" spans="1:10" x14ac:dyDescent="0.2">
      <c r="B91" s="2" t="s">
        <v>1</v>
      </c>
      <c r="C91" s="3">
        <f>AVERAGE(C41:C51)*100</f>
        <v>16.497961108367676</v>
      </c>
      <c r="D91" s="4"/>
      <c r="E91" s="3">
        <f>AVERAGE(E41:E51)*100</f>
        <v>16.400066107396739</v>
      </c>
      <c r="F91" s="4"/>
      <c r="G91" s="4"/>
      <c r="H91" s="4"/>
      <c r="I91" s="4"/>
    </row>
    <row r="92" spans="1:10" x14ac:dyDescent="0.2">
      <c r="B92" s="2" t="s">
        <v>4</v>
      </c>
      <c r="C92" s="3">
        <f>AVERAGE(C52:C59)*100</f>
        <v>17.134962121260727</v>
      </c>
      <c r="D92" s="4"/>
      <c r="E92" s="3">
        <f>AVERAGE(E52:E59)*100</f>
        <v>15.861084319715738</v>
      </c>
      <c r="F92" s="4"/>
      <c r="G92" s="4"/>
      <c r="H92" s="4"/>
      <c r="I92" s="4"/>
    </row>
    <row r="93" spans="1:10" x14ac:dyDescent="0.2">
      <c r="B93" s="2" t="s">
        <v>5</v>
      </c>
      <c r="C93" s="3">
        <f>AVERAGE(C60:C64)*100</f>
        <v>13.284374105018998</v>
      </c>
      <c r="D93" s="4"/>
      <c r="E93" s="3">
        <f>AVERAGE(E60:E64)*100</f>
        <v>15.614532622197558</v>
      </c>
      <c r="F93" s="4"/>
      <c r="G93" s="4"/>
      <c r="H93" s="4"/>
      <c r="I93" s="4"/>
    </row>
    <row r="94" spans="1:10" x14ac:dyDescent="0.2">
      <c r="B94" s="2" t="s">
        <v>9</v>
      </c>
      <c r="C94" s="3">
        <f>AVERAGE(C65:C69)*100</f>
        <v>16.84424307848932</v>
      </c>
      <c r="D94" s="4"/>
      <c r="E94" s="3">
        <f>AVERAGE(E65:E69)*100</f>
        <v>14.144724381158161</v>
      </c>
      <c r="F94" s="4"/>
      <c r="G94" s="4"/>
      <c r="H94" s="4"/>
      <c r="I94" s="4"/>
    </row>
    <row r="95" spans="1:10" x14ac:dyDescent="0.2">
      <c r="B95" s="2" t="s">
        <v>6</v>
      </c>
      <c r="C95" s="3">
        <f>AVERAGE(C70:C77)*100</f>
        <v>17.422200441068341</v>
      </c>
      <c r="D95" s="4"/>
      <c r="E95" s="3">
        <f>AVERAGE(E70:E77)*100</f>
        <v>17.495711835334486</v>
      </c>
      <c r="F95" s="4"/>
      <c r="G95" s="4"/>
      <c r="H95" s="4"/>
      <c r="I95" s="4"/>
    </row>
    <row r="96" spans="1:10" x14ac:dyDescent="0.2">
      <c r="B96" s="2" t="s">
        <v>7</v>
      </c>
      <c r="C96" s="3">
        <f>AVERAGE(C78:C85)*100</f>
        <v>16.3685371232541</v>
      </c>
      <c r="D96" s="4"/>
      <c r="E96" s="3">
        <f>AVERAGE(E78:E85)*100</f>
        <v>16.589071306052457</v>
      </c>
      <c r="F96" s="4"/>
      <c r="G96" s="4"/>
      <c r="H96" s="4"/>
      <c r="I96" s="4"/>
    </row>
    <row r="97" spans="3:9" x14ac:dyDescent="0.2">
      <c r="C97" s="4"/>
      <c r="D97" s="4"/>
      <c r="E97" s="4"/>
      <c r="F97" s="4"/>
      <c r="G97" s="4"/>
      <c r="H97" s="4"/>
      <c r="I97" s="4"/>
    </row>
    <row r="98" spans="3:9" x14ac:dyDescent="0.2">
      <c r="C98" s="4"/>
      <c r="D98" s="4"/>
      <c r="E98" s="4"/>
      <c r="F98" s="4"/>
      <c r="G98" s="4"/>
      <c r="H98" s="4"/>
      <c r="I98" s="4"/>
    </row>
  </sheetData>
  <mergeCells count="12">
    <mergeCell ref="A78:A85"/>
    <mergeCell ref="C1:D1"/>
    <mergeCell ref="E1:F1"/>
    <mergeCell ref="A3:A11"/>
    <mergeCell ref="A12:A20"/>
    <mergeCell ref="A21:A29"/>
    <mergeCell ref="A30:A40"/>
    <mergeCell ref="A41:A51"/>
    <mergeCell ref="A52:A59"/>
    <mergeCell ref="A60:A64"/>
    <mergeCell ref="A65:A69"/>
    <mergeCell ref="A70:A7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workbookViewId="0">
      <selection activeCell="C43" sqref="C43:F44"/>
    </sheetView>
  </sheetViews>
  <sheetFormatPr baseColWidth="10" defaultColWidth="9.1640625" defaultRowHeight="15" x14ac:dyDescent="0.2"/>
  <cols>
    <col min="2" max="2" width="24.1640625" bestFit="1" customWidth="1"/>
    <col min="8" max="8" width="14.5" bestFit="1" customWidth="1"/>
  </cols>
  <sheetData>
    <row r="1" spans="1:9" x14ac:dyDescent="0.2">
      <c r="C1" s="8" t="s">
        <v>20</v>
      </c>
      <c r="D1" s="8"/>
      <c r="E1" s="8" t="s">
        <v>21</v>
      </c>
      <c r="F1" s="8"/>
      <c r="H1" t="s">
        <v>72</v>
      </c>
    </row>
    <row r="2" spans="1:9" x14ac:dyDescent="0.2">
      <c r="C2" t="s">
        <v>76</v>
      </c>
      <c r="D2" t="s">
        <v>19</v>
      </c>
      <c r="E2" t="s">
        <v>76</v>
      </c>
      <c r="F2" t="s">
        <v>19</v>
      </c>
      <c r="H2" t="s">
        <v>20</v>
      </c>
      <c r="I2" t="s">
        <v>22</v>
      </c>
    </row>
    <row r="3" spans="1:9" x14ac:dyDescent="0.2">
      <c r="A3" s="7" t="s">
        <v>65</v>
      </c>
      <c r="B3" t="s">
        <v>10</v>
      </c>
      <c r="C3" s="1">
        <v>0.230769230769231</v>
      </c>
      <c r="D3">
        <v>169</v>
      </c>
      <c r="E3" s="1">
        <v>0.15476190476190499</v>
      </c>
      <c r="F3">
        <v>168</v>
      </c>
      <c r="H3" t="s">
        <v>21</v>
      </c>
      <c r="I3" t="s">
        <v>23</v>
      </c>
    </row>
    <row r="4" spans="1:9" x14ac:dyDescent="0.2">
      <c r="A4" s="7"/>
      <c r="B4" t="s">
        <v>11</v>
      </c>
      <c r="C4" s="1">
        <v>0.183544303797468</v>
      </c>
      <c r="D4">
        <v>316</v>
      </c>
      <c r="E4" s="1">
        <v>0.174050632911392</v>
      </c>
      <c r="F4">
        <v>316</v>
      </c>
    </row>
    <row r="5" spans="1:9" x14ac:dyDescent="0.2">
      <c r="A5" s="7"/>
      <c r="B5" t="s">
        <v>12</v>
      </c>
      <c r="C5" s="1">
        <v>0.221458046767538</v>
      </c>
      <c r="D5">
        <v>727</v>
      </c>
      <c r="E5" s="1">
        <v>0.12242090784044</v>
      </c>
      <c r="F5">
        <v>727</v>
      </c>
    </row>
    <row r="6" spans="1:9" x14ac:dyDescent="0.2">
      <c r="A6" s="7"/>
      <c r="B6" t="s">
        <v>13</v>
      </c>
      <c r="C6" s="1">
        <v>0.28461538461538499</v>
      </c>
      <c r="D6">
        <v>650</v>
      </c>
      <c r="E6" s="1">
        <v>0.14307692307692299</v>
      </c>
      <c r="F6">
        <v>650</v>
      </c>
    </row>
    <row r="7" spans="1:9" x14ac:dyDescent="0.2">
      <c r="A7" s="7"/>
      <c r="B7" s="6" t="s">
        <v>14</v>
      </c>
      <c r="C7" s="1"/>
      <c r="E7" s="1"/>
    </row>
    <row r="8" spans="1:9" x14ac:dyDescent="0.2">
      <c r="A8" s="7"/>
      <c r="B8" t="s">
        <v>15</v>
      </c>
      <c r="C8" s="1">
        <v>0.18208092485549099</v>
      </c>
      <c r="D8">
        <v>692</v>
      </c>
      <c r="E8" s="1">
        <v>9.6820809248554907E-2</v>
      </c>
      <c r="F8">
        <v>692</v>
      </c>
    </row>
    <row r="9" spans="1:9" x14ac:dyDescent="0.2">
      <c r="A9" s="7"/>
      <c r="B9" t="s">
        <v>16</v>
      </c>
      <c r="C9" s="1">
        <v>0.16920473773265701</v>
      </c>
      <c r="D9">
        <v>591</v>
      </c>
      <c r="E9" s="1">
        <v>0.109983079526227</v>
      </c>
      <c r="F9">
        <v>591</v>
      </c>
    </row>
    <row r="10" spans="1:9" x14ac:dyDescent="0.2">
      <c r="A10" s="7"/>
      <c r="B10" t="s">
        <v>17</v>
      </c>
      <c r="C10" s="1">
        <v>0.25526641883519202</v>
      </c>
      <c r="D10">
        <v>807</v>
      </c>
      <c r="E10" s="1">
        <v>0.168525402726146</v>
      </c>
      <c r="F10">
        <v>807</v>
      </c>
    </row>
    <row r="11" spans="1:9" x14ac:dyDescent="0.2">
      <c r="A11" s="7"/>
      <c r="B11" t="s">
        <v>18</v>
      </c>
      <c r="C11" s="1">
        <v>0.24177071509648099</v>
      </c>
      <c r="D11">
        <v>881</v>
      </c>
      <c r="E11" s="1">
        <v>0.16004540295119199</v>
      </c>
      <c r="F11">
        <v>881</v>
      </c>
    </row>
    <row r="12" spans="1:9" x14ac:dyDescent="0.2">
      <c r="A12" s="7" t="s">
        <v>66</v>
      </c>
      <c r="B12" t="s">
        <v>24</v>
      </c>
      <c r="C12" s="1">
        <v>0.17166666666666699</v>
      </c>
      <c r="D12">
        <v>600</v>
      </c>
      <c r="E12" s="1">
        <v>0.09</v>
      </c>
      <c r="F12">
        <v>600</v>
      </c>
    </row>
    <row r="13" spans="1:9" x14ac:dyDescent="0.2">
      <c r="A13" s="7"/>
      <c r="B13" t="s">
        <v>25</v>
      </c>
      <c r="C13" s="1">
        <v>0.215425531914894</v>
      </c>
      <c r="D13">
        <v>752</v>
      </c>
      <c r="E13" s="1">
        <v>0.10904255319148901</v>
      </c>
      <c r="F13">
        <v>752</v>
      </c>
    </row>
    <row r="14" spans="1:9" x14ac:dyDescent="0.2">
      <c r="A14" s="7"/>
      <c r="B14" t="s">
        <v>26</v>
      </c>
      <c r="C14" s="1">
        <v>0.16697247706422</v>
      </c>
      <c r="D14">
        <v>545</v>
      </c>
      <c r="E14" s="1">
        <v>0.108256880733945</v>
      </c>
      <c r="F14">
        <v>545</v>
      </c>
    </row>
    <row r="15" spans="1:9" x14ac:dyDescent="0.2">
      <c r="A15" s="7"/>
      <c r="B15" t="s">
        <v>27</v>
      </c>
      <c r="C15" s="1">
        <v>0.18161683277962301</v>
      </c>
      <c r="D15">
        <v>903</v>
      </c>
      <c r="E15" s="1">
        <v>0.10520487264673301</v>
      </c>
      <c r="F15">
        <v>903</v>
      </c>
    </row>
    <row r="16" spans="1:9" x14ac:dyDescent="0.2">
      <c r="A16" s="7"/>
      <c r="B16" t="s">
        <v>28</v>
      </c>
      <c r="C16" s="1">
        <v>0.25606060606060599</v>
      </c>
      <c r="D16">
        <v>660</v>
      </c>
      <c r="E16" s="1">
        <v>0.133333333333333</v>
      </c>
      <c r="F16">
        <v>660</v>
      </c>
    </row>
    <row r="17" spans="1:6" x14ac:dyDescent="0.2">
      <c r="A17" s="7"/>
      <c r="B17" t="s">
        <v>29</v>
      </c>
      <c r="C17" s="1">
        <v>0.19869706840390899</v>
      </c>
      <c r="D17">
        <v>614</v>
      </c>
      <c r="E17" s="1">
        <v>0.15146579804560301</v>
      </c>
      <c r="F17">
        <v>614</v>
      </c>
    </row>
    <row r="18" spans="1:6" x14ac:dyDescent="0.2">
      <c r="A18" s="7"/>
      <c r="B18" t="s">
        <v>30</v>
      </c>
      <c r="C18" s="1">
        <v>0.21186440677966101</v>
      </c>
      <c r="D18">
        <v>472</v>
      </c>
      <c r="E18" s="1">
        <v>0.16525423728813601</v>
      </c>
      <c r="F18">
        <v>472</v>
      </c>
    </row>
    <row r="19" spans="1:6" x14ac:dyDescent="0.2">
      <c r="A19" s="7"/>
      <c r="B19" s="6" t="s">
        <v>31</v>
      </c>
      <c r="C19" s="1"/>
      <c r="E19" s="1"/>
    </row>
    <row r="20" spans="1:6" x14ac:dyDescent="0.2">
      <c r="A20" s="7"/>
      <c r="B20" t="s">
        <v>32</v>
      </c>
      <c r="C20" s="1">
        <v>0.20379746835442999</v>
      </c>
      <c r="D20">
        <v>790</v>
      </c>
      <c r="E20" s="1">
        <v>0.113924050632911</v>
      </c>
      <c r="F20">
        <v>790</v>
      </c>
    </row>
    <row r="21" spans="1:6" x14ac:dyDescent="0.2">
      <c r="A21" s="7" t="s">
        <v>67</v>
      </c>
      <c r="B21" t="s">
        <v>24</v>
      </c>
      <c r="C21" s="1">
        <v>0.181219110378913</v>
      </c>
      <c r="D21">
        <v>607</v>
      </c>
      <c r="E21" s="1">
        <v>0.110378912685338</v>
      </c>
      <c r="F21">
        <v>607</v>
      </c>
    </row>
    <row r="22" spans="1:6" x14ac:dyDescent="0.2">
      <c r="A22" s="7"/>
      <c r="B22" t="s">
        <v>25</v>
      </c>
      <c r="C22" s="1">
        <v>0.19053876478317999</v>
      </c>
      <c r="D22">
        <v>761</v>
      </c>
      <c r="E22" s="1">
        <v>0.126149802890933</v>
      </c>
      <c r="F22">
        <v>761</v>
      </c>
    </row>
    <row r="23" spans="1:6" x14ac:dyDescent="0.2">
      <c r="A23" s="7"/>
      <c r="B23" t="s">
        <v>26</v>
      </c>
      <c r="C23" s="1">
        <v>0.17971530249110301</v>
      </c>
      <c r="D23">
        <v>562</v>
      </c>
      <c r="E23" s="1">
        <v>9.2526690391459096E-2</v>
      </c>
      <c r="F23">
        <v>562</v>
      </c>
    </row>
    <row r="24" spans="1:6" x14ac:dyDescent="0.2">
      <c r="A24" s="7"/>
      <c r="B24" t="s">
        <v>27</v>
      </c>
      <c r="C24" s="1">
        <v>0.18990120746432501</v>
      </c>
      <c r="D24">
        <v>911</v>
      </c>
      <c r="E24" s="1">
        <v>0.121844127332602</v>
      </c>
      <c r="F24">
        <v>911</v>
      </c>
    </row>
    <row r="25" spans="1:6" x14ac:dyDescent="0.2">
      <c r="A25" s="7"/>
      <c r="B25" t="s">
        <v>28</v>
      </c>
      <c r="C25" s="1">
        <v>0.28805970149253701</v>
      </c>
      <c r="D25">
        <v>670</v>
      </c>
      <c r="E25" s="1">
        <v>0.16567164179104499</v>
      </c>
      <c r="F25">
        <v>670</v>
      </c>
    </row>
    <row r="26" spans="1:6" x14ac:dyDescent="0.2">
      <c r="A26" s="7"/>
      <c r="B26" t="s">
        <v>29</v>
      </c>
      <c r="C26" s="1">
        <v>0.216</v>
      </c>
      <c r="D26">
        <v>625</v>
      </c>
      <c r="E26" s="1">
        <v>0.1648</v>
      </c>
      <c r="F26">
        <v>625</v>
      </c>
    </row>
    <row r="27" spans="1:6" x14ac:dyDescent="0.2">
      <c r="A27" s="7"/>
      <c r="B27" t="s">
        <v>30</v>
      </c>
      <c r="C27" s="1">
        <v>0.27800829875518701</v>
      </c>
      <c r="D27">
        <v>482</v>
      </c>
      <c r="E27" s="1">
        <v>0.134854771784232</v>
      </c>
      <c r="F27">
        <v>482</v>
      </c>
    </row>
    <row r="28" spans="1:6" x14ac:dyDescent="0.2">
      <c r="A28" s="7"/>
      <c r="B28" s="6" t="s">
        <v>31</v>
      </c>
      <c r="C28" s="1"/>
      <c r="E28" s="1"/>
    </row>
    <row r="29" spans="1:6" x14ac:dyDescent="0.2">
      <c r="A29" s="7"/>
      <c r="B29" t="s">
        <v>32</v>
      </c>
      <c r="C29" s="1">
        <v>0.20719602977667501</v>
      </c>
      <c r="D29">
        <v>806</v>
      </c>
      <c r="E29" s="1">
        <v>0.14143920595533499</v>
      </c>
      <c r="F29">
        <v>806</v>
      </c>
    </row>
    <row r="30" spans="1:6" x14ac:dyDescent="0.2">
      <c r="A30" s="7" t="s">
        <v>0</v>
      </c>
      <c r="B30" t="s">
        <v>33</v>
      </c>
      <c r="C30" s="1">
        <v>0.23338485316846999</v>
      </c>
      <c r="D30">
        <v>647</v>
      </c>
      <c r="E30" s="1">
        <v>0.14374034003091199</v>
      </c>
      <c r="F30">
        <v>647</v>
      </c>
    </row>
    <row r="31" spans="1:6" x14ac:dyDescent="0.2">
      <c r="A31" s="7"/>
      <c r="B31" t="s">
        <v>34</v>
      </c>
      <c r="C31" s="1">
        <v>0.21947449768160701</v>
      </c>
      <c r="D31">
        <v>647</v>
      </c>
      <c r="E31" s="1">
        <v>0.17001545595054099</v>
      </c>
      <c r="F31">
        <v>647</v>
      </c>
    </row>
    <row r="32" spans="1:6" x14ac:dyDescent="0.2">
      <c r="A32" s="7"/>
      <c r="B32" s="6" t="s">
        <v>35</v>
      </c>
      <c r="C32" s="1"/>
      <c r="E32" s="1"/>
    </row>
    <row r="33" spans="1:6" x14ac:dyDescent="0.2">
      <c r="A33" s="7"/>
      <c r="B33" s="6" t="s">
        <v>36</v>
      </c>
      <c r="C33" s="1"/>
      <c r="E33" s="1"/>
    </row>
    <row r="34" spans="1:6" x14ac:dyDescent="0.2">
      <c r="A34" s="7"/>
      <c r="B34" t="s">
        <v>37</v>
      </c>
      <c r="C34" s="1">
        <v>0.26429675425038601</v>
      </c>
      <c r="D34">
        <v>647</v>
      </c>
      <c r="E34" s="1">
        <v>0.18238021638330801</v>
      </c>
      <c r="F34">
        <v>647</v>
      </c>
    </row>
    <row r="35" spans="1:6" x14ac:dyDescent="0.2">
      <c r="A35" s="7"/>
      <c r="B35" t="s">
        <v>38</v>
      </c>
      <c r="C35" s="1">
        <v>0.24111282843894899</v>
      </c>
      <c r="D35">
        <v>647</v>
      </c>
      <c r="E35" s="1">
        <v>0.153013910355487</v>
      </c>
      <c r="F35">
        <v>647</v>
      </c>
    </row>
    <row r="36" spans="1:6" x14ac:dyDescent="0.2">
      <c r="A36" s="7"/>
      <c r="B36" t="s">
        <v>39</v>
      </c>
      <c r="C36" s="1">
        <v>0.224111282843895</v>
      </c>
      <c r="D36">
        <v>647</v>
      </c>
      <c r="E36" s="1">
        <v>0.10973724884080401</v>
      </c>
      <c r="F36">
        <v>647</v>
      </c>
    </row>
    <row r="37" spans="1:6" x14ac:dyDescent="0.2">
      <c r="A37" s="7"/>
      <c r="B37" t="s">
        <v>40</v>
      </c>
      <c r="C37" s="1">
        <v>0.206039076376554</v>
      </c>
      <c r="D37">
        <v>563</v>
      </c>
      <c r="E37" s="1">
        <v>0.120781527531083</v>
      </c>
      <c r="F37">
        <v>563</v>
      </c>
    </row>
    <row r="38" spans="1:6" x14ac:dyDescent="0.2">
      <c r="A38" s="7"/>
      <c r="B38" t="s">
        <v>41</v>
      </c>
      <c r="C38" s="1">
        <v>0.214285714285714</v>
      </c>
      <c r="D38">
        <v>154</v>
      </c>
      <c r="E38" s="1">
        <v>0.162337662337662</v>
      </c>
      <c r="F38">
        <v>154</v>
      </c>
    </row>
    <row r="39" spans="1:6" x14ac:dyDescent="0.2">
      <c r="A39" s="7"/>
      <c r="B39" t="s">
        <v>42</v>
      </c>
      <c r="C39" s="1">
        <v>0.24265842349304501</v>
      </c>
      <c r="D39">
        <v>647</v>
      </c>
      <c r="E39" s="1">
        <v>0.157650695517774</v>
      </c>
      <c r="F39">
        <v>647</v>
      </c>
    </row>
    <row r="40" spans="1:6" x14ac:dyDescent="0.2">
      <c r="A40" s="7"/>
      <c r="B40" t="s">
        <v>43</v>
      </c>
      <c r="C40" s="1">
        <v>0.27975270479134501</v>
      </c>
      <c r="D40">
        <v>647</v>
      </c>
      <c r="E40" s="1">
        <v>0.197836166924266</v>
      </c>
      <c r="F40">
        <v>647</v>
      </c>
    </row>
    <row r="41" spans="1:6" x14ac:dyDescent="0.2">
      <c r="A41" s="7" t="s">
        <v>1</v>
      </c>
      <c r="B41" t="s">
        <v>33</v>
      </c>
      <c r="C41" s="1">
        <v>0.21638330757341601</v>
      </c>
      <c r="D41">
        <v>647</v>
      </c>
      <c r="E41" s="1">
        <v>0.139103554868624</v>
      </c>
      <c r="F41">
        <v>647</v>
      </c>
    </row>
    <row r="42" spans="1:6" x14ac:dyDescent="0.2">
      <c r="A42" s="7"/>
      <c r="B42" t="s">
        <v>34</v>
      </c>
      <c r="C42" s="1">
        <v>0.21792890262751199</v>
      </c>
      <c r="D42">
        <v>647</v>
      </c>
      <c r="E42" s="1">
        <v>0.17465224111282801</v>
      </c>
      <c r="F42">
        <v>647</v>
      </c>
    </row>
    <row r="43" spans="1:6" x14ac:dyDescent="0.2">
      <c r="A43" s="7"/>
      <c r="B43" s="6" t="s">
        <v>35</v>
      </c>
      <c r="C43" s="1"/>
      <c r="E43" s="1"/>
    </row>
    <row r="44" spans="1:6" x14ac:dyDescent="0.2">
      <c r="A44" s="7"/>
      <c r="B44" s="6" t="s">
        <v>36</v>
      </c>
      <c r="C44" s="1"/>
      <c r="E44" s="1"/>
    </row>
    <row r="45" spans="1:6" x14ac:dyDescent="0.2">
      <c r="A45" s="7"/>
      <c r="B45" t="s">
        <v>37</v>
      </c>
      <c r="C45" s="1">
        <v>0.29675425038639902</v>
      </c>
      <c r="D45">
        <v>647</v>
      </c>
      <c r="E45" s="1">
        <v>0.149922720247295</v>
      </c>
      <c r="F45">
        <v>647</v>
      </c>
    </row>
    <row r="46" spans="1:6" x14ac:dyDescent="0.2">
      <c r="A46" s="7"/>
      <c r="B46" t="s">
        <v>38</v>
      </c>
      <c r="C46" s="1">
        <v>0.21638330757341601</v>
      </c>
      <c r="D46">
        <v>647</v>
      </c>
      <c r="E46" s="1">
        <v>0.13755795981452901</v>
      </c>
      <c r="F46">
        <v>647</v>
      </c>
    </row>
    <row r="47" spans="1:6" x14ac:dyDescent="0.2">
      <c r="A47" s="7"/>
      <c r="B47" t="s">
        <v>39</v>
      </c>
      <c r="C47" s="1">
        <v>0.15919629057187001</v>
      </c>
      <c r="D47">
        <v>647</v>
      </c>
      <c r="E47" s="1">
        <v>0.13601236476043299</v>
      </c>
      <c r="F47">
        <v>647</v>
      </c>
    </row>
    <row r="48" spans="1:6" x14ac:dyDescent="0.2">
      <c r="A48" s="7"/>
      <c r="B48" t="s">
        <v>40</v>
      </c>
      <c r="C48" s="1">
        <v>0.20253164556962</v>
      </c>
      <c r="D48">
        <v>553</v>
      </c>
      <c r="E48" s="1">
        <v>0.151898734177215</v>
      </c>
      <c r="F48">
        <v>553</v>
      </c>
    </row>
    <row r="49" spans="1:6" x14ac:dyDescent="0.2">
      <c r="A49" s="7"/>
      <c r="B49" t="s">
        <v>41</v>
      </c>
      <c r="C49" s="1">
        <v>0.25</v>
      </c>
      <c r="D49">
        <v>152</v>
      </c>
      <c r="E49" s="1">
        <v>0.197368421052632</v>
      </c>
      <c r="F49">
        <v>152</v>
      </c>
    </row>
    <row r="50" spans="1:6" x14ac:dyDescent="0.2">
      <c r="A50" s="7"/>
      <c r="B50" t="s">
        <v>42</v>
      </c>
      <c r="C50" s="1">
        <v>0.231839258114374</v>
      </c>
      <c r="D50">
        <v>647</v>
      </c>
      <c r="E50" s="1">
        <v>0.149922720247295</v>
      </c>
      <c r="F50">
        <v>647</v>
      </c>
    </row>
    <row r="51" spans="1:6" x14ac:dyDescent="0.2">
      <c r="A51" s="7"/>
      <c r="B51" t="s">
        <v>43</v>
      </c>
      <c r="C51" s="1">
        <v>0.236476043276662</v>
      </c>
      <c r="D51">
        <v>647</v>
      </c>
      <c r="E51" s="1">
        <v>0.16228748068006199</v>
      </c>
      <c r="F51">
        <v>647</v>
      </c>
    </row>
    <row r="52" spans="1:6" x14ac:dyDescent="0.2">
      <c r="A52" s="7" t="s">
        <v>68</v>
      </c>
      <c r="B52" t="s">
        <v>44</v>
      </c>
      <c r="C52" s="1">
        <v>0.21450151057401801</v>
      </c>
      <c r="D52">
        <v>662</v>
      </c>
      <c r="E52" s="1">
        <v>0.16616314199395801</v>
      </c>
      <c r="F52">
        <v>662</v>
      </c>
    </row>
    <row r="53" spans="1:6" x14ac:dyDescent="0.2">
      <c r="A53" s="7"/>
      <c r="B53" t="s">
        <v>45</v>
      </c>
      <c r="C53" s="1">
        <v>0.220059880239521</v>
      </c>
      <c r="D53">
        <v>668</v>
      </c>
      <c r="E53" s="1">
        <v>0.15868263473053901</v>
      </c>
      <c r="F53">
        <v>668</v>
      </c>
    </row>
    <row r="54" spans="1:6" x14ac:dyDescent="0.2">
      <c r="A54" s="7"/>
      <c r="B54" t="s">
        <v>46</v>
      </c>
      <c r="C54" s="1">
        <v>0.24859392575927999</v>
      </c>
      <c r="D54">
        <v>889</v>
      </c>
      <c r="E54" s="1">
        <v>0.17454954954954999</v>
      </c>
      <c r="F54">
        <v>888</v>
      </c>
    </row>
    <row r="55" spans="1:6" x14ac:dyDescent="0.2">
      <c r="A55" s="7"/>
      <c r="B55" t="s">
        <v>47</v>
      </c>
      <c r="C55" s="1">
        <v>0.25</v>
      </c>
      <c r="D55">
        <v>504</v>
      </c>
      <c r="E55" s="1">
        <v>0.16666666666666699</v>
      </c>
      <c r="F55">
        <v>504</v>
      </c>
    </row>
    <row r="56" spans="1:6" x14ac:dyDescent="0.2">
      <c r="A56" s="7"/>
      <c r="B56" t="s">
        <v>48</v>
      </c>
      <c r="C56" s="1">
        <v>0.134328358208955</v>
      </c>
      <c r="D56">
        <v>201</v>
      </c>
      <c r="E56" s="1">
        <v>0.15920398009950201</v>
      </c>
      <c r="F56">
        <v>201</v>
      </c>
    </row>
    <row r="57" spans="1:6" x14ac:dyDescent="0.2">
      <c r="A57" s="7"/>
      <c r="B57" t="s">
        <v>49</v>
      </c>
      <c r="C57" s="1">
        <v>0.22111111111111101</v>
      </c>
      <c r="D57">
        <v>900</v>
      </c>
      <c r="E57" s="1">
        <v>0.13666666666666699</v>
      </c>
      <c r="F57">
        <v>900</v>
      </c>
    </row>
    <row r="58" spans="1:6" x14ac:dyDescent="0.2">
      <c r="A58" s="7"/>
      <c r="B58" t="s">
        <v>50</v>
      </c>
      <c r="C58" s="1">
        <v>0.175595238095238</v>
      </c>
      <c r="D58">
        <v>672</v>
      </c>
      <c r="E58" s="1">
        <v>0.10267857142857099</v>
      </c>
      <c r="F58">
        <v>672</v>
      </c>
    </row>
    <row r="59" spans="1:6" x14ac:dyDescent="0.2">
      <c r="A59" s="7"/>
      <c r="B59" t="s">
        <v>51</v>
      </c>
      <c r="C59" s="1">
        <v>0.29453681710213803</v>
      </c>
      <c r="D59">
        <v>421</v>
      </c>
      <c r="E59" s="1">
        <v>0.20427553444180499</v>
      </c>
      <c r="F59">
        <v>421</v>
      </c>
    </row>
    <row r="60" spans="1:6" x14ac:dyDescent="0.2">
      <c r="A60" s="7" t="s">
        <v>69</v>
      </c>
      <c r="B60" t="s">
        <v>52</v>
      </c>
      <c r="C60" s="1">
        <v>0.19662058371735799</v>
      </c>
      <c r="D60">
        <v>651</v>
      </c>
      <c r="E60" s="1">
        <v>0.14132104454685099</v>
      </c>
      <c r="F60">
        <v>651</v>
      </c>
    </row>
    <row r="61" spans="1:6" x14ac:dyDescent="0.2">
      <c r="A61" s="7"/>
      <c r="B61" t="s">
        <v>53</v>
      </c>
      <c r="C61" s="1">
        <v>0.18217054263565899</v>
      </c>
      <c r="D61">
        <v>774</v>
      </c>
      <c r="E61" s="1">
        <v>0.13178294573643401</v>
      </c>
      <c r="F61">
        <v>774</v>
      </c>
    </row>
    <row r="62" spans="1:6" x14ac:dyDescent="0.2">
      <c r="A62" s="7"/>
      <c r="B62" t="s">
        <v>54</v>
      </c>
      <c r="C62" s="1">
        <v>0.15384615384615399</v>
      </c>
      <c r="D62">
        <v>169</v>
      </c>
      <c r="E62" s="1">
        <v>0.15976331360946699</v>
      </c>
      <c r="F62">
        <v>169</v>
      </c>
    </row>
    <row r="63" spans="1:6" x14ac:dyDescent="0.2">
      <c r="A63" s="7"/>
      <c r="B63" t="s">
        <v>55</v>
      </c>
      <c r="C63" s="1">
        <v>0.22935779816513799</v>
      </c>
      <c r="D63">
        <v>436</v>
      </c>
      <c r="E63" s="1">
        <v>0.18119266055045899</v>
      </c>
      <c r="F63">
        <v>436</v>
      </c>
    </row>
    <row r="64" spans="1:6" x14ac:dyDescent="0.2">
      <c r="A64" s="7"/>
      <c r="B64" t="s">
        <v>56</v>
      </c>
      <c r="C64" s="1">
        <v>0.15251572327044</v>
      </c>
      <c r="D64">
        <v>636</v>
      </c>
      <c r="E64" s="1">
        <v>0.16666666666666699</v>
      </c>
      <c r="F64">
        <v>636</v>
      </c>
    </row>
    <row r="65" spans="1:6" x14ac:dyDescent="0.2">
      <c r="A65" s="7" t="s">
        <v>70</v>
      </c>
      <c r="B65" t="s">
        <v>52</v>
      </c>
      <c r="C65" s="1">
        <v>0.194902548725637</v>
      </c>
      <c r="D65">
        <v>667</v>
      </c>
      <c r="E65" s="1">
        <v>0.13793103448275901</v>
      </c>
      <c r="F65">
        <v>667</v>
      </c>
    </row>
    <row r="66" spans="1:6" x14ac:dyDescent="0.2">
      <c r="A66" s="7"/>
      <c r="B66" t="s">
        <v>53</v>
      </c>
      <c r="C66" s="1">
        <v>0.22531645569620301</v>
      </c>
      <c r="D66">
        <v>790</v>
      </c>
      <c r="E66" s="1">
        <v>0.13670886075949401</v>
      </c>
      <c r="F66">
        <v>790</v>
      </c>
    </row>
    <row r="67" spans="1:6" x14ac:dyDescent="0.2">
      <c r="A67" s="7"/>
      <c r="B67" t="s">
        <v>54</v>
      </c>
      <c r="C67" s="1">
        <v>0.27325581395348802</v>
      </c>
      <c r="D67">
        <v>172</v>
      </c>
      <c r="E67" s="1">
        <v>0.122093023255814</v>
      </c>
      <c r="F67">
        <v>172</v>
      </c>
    </row>
    <row r="68" spans="1:6" x14ac:dyDescent="0.2">
      <c r="A68" s="7"/>
      <c r="B68" t="s">
        <v>55</v>
      </c>
      <c r="C68" s="1">
        <v>0.226457399103139</v>
      </c>
      <c r="D68">
        <v>446</v>
      </c>
      <c r="E68" s="1">
        <v>0.161434977578475</v>
      </c>
      <c r="F68">
        <v>446</v>
      </c>
    </row>
    <row r="69" spans="1:6" x14ac:dyDescent="0.2">
      <c r="A69" s="7"/>
      <c r="B69" t="s">
        <v>56</v>
      </c>
      <c r="C69" s="1">
        <v>0.18322981366459601</v>
      </c>
      <c r="D69">
        <v>644</v>
      </c>
      <c r="E69" s="1">
        <v>0.14906832298136599</v>
      </c>
      <c r="F69">
        <v>644</v>
      </c>
    </row>
    <row r="70" spans="1:6" x14ac:dyDescent="0.2">
      <c r="A70" s="7" t="s">
        <v>71</v>
      </c>
      <c r="B70" t="s">
        <v>57</v>
      </c>
      <c r="C70" s="1">
        <v>0.18867924528301899</v>
      </c>
      <c r="D70">
        <v>583</v>
      </c>
      <c r="E70" s="1">
        <v>0.14065180102916</v>
      </c>
      <c r="F70">
        <v>583</v>
      </c>
    </row>
    <row r="71" spans="1:6" x14ac:dyDescent="0.2">
      <c r="A71" s="7"/>
      <c r="B71" t="s">
        <v>58</v>
      </c>
      <c r="C71" s="1">
        <v>0.219554030874786</v>
      </c>
      <c r="D71">
        <v>583</v>
      </c>
      <c r="E71" s="1">
        <v>0.130360205831904</v>
      </c>
      <c r="F71">
        <v>583</v>
      </c>
    </row>
    <row r="72" spans="1:6" x14ac:dyDescent="0.2">
      <c r="A72" s="7"/>
      <c r="B72" t="s">
        <v>59</v>
      </c>
      <c r="C72" s="1">
        <v>0.29502572898799301</v>
      </c>
      <c r="D72">
        <v>583</v>
      </c>
      <c r="E72" s="1">
        <v>0.21440823327615799</v>
      </c>
      <c r="F72">
        <v>583</v>
      </c>
    </row>
    <row r="73" spans="1:6" x14ac:dyDescent="0.2">
      <c r="A73" s="7"/>
      <c r="B73" t="s">
        <v>60</v>
      </c>
      <c r="C73" s="1">
        <v>0.26929674099485401</v>
      </c>
      <c r="D73">
        <v>583</v>
      </c>
      <c r="E73" s="1">
        <v>0.17495711835334499</v>
      </c>
      <c r="F73">
        <v>583</v>
      </c>
    </row>
    <row r="74" spans="1:6" x14ac:dyDescent="0.2">
      <c r="A74" s="7"/>
      <c r="B74" t="s">
        <v>61</v>
      </c>
      <c r="C74" s="1">
        <v>0.234991423670669</v>
      </c>
      <c r="D74">
        <v>583</v>
      </c>
      <c r="E74" s="1">
        <v>0.15780445969125201</v>
      </c>
      <c r="F74">
        <v>583</v>
      </c>
    </row>
    <row r="75" spans="1:6" x14ac:dyDescent="0.2">
      <c r="A75" s="7"/>
      <c r="B75" t="s">
        <v>62</v>
      </c>
      <c r="C75" s="1">
        <v>0.29159519725557498</v>
      </c>
      <c r="D75">
        <v>583</v>
      </c>
      <c r="E75" s="1">
        <v>0.20926243567753</v>
      </c>
      <c r="F75">
        <v>583</v>
      </c>
    </row>
    <row r="76" spans="1:6" x14ac:dyDescent="0.2">
      <c r="A76" s="7"/>
      <c r="B76" t="s">
        <v>63</v>
      </c>
      <c r="C76" s="1">
        <v>0.26586620926243598</v>
      </c>
      <c r="D76">
        <v>583</v>
      </c>
      <c r="E76" s="1">
        <v>0.15265866209262399</v>
      </c>
      <c r="F76">
        <v>583</v>
      </c>
    </row>
    <row r="77" spans="1:6" x14ac:dyDescent="0.2">
      <c r="A77" s="7"/>
      <c r="B77" s="6" t="s">
        <v>64</v>
      </c>
      <c r="C77" s="1"/>
      <c r="E77" s="1"/>
    </row>
    <row r="78" spans="1:6" x14ac:dyDescent="0.2">
      <c r="A78" s="7" t="s">
        <v>73</v>
      </c>
      <c r="B78" t="s">
        <v>57</v>
      </c>
      <c r="C78" s="1">
        <v>0.20411663807890201</v>
      </c>
      <c r="D78">
        <v>583</v>
      </c>
      <c r="E78" s="1">
        <v>0.137221269296741</v>
      </c>
      <c r="F78">
        <v>583</v>
      </c>
    </row>
    <row r="79" spans="1:6" x14ac:dyDescent="0.2">
      <c r="A79" s="7"/>
      <c r="B79" t="s">
        <v>58</v>
      </c>
      <c r="C79" s="1">
        <v>0.18867924528301899</v>
      </c>
      <c r="D79">
        <v>583</v>
      </c>
      <c r="E79" s="1">
        <v>0.13207547169811301</v>
      </c>
      <c r="F79">
        <v>583</v>
      </c>
    </row>
    <row r="80" spans="1:6" x14ac:dyDescent="0.2">
      <c r="A80" s="7"/>
      <c r="B80" t="s">
        <v>59</v>
      </c>
      <c r="C80" s="1">
        <v>0.27787307032590097</v>
      </c>
      <c r="D80">
        <v>583</v>
      </c>
      <c r="E80" s="1">
        <v>0.20068610634648401</v>
      </c>
      <c r="F80">
        <v>583</v>
      </c>
    </row>
    <row r="81" spans="1:10" x14ac:dyDescent="0.2">
      <c r="A81" s="7"/>
      <c r="B81" t="s">
        <v>60</v>
      </c>
      <c r="C81" s="1">
        <v>0.22126929674099499</v>
      </c>
      <c r="D81">
        <v>583</v>
      </c>
      <c r="E81" s="1">
        <v>0.159519725557461</v>
      </c>
      <c r="F81">
        <v>583</v>
      </c>
    </row>
    <row r="82" spans="1:10" x14ac:dyDescent="0.2">
      <c r="A82" s="7"/>
      <c r="B82" t="s">
        <v>61</v>
      </c>
      <c r="C82" s="1">
        <v>0.19725557461406501</v>
      </c>
      <c r="D82">
        <v>583</v>
      </c>
      <c r="E82" s="1">
        <v>0.15437392795883401</v>
      </c>
      <c r="F82">
        <v>583</v>
      </c>
    </row>
    <row r="83" spans="1:10" x14ac:dyDescent="0.2">
      <c r="A83" s="7"/>
      <c r="B83" t="s">
        <v>62</v>
      </c>
      <c r="C83" s="1">
        <v>0.28473413379073798</v>
      </c>
      <c r="D83">
        <v>583</v>
      </c>
      <c r="E83" s="1">
        <v>0.216123499142367</v>
      </c>
      <c r="F83">
        <v>583</v>
      </c>
    </row>
    <row r="84" spans="1:10" x14ac:dyDescent="0.2">
      <c r="A84" s="7"/>
      <c r="B84" t="s">
        <v>63</v>
      </c>
      <c r="C84" s="1">
        <v>0.22641509433962301</v>
      </c>
      <c r="D84">
        <v>583</v>
      </c>
      <c r="E84" s="1">
        <v>0.15437392795883401</v>
      </c>
      <c r="F84">
        <v>583</v>
      </c>
    </row>
    <row r="85" spans="1:10" x14ac:dyDescent="0.2">
      <c r="A85" s="7"/>
      <c r="B85" s="6" t="s">
        <v>64</v>
      </c>
      <c r="C85" s="1"/>
      <c r="E85" s="1"/>
    </row>
    <row r="87" spans="1:10" x14ac:dyDescent="0.2">
      <c r="B87" s="2" t="s">
        <v>2</v>
      </c>
      <c r="C87" s="3">
        <f>AVERAGE(C3:C11)*100</f>
        <v>22.108872030868039</v>
      </c>
      <c r="D87" s="4"/>
      <c r="E87" s="3">
        <f>AVERAGE(E3:E11)*100</f>
        <v>14.121063288034749</v>
      </c>
      <c r="F87" s="4"/>
      <c r="G87" s="4"/>
      <c r="I87" t="s">
        <v>20</v>
      </c>
      <c r="J87" t="s">
        <v>21</v>
      </c>
    </row>
    <row r="88" spans="1:10" x14ac:dyDescent="0.2">
      <c r="B88" s="2" t="s">
        <v>3</v>
      </c>
      <c r="C88" s="3">
        <f>AVERAGE(C12:C20)*100</f>
        <v>20.076263225300124</v>
      </c>
      <c r="D88" s="4"/>
      <c r="E88" s="3">
        <f>AVERAGE(E12:E20)*100</f>
        <v>12.206021573401877</v>
      </c>
      <c r="F88" s="4"/>
      <c r="G88" s="4"/>
      <c r="H88" s="2" t="s">
        <v>74</v>
      </c>
      <c r="I88" s="5">
        <f>AVERAGE(D3:D20)</f>
        <v>635.5625</v>
      </c>
      <c r="J88" s="5">
        <f>AVERAGE(F3:F20)</f>
        <v>635.5</v>
      </c>
    </row>
    <row r="89" spans="1:10" x14ac:dyDescent="0.2">
      <c r="B89" s="2" t="s">
        <v>8</v>
      </c>
      <c r="C89" s="3">
        <f>AVERAGE(C21:C29)*100</f>
        <v>21.632980189274001</v>
      </c>
      <c r="D89" s="4"/>
      <c r="E89" s="3">
        <f>AVERAGE(E21:E29)*100</f>
        <v>13.220814410386799</v>
      </c>
      <c r="F89" s="4"/>
      <c r="G89" s="4"/>
      <c r="H89" s="2" t="s">
        <v>75</v>
      </c>
      <c r="I89" s="5">
        <f>AVERAGE(D52:D64)</f>
        <v>583.30769230769226</v>
      </c>
      <c r="J89" s="5">
        <f>AVERAGE(F52:F64)</f>
        <v>583.23076923076928</v>
      </c>
    </row>
    <row r="90" spans="1:10" x14ac:dyDescent="0.2">
      <c r="B90" s="2" t="s">
        <v>0</v>
      </c>
      <c r="C90" s="3">
        <f>AVERAGE(C30:C40)*100</f>
        <v>23.61240150366628</v>
      </c>
      <c r="D90" s="4"/>
      <c r="E90" s="3">
        <f>AVERAGE(E30:E40)*100</f>
        <v>15.527702487464856</v>
      </c>
      <c r="F90" s="4"/>
      <c r="G90" s="4"/>
      <c r="H90" s="4"/>
      <c r="I90" s="4"/>
    </row>
    <row r="91" spans="1:10" x14ac:dyDescent="0.2">
      <c r="B91" s="2" t="s">
        <v>1</v>
      </c>
      <c r="C91" s="3">
        <f>AVERAGE(C41:C51)*100</f>
        <v>22.527700063258546</v>
      </c>
      <c r="D91" s="4"/>
      <c r="E91" s="3">
        <f>AVERAGE(E41:E51)*100</f>
        <v>15.54140218845459</v>
      </c>
      <c r="F91" s="4"/>
      <c r="G91" s="4"/>
      <c r="H91" s="4"/>
      <c r="I91" s="4"/>
    </row>
    <row r="92" spans="1:10" x14ac:dyDescent="0.2">
      <c r="B92" s="2" t="s">
        <v>4</v>
      </c>
      <c r="C92" s="3">
        <f>AVERAGE(C52:C59)*100</f>
        <v>21.984085513628262</v>
      </c>
      <c r="D92" s="4"/>
      <c r="E92" s="3">
        <f>AVERAGE(E52:E59)*100</f>
        <v>15.861084319715738</v>
      </c>
      <c r="F92" s="4"/>
      <c r="G92" s="4"/>
      <c r="H92" s="4"/>
      <c r="I92" s="4"/>
    </row>
    <row r="93" spans="1:10" x14ac:dyDescent="0.2">
      <c r="B93" s="2" t="s">
        <v>5</v>
      </c>
      <c r="C93" s="3">
        <f>AVERAGE(C60:C64)*100</f>
        <v>18.290216032694978</v>
      </c>
      <c r="D93" s="4"/>
      <c r="E93" s="3">
        <f>AVERAGE(E60:E64)*100</f>
        <v>15.614532622197558</v>
      </c>
      <c r="F93" s="4"/>
      <c r="G93" s="4"/>
      <c r="H93" s="4"/>
      <c r="I93" s="4"/>
    </row>
    <row r="94" spans="1:10" x14ac:dyDescent="0.2">
      <c r="B94" s="2" t="s">
        <v>9</v>
      </c>
      <c r="C94" s="3">
        <f>AVERAGE(C65:C69)*100</f>
        <v>22.063240622861262</v>
      </c>
      <c r="D94" s="4"/>
      <c r="E94" s="3">
        <f>AVERAGE(E65:E69)*100</f>
        <v>14.144724381158161</v>
      </c>
      <c r="F94" s="4"/>
      <c r="G94" s="4"/>
      <c r="H94" s="4"/>
      <c r="I94" s="4"/>
    </row>
    <row r="95" spans="1:10" x14ac:dyDescent="0.2">
      <c r="B95" s="2" t="s">
        <v>6</v>
      </c>
      <c r="C95" s="3">
        <f>AVERAGE(C70:C77)*100</f>
        <v>25.214408233276174</v>
      </c>
      <c r="D95" s="4"/>
      <c r="E95" s="3">
        <f>AVERAGE(E70:E77)*100</f>
        <v>16.858613085028189</v>
      </c>
      <c r="F95" s="4"/>
      <c r="G95" s="4"/>
      <c r="H95" s="4"/>
      <c r="I95" s="4"/>
    </row>
    <row r="96" spans="1:10" x14ac:dyDescent="0.2">
      <c r="B96" s="2" t="s">
        <v>7</v>
      </c>
      <c r="C96" s="3">
        <f>AVERAGE(C78:C85)*100</f>
        <v>22.862043616760612</v>
      </c>
      <c r="D96" s="4"/>
      <c r="E96" s="3">
        <f>AVERAGE(E78:E85)*100</f>
        <v>16.491056113697631</v>
      </c>
      <c r="F96" s="4"/>
      <c r="G96" s="4"/>
      <c r="H96" s="4"/>
      <c r="I96" s="4"/>
    </row>
    <row r="97" spans="3:9" x14ac:dyDescent="0.2">
      <c r="C97" s="4"/>
      <c r="D97" s="4"/>
      <c r="E97" s="4"/>
      <c r="F97" s="4"/>
      <c r="G97" s="4"/>
      <c r="H97" s="4"/>
      <c r="I97" s="4"/>
    </row>
    <row r="98" spans="3:9" x14ac:dyDescent="0.2">
      <c r="C98" s="4"/>
      <c r="D98" s="4"/>
      <c r="E98" s="4"/>
      <c r="F98" s="4"/>
      <c r="G98" s="4"/>
      <c r="H98" s="4"/>
      <c r="I98" s="4"/>
    </row>
  </sheetData>
  <mergeCells count="12">
    <mergeCell ref="A78:A85"/>
    <mergeCell ref="C1:D1"/>
    <mergeCell ref="E1:F1"/>
    <mergeCell ref="A3:A11"/>
    <mergeCell ref="A12:A20"/>
    <mergeCell ref="A21:A29"/>
    <mergeCell ref="A30:A40"/>
    <mergeCell ref="A41:A51"/>
    <mergeCell ref="A52:A59"/>
    <mergeCell ref="A60:A64"/>
    <mergeCell ref="A65:A69"/>
    <mergeCell ref="A70:A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Ripple-500msPost</vt:lpstr>
      <vt:lpstr>Ripple-750msPost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2017-04-05T09:23:42Z</dcterms:modified>
</cp:coreProperties>
</file>