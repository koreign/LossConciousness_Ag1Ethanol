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0" yWindow="105" windowWidth="14805" windowHeight="8010"/>
  </bookViews>
  <sheets>
    <sheet name="SlowSpi-750 ms post" sheetId="39" r:id="rId1"/>
    <sheet name="BroadBdSpi-750 ms post" sheetId="40" r:id="rId2"/>
  </sheets>
  <calcPr calcId="145621"/>
</workbook>
</file>

<file path=xl/calcChain.xml><?xml version="1.0" encoding="utf-8"?>
<calcChain xmlns="http://schemas.openxmlformats.org/spreadsheetml/2006/main">
  <c r="C94" i="39" l="1"/>
  <c r="C100" i="39"/>
  <c r="C100" i="40"/>
  <c r="E98" i="39"/>
  <c r="C98" i="39"/>
  <c r="I97" i="39"/>
  <c r="E97" i="39"/>
  <c r="C97" i="39"/>
  <c r="I96" i="39"/>
  <c r="E96" i="39"/>
  <c r="C96" i="39"/>
  <c r="I95" i="39"/>
  <c r="E95" i="39"/>
  <c r="C95" i="39"/>
  <c r="I94" i="39"/>
  <c r="E94" i="39"/>
  <c r="I93" i="39"/>
  <c r="E93" i="39"/>
  <c r="C93" i="39"/>
  <c r="I92" i="39"/>
  <c r="E92" i="39"/>
  <c r="E100" i="39" s="1"/>
  <c r="C92" i="39"/>
  <c r="I91" i="39"/>
  <c r="E91" i="39"/>
  <c r="C91" i="39"/>
  <c r="C90" i="39"/>
  <c r="C89" i="39"/>
  <c r="D86" i="40"/>
  <c r="E100" i="40"/>
  <c r="I92" i="40"/>
  <c r="I93" i="40"/>
  <c r="I94" i="40"/>
  <c r="I95" i="40"/>
  <c r="I96" i="40"/>
  <c r="I97" i="40"/>
  <c r="I91" i="40"/>
  <c r="E92" i="40"/>
  <c r="E93" i="40"/>
  <c r="E94" i="40"/>
  <c r="E95" i="40"/>
  <c r="E96" i="40"/>
  <c r="E97" i="40"/>
  <c r="E98" i="40"/>
  <c r="E91" i="40"/>
  <c r="C94" i="40"/>
  <c r="C98" i="40"/>
  <c r="C97" i="40"/>
  <c r="C96" i="40"/>
  <c r="C95" i="40"/>
  <c r="C93" i="40"/>
  <c r="C92" i="40"/>
  <c r="C91" i="40"/>
  <c r="C90" i="40"/>
  <c r="C89" i="40"/>
  <c r="D83" i="40"/>
  <c r="K83" i="40" l="1"/>
  <c r="D83" i="39" l="1"/>
  <c r="D84" i="40"/>
  <c r="L86" i="39" l="1"/>
  <c r="L84" i="39"/>
  <c r="L78" i="39" l="1"/>
  <c r="M78" i="39"/>
  <c r="N78" i="39"/>
  <c r="O78" i="39"/>
  <c r="P78" i="39"/>
  <c r="L79" i="39"/>
  <c r="M79" i="39"/>
  <c r="N79" i="39"/>
  <c r="O79" i="39"/>
  <c r="P79" i="39"/>
  <c r="L80" i="39"/>
  <c r="M80" i="39"/>
  <c r="N80" i="39"/>
  <c r="O80" i="39"/>
  <c r="P80" i="39"/>
  <c r="L81" i="39"/>
  <c r="M81" i="39"/>
  <c r="N81" i="39"/>
  <c r="O81" i="39"/>
  <c r="P81" i="39"/>
  <c r="L82" i="39"/>
  <c r="M82" i="39"/>
  <c r="N82" i="39"/>
  <c r="O82" i="39"/>
  <c r="P82" i="39"/>
  <c r="L83" i="39"/>
  <c r="M83" i="39"/>
  <c r="N83" i="39"/>
  <c r="O83" i="39"/>
  <c r="P83" i="39"/>
  <c r="M84" i="39"/>
  <c r="N84" i="39"/>
  <c r="O84" i="39"/>
  <c r="P84" i="39"/>
  <c r="L85" i="39"/>
  <c r="M85" i="39"/>
  <c r="N85" i="39"/>
  <c r="O85" i="39"/>
  <c r="P85" i="39"/>
  <c r="M86" i="39"/>
  <c r="N86" i="39"/>
  <c r="O86" i="39"/>
  <c r="P86" i="39"/>
  <c r="L87" i="39"/>
  <c r="M87" i="39"/>
  <c r="N87" i="39"/>
  <c r="O87" i="39"/>
  <c r="P87" i="39"/>
  <c r="K87" i="39"/>
  <c r="K86" i="39"/>
  <c r="K85" i="39"/>
  <c r="K84" i="39"/>
  <c r="K83" i="39"/>
  <c r="K82" i="39"/>
  <c r="K81" i="39"/>
  <c r="K80" i="39"/>
  <c r="K79" i="39"/>
  <c r="K78" i="39"/>
  <c r="G78" i="39"/>
  <c r="H78" i="39"/>
  <c r="I78" i="39"/>
  <c r="G79" i="39"/>
  <c r="H79" i="39"/>
  <c r="I79" i="39"/>
  <c r="G80" i="39"/>
  <c r="H80" i="39"/>
  <c r="I80" i="39"/>
  <c r="G81" i="39"/>
  <c r="H81" i="39"/>
  <c r="I81" i="39"/>
  <c r="G82" i="39"/>
  <c r="H82" i="39"/>
  <c r="I82" i="39"/>
  <c r="G83" i="39"/>
  <c r="H83" i="39"/>
  <c r="I83" i="39"/>
  <c r="G84" i="39"/>
  <c r="H84" i="39"/>
  <c r="I84" i="39"/>
  <c r="G85" i="39"/>
  <c r="H85" i="39"/>
  <c r="I85" i="39"/>
  <c r="G86" i="39"/>
  <c r="H86" i="39"/>
  <c r="I86" i="39"/>
  <c r="G87" i="39"/>
  <c r="H87" i="39"/>
  <c r="I87" i="39"/>
  <c r="C78" i="39"/>
  <c r="D78" i="39"/>
  <c r="E78" i="39"/>
  <c r="C79" i="39"/>
  <c r="D79" i="39"/>
  <c r="E79" i="39"/>
  <c r="C80" i="39"/>
  <c r="D80" i="39"/>
  <c r="E80" i="39"/>
  <c r="C81" i="39"/>
  <c r="D81" i="39"/>
  <c r="E81" i="39"/>
  <c r="C82" i="39"/>
  <c r="D82" i="39"/>
  <c r="E82" i="39"/>
  <c r="C83" i="39"/>
  <c r="E83" i="39"/>
  <c r="C84" i="39"/>
  <c r="D84" i="39"/>
  <c r="E84" i="39"/>
  <c r="C85" i="39"/>
  <c r="D85" i="39"/>
  <c r="E85" i="39"/>
  <c r="C86" i="39"/>
  <c r="D86" i="39"/>
  <c r="E86" i="39"/>
  <c r="C87" i="39"/>
  <c r="D87" i="39"/>
  <c r="E87" i="39"/>
  <c r="L78" i="40"/>
  <c r="M78" i="40"/>
  <c r="N78" i="40"/>
  <c r="O78" i="40"/>
  <c r="P78" i="40"/>
  <c r="L79" i="40"/>
  <c r="M79" i="40"/>
  <c r="N79" i="40"/>
  <c r="O79" i="40"/>
  <c r="P79" i="40"/>
  <c r="L80" i="40"/>
  <c r="M80" i="40"/>
  <c r="N80" i="40"/>
  <c r="O80" i="40"/>
  <c r="P80" i="40"/>
  <c r="L81" i="40"/>
  <c r="M81" i="40"/>
  <c r="N81" i="40"/>
  <c r="O81" i="40"/>
  <c r="P81" i="40"/>
  <c r="L82" i="40"/>
  <c r="M82" i="40"/>
  <c r="N82" i="40"/>
  <c r="O82" i="40"/>
  <c r="P82" i="40"/>
  <c r="L83" i="40"/>
  <c r="M83" i="40"/>
  <c r="N83" i="40"/>
  <c r="O83" i="40"/>
  <c r="P83" i="40"/>
  <c r="L84" i="40"/>
  <c r="M84" i="40"/>
  <c r="N84" i="40"/>
  <c r="O84" i="40"/>
  <c r="P84" i="40"/>
  <c r="L85" i="40"/>
  <c r="M85" i="40"/>
  <c r="N85" i="40"/>
  <c r="O85" i="40"/>
  <c r="P85" i="40"/>
  <c r="L86" i="40"/>
  <c r="M86" i="40"/>
  <c r="N86" i="40"/>
  <c r="O86" i="40"/>
  <c r="P86" i="40"/>
  <c r="L87" i="40"/>
  <c r="M87" i="40"/>
  <c r="N87" i="40"/>
  <c r="O87" i="40"/>
  <c r="P87" i="40"/>
  <c r="K87" i="40"/>
  <c r="K86" i="40"/>
  <c r="K85" i="40"/>
  <c r="K84" i="40"/>
  <c r="K82" i="40"/>
  <c r="K81" i="40"/>
  <c r="K80" i="40"/>
  <c r="K79" i="40"/>
  <c r="K78" i="40"/>
  <c r="C78" i="40"/>
  <c r="D78" i="40"/>
  <c r="E78" i="40"/>
  <c r="C79" i="40"/>
  <c r="D79" i="40"/>
  <c r="E79" i="40"/>
  <c r="C80" i="40"/>
  <c r="D80" i="40"/>
  <c r="E80" i="40"/>
  <c r="C81" i="40"/>
  <c r="D81" i="40"/>
  <c r="E81" i="40"/>
  <c r="C82" i="40"/>
  <c r="D82" i="40"/>
  <c r="E82" i="40"/>
  <c r="C83" i="40"/>
  <c r="E83" i="40"/>
  <c r="C84" i="40"/>
  <c r="E84" i="40"/>
  <c r="C85" i="40"/>
  <c r="D85" i="40"/>
  <c r="E85" i="40"/>
  <c r="C86" i="40"/>
  <c r="E86" i="40"/>
  <c r="C87" i="40"/>
  <c r="D87" i="40"/>
  <c r="E87" i="40"/>
  <c r="G78" i="40"/>
  <c r="H78" i="40"/>
  <c r="I78" i="40"/>
  <c r="G79" i="40"/>
  <c r="H79" i="40"/>
  <c r="I79" i="40"/>
  <c r="G80" i="40"/>
  <c r="H80" i="40"/>
  <c r="I80" i="40"/>
  <c r="G81" i="40"/>
  <c r="H81" i="40"/>
  <c r="I81" i="40"/>
  <c r="G82" i="40"/>
  <c r="H82" i="40"/>
  <c r="I82" i="40"/>
  <c r="G83" i="40"/>
  <c r="H83" i="40"/>
  <c r="I83" i="40"/>
  <c r="G84" i="40"/>
  <c r="H84" i="40"/>
  <c r="I84" i="40"/>
  <c r="G85" i="40"/>
  <c r="H85" i="40"/>
  <c r="I85" i="40"/>
  <c r="G86" i="40"/>
  <c r="H86" i="40"/>
  <c r="I86" i="40"/>
  <c r="G87" i="40"/>
  <c r="H87" i="40"/>
  <c r="I87" i="40"/>
  <c r="F87" i="40" l="1"/>
  <c r="F86" i="40"/>
  <c r="F85" i="40"/>
  <c r="F84" i="40"/>
  <c r="F83" i="40"/>
  <c r="F82" i="40"/>
  <c r="F81" i="40"/>
  <c r="F80" i="40"/>
  <c r="F79" i="40"/>
  <c r="F78" i="40"/>
  <c r="P76" i="40"/>
  <c r="O76" i="40"/>
  <c r="N76" i="40"/>
  <c r="M76" i="40"/>
  <c r="L76" i="40"/>
  <c r="K76" i="40"/>
  <c r="P75" i="40"/>
  <c r="O75" i="40"/>
  <c r="N75" i="40"/>
  <c r="M75" i="40"/>
  <c r="L75" i="40"/>
  <c r="K75" i="40"/>
  <c r="P74" i="40"/>
  <c r="O74" i="40"/>
  <c r="N74" i="40"/>
  <c r="M74" i="40"/>
  <c r="L74" i="40"/>
  <c r="K74" i="40"/>
  <c r="P73" i="40"/>
  <c r="O73" i="40"/>
  <c r="N73" i="40"/>
  <c r="M73" i="40"/>
  <c r="L73" i="40"/>
  <c r="K73" i="40"/>
  <c r="P72" i="40"/>
  <c r="O72" i="40"/>
  <c r="N72" i="40"/>
  <c r="M72" i="40"/>
  <c r="L72" i="40"/>
  <c r="K72" i="40"/>
  <c r="P71" i="40"/>
  <c r="O71" i="40"/>
  <c r="N71" i="40"/>
  <c r="M71" i="40"/>
  <c r="L71" i="40"/>
  <c r="K71" i="40"/>
  <c r="P70" i="40"/>
  <c r="O70" i="40"/>
  <c r="N70" i="40"/>
  <c r="M70" i="40"/>
  <c r="L70" i="40"/>
  <c r="K70" i="40"/>
  <c r="P69" i="40"/>
  <c r="O69" i="40"/>
  <c r="N69" i="40"/>
  <c r="M69" i="40"/>
  <c r="L69" i="40"/>
  <c r="K69" i="40"/>
  <c r="P68" i="40"/>
  <c r="O68" i="40"/>
  <c r="N68" i="40"/>
  <c r="M68" i="40"/>
  <c r="L68" i="40"/>
  <c r="K68" i="40"/>
  <c r="P67" i="40"/>
  <c r="O67" i="40"/>
  <c r="N67" i="40"/>
  <c r="M67" i="40"/>
  <c r="L67" i="40"/>
  <c r="K67" i="40"/>
  <c r="P66" i="40"/>
  <c r="O66" i="40"/>
  <c r="N66" i="40"/>
  <c r="M66" i="40"/>
  <c r="L66" i="40"/>
  <c r="K66" i="40"/>
  <c r="P65" i="40"/>
  <c r="O65" i="40"/>
  <c r="N65" i="40"/>
  <c r="M65" i="40"/>
  <c r="L65" i="40"/>
  <c r="K65" i="40"/>
  <c r="P64" i="40"/>
  <c r="O64" i="40"/>
  <c r="N64" i="40"/>
  <c r="M64" i="40"/>
  <c r="L64" i="40"/>
  <c r="K64" i="40"/>
  <c r="P63" i="40"/>
  <c r="O63" i="40"/>
  <c r="N63" i="40"/>
  <c r="M63" i="40"/>
  <c r="L63" i="40"/>
  <c r="K63" i="40"/>
  <c r="P62" i="40"/>
  <c r="O62" i="40"/>
  <c r="N62" i="40"/>
  <c r="M62" i="40"/>
  <c r="L62" i="40"/>
  <c r="K62" i="40"/>
  <c r="P61" i="40"/>
  <c r="O61" i="40"/>
  <c r="N61" i="40"/>
  <c r="M61" i="40"/>
  <c r="L61" i="40"/>
  <c r="K61" i="40"/>
  <c r="P60" i="40"/>
  <c r="O60" i="40"/>
  <c r="N60" i="40"/>
  <c r="M60" i="40"/>
  <c r="L60" i="40"/>
  <c r="K60" i="40"/>
  <c r="P59" i="40"/>
  <c r="O59" i="40"/>
  <c r="N59" i="40"/>
  <c r="M59" i="40"/>
  <c r="L59" i="40"/>
  <c r="K59" i="40"/>
  <c r="P58" i="40"/>
  <c r="O58" i="40"/>
  <c r="N58" i="40"/>
  <c r="M58" i="40"/>
  <c r="L58" i="40"/>
  <c r="K58" i="40"/>
  <c r="P57" i="40"/>
  <c r="O57" i="40"/>
  <c r="N57" i="40"/>
  <c r="M57" i="40"/>
  <c r="L57" i="40"/>
  <c r="K57" i="40"/>
  <c r="P56" i="40"/>
  <c r="O56" i="40"/>
  <c r="N56" i="40"/>
  <c r="M56" i="40"/>
  <c r="L56" i="40"/>
  <c r="K56" i="40"/>
  <c r="P55" i="40"/>
  <c r="O55" i="40"/>
  <c r="N55" i="40"/>
  <c r="M55" i="40"/>
  <c r="L55" i="40"/>
  <c r="K55" i="40"/>
  <c r="P54" i="40"/>
  <c r="O54" i="40"/>
  <c r="N54" i="40"/>
  <c r="M54" i="40"/>
  <c r="L54" i="40"/>
  <c r="K54" i="40"/>
  <c r="P53" i="40"/>
  <c r="O53" i="40"/>
  <c r="N53" i="40"/>
  <c r="M53" i="40"/>
  <c r="L53" i="40"/>
  <c r="K53" i="40"/>
  <c r="P52" i="40"/>
  <c r="O52" i="40"/>
  <c r="N52" i="40"/>
  <c r="M52" i="40"/>
  <c r="L52" i="40"/>
  <c r="K52" i="40"/>
  <c r="P51" i="40"/>
  <c r="O51" i="40"/>
  <c r="N51" i="40"/>
  <c r="M51" i="40"/>
  <c r="L51" i="40"/>
  <c r="K51" i="40"/>
  <c r="P50" i="40"/>
  <c r="O50" i="40"/>
  <c r="N50" i="40"/>
  <c r="M50" i="40"/>
  <c r="L50" i="40"/>
  <c r="K50" i="40"/>
  <c r="P49" i="40"/>
  <c r="O49" i="40"/>
  <c r="N49" i="40"/>
  <c r="M49" i="40"/>
  <c r="L49" i="40"/>
  <c r="K49" i="40"/>
  <c r="P48" i="40"/>
  <c r="O48" i="40"/>
  <c r="N48" i="40"/>
  <c r="M48" i="40"/>
  <c r="L48" i="40"/>
  <c r="K48" i="40"/>
  <c r="P47" i="40"/>
  <c r="O47" i="40"/>
  <c r="N47" i="40"/>
  <c r="M47" i="40"/>
  <c r="L47" i="40"/>
  <c r="K47" i="40"/>
  <c r="P46" i="40"/>
  <c r="O46" i="40"/>
  <c r="N46" i="40"/>
  <c r="M46" i="40"/>
  <c r="L46" i="40"/>
  <c r="K46" i="40"/>
  <c r="P45" i="40"/>
  <c r="O45" i="40"/>
  <c r="N45" i="40"/>
  <c r="M45" i="40"/>
  <c r="L45" i="40"/>
  <c r="K45" i="40"/>
  <c r="P44" i="40"/>
  <c r="O44" i="40"/>
  <c r="N44" i="40"/>
  <c r="M44" i="40"/>
  <c r="L44" i="40"/>
  <c r="K44" i="40"/>
  <c r="P43" i="40"/>
  <c r="O43" i="40"/>
  <c r="N43" i="40"/>
  <c r="M43" i="40"/>
  <c r="L43" i="40"/>
  <c r="K43" i="40"/>
  <c r="P42" i="40"/>
  <c r="O42" i="40"/>
  <c r="N42" i="40"/>
  <c r="M42" i="40"/>
  <c r="L42" i="40"/>
  <c r="K42" i="40"/>
  <c r="P41" i="40"/>
  <c r="O41" i="40"/>
  <c r="N41" i="40"/>
  <c r="M41" i="40"/>
  <c r="L41" i="40"/>
  <c r="K41" i="40"/>
  <c r="P40" i="40"/>
  <c r="O40" i="40"/>
  <c r="N40" i="40"/>
  <c r="M40" i="40"/>
  <c r="L40" i="40"/>
  <c r="K40" i="40"/>
  <c r="P39" i="40"/>
  <c r="O39" i="40"/>
  <c r="N39" i="40"/>
  <c r="M39" i="40"/>
  <c r="L39" i="40"/>
  <c r="K39" i="40"/>
  <c r="P38" i="40"/>
  <c r="O38" i="40"/>
  <c r="N38" i="40"/>
  <c r="M38" i="40"/>
  <c r="L38" i="40"/>
  <c r="K38" i="40"/>
  <c r="P37" i="40"/>
  <c r="O37" i="40"/>
  <c r="N37" i="40"/>
  <c r="M37" i="40"/>
  <c r="L37" i="40"/>
  <c r="K37" i="40"/>
  <c r="P36" i="40"/>
  <c r="O36" i="40"/>
  <c r="N36" i="40"/>
  <c r="M36" i="40"/>
  <c r="L36" i="40"/>
  <c r="K36" i="40"/>
  <c r="P35" i="40"/>
  <c r="O35" i="40"/>
  <c r="N35" i="40"/>
  <c r="M35" i="40"/>
  <c r="L35" i="40"/>
  <c r="K35" i="40"/>
  <c r="P34" i="40"/>
  <c r="O34" i="40"/>
  <c r="N34" i="40"/>
  <c r="M34" i="40"/>
  <c r="L34" i="40"/>
  <c r="K34" i="40"/>
  <c r="P33" i="40"/>
  <c r="O33" i="40"/>
  <c r="N33" i="40"/>
  <c r="M33" i="40"/>
  <c r="L33" i="40"/>
  <c r="K33" i="40"/>
  <c r="P32" i="40"/>
  <c r="O32" i="40"/>
  <c r="N32" i="40"/>
  <c r="M32" i="40"/>
  <c r="L32" i="40"/>
  <c r="K32" i="40"/>
  <c r="P31" i="40"/>
  <c r="O31" i="40"/>
  <c r="N31" i="40"/>
  <c r="M31" i="40"/>
  <c r="L31" i="40"/>
  <c r="K31" i="40"/>
  <c r="P30" i="40"/>
  <c r="O30" i="40"/>
  <c r="N30" i="40"/>
  <c r="M30" i="40"/>
  <c r="L30" i="40"/>
  <c r="K30" i="40"/>
  <c r="P29" i="40"/>
  <c r="O29" i="40"/>
  <c r="N29" i="40"/>
  <c r="M29" i="40"/>
  <c r="L29" i="40"/>
  <c r="K29" i="40"/>
  <c r="P28" i="40"/>
  <c r="O28" i="40"/>
  <c r="N28" i="40"/>
  <c r="M28" i="40"/>
  <c r="L28" i="40"/>
  <c r="K28" i="40"/>
  <c r="P27" i="40"/>
  <c r="O27" i="40"/>
  <c r="N27" i="40"/>
  <c r="M27" i="40"/>
  <c r="L27" i="40"/>
  <c r="K27" i="40"/>
  <c r="P26" i="40"/>
  <c r="O26" i="40"/>
  <c r="N26" i="40"/>
  <c r="M26" i="40"/>
  <c r="L26" i="40"/>
  <c r="K26" i="40"/>
  <c r="P25" i="40"/>
  <c r="O25" i="40"/>
  <c r="N25" i="40"/>
  <c r="M25" i="40"/>
  <c r="L25" i="40"/>
  <c r="K25" i="40"/>
  <c r="P24" i="40"/>
  <c r="O24" i="40"/>
  <c r="N24" i="40"/>
  <c r="M24" i="40"/>
  <c r="L24" i="40"/>
  <c r="K24" i="40"/>
  <c r="P23" i="40"/>
  <c r="O23" i="40"/>
  <c r="N23" i="40"/>
  <c r="M23" i="40"/>
  <c r="L23" i="40"/>
  <c r="K23" i="40"/>
  <c r="P22" i="40"/>
  <c r="O22" i="40"/>
  <c r="N22" i="40"/>
  <c r="M22" i="40"/>
  <c r="L22" i="40"/>
  <c r="K22" i="40"/>
  <c r="P21" i="40"/>
  <c r="O21" i="40"/>
  <c r="N21" i="40"/>
  <c r="M21" i="40"/>
  <c r="L21" i="40"/>
  <c r="K21" i="40"/>
  <c r="P20" i="40"/>
  <c r="O20" i="40"/>
  <c r="N20" i="40"/>
  <c r="M20" i="40"/>
  <c r="L20" i="40"/>
  <c r="K20" i="40"/>
  <c r="P19" i="40"/>
  <c r="O19" i="40"/>
  <c r="N19" i="40"/>
  <c r="M19" i="40"/>
  <c r="L19" i="40"/>
  <c r="K19" i="40"/>
  <c r="P18" i="40"/>
  <c r="O18" i="40"/>
  <c r="N18" i="40"/>
  <c r="M18" i="40"/>
  <c r="L18" i="40"/>
  <c r="K18" i="40"/>
  <c r="P17" i="40"/>
  <c r="O17" i="40"/>
  <c r="N17" i="40"/>
  <c r="M17" i="40"/>
  <c r="L17" i="40"/>
  <c r="K17" i="40"/>
  <c r="P16" i="40"/>
  <c r="O16" i="40"/>
  <c r="N16" i="40"/>
  <c r="M16" i="40"/>
  <c r="L16" i="40"/>
  <c r="K16" i="40"/>
  <c r="P15" i="40"/>
  <c r="O15" i="40"/>
  <c r="N15" i="40"/>
  <c r="M15" i="40"/>
  <c r="L15" i="40"/>
  <c r="K15" i="40"/>
  <c r="P14" i="40"/>
  <c r="O14" i="40"/>
  <c r="N14" i="40"/>
  <c r="M14" i="40"/>
  <c r="L14" i="40"/>
  <c r="K14" i="40"/>
  <c r="P13" i="40"/>
  <c r="O13" i="40"/>
  <c r="N13" i="40"/>
  <c r="M13" i="40"/>
  <c r="L13" i="40"/>
  <c r="K13" i="40"/>
  <c r="P12" i="40"/>
  <c r="O12" i="40"/>
  <c r="N12" i="40"/>
  <c r="M12" i="40"/>
  <c r="L12" i="40"/>
  <c r="K12" i="40"/>
  <c r="P11" i="40"/>
  <c r="O11" i="40"/>
  <c r="N11" i="40"/>
  <c r="M11" i="40"/>
  <c r="L11" i="40"/>
  <c r="K11" i="40"/>
  <c r="P10" i="40"/>
  <c r="O10" i="40"/>
  <c r="N10" i="40"/>
  <c r="M10" i="40"/>
  <c r="L10" i="40"/>
  <c r="K10" i="40"/>
  <c r="P9" i="40"/>
  <c r="O9" i="40"/>
  <c r="N9" i="40"/>
  <c r="M9" i="40"/>
  <c r="L9" i="40"/>
  <c r="K9" i="40"/>
  <c r="P8" i="40"/>
  <c r="O8" i="40"/>
  <c r="N8" i="40"/>
  <c r="M8" i="40"/>
  <c r="L8" i="40"/>
  <c r="K8" i="40"/>
  <c r="P7" i="40"/>
  <c r="O7" i="40"/>
  <c r="N7" i="40"/>
  <c r="M7" i="40"/>
  <c r="L7" i="40"/>
  <c r="K7" i="40"/>
  <c r="P6" i="40"/>
  <c r="O6" i="40"/>
  <c r="N6" i="40"/>
  <c r="M6" i="40"/>
  <c r="L6" i="40"/>
  <c r="K6" i="40"/>
  <c r="P5" i="40"/>
  <c r="O5" i="40"/>
  <c r="N5" i="40"/>
  <c r="M5" i="40"/>
  <c r="L5" i="40"/>
  <c r="K5" i="40"/>
  <c r="P4" i="40"/>
  <c r="O4" i="40"/>
  <c r="N4" i="40"/>
  <c r="M4" i="40"/>
  <c r="L4" i="40"/>
  <c r="K4" i="40"/>
  <c r="P3" i="40"/>
  <c r="O3" i="40"/>
  <c r="N3" i="40"/>
  <c r="M3" i="40"/>
  <c r="L3" i="40"/>
  <c r="K3" i="40"/>
  <c r="K4" i="39"/>
  <c r="L4" i="39"/>
  <c r="M4" i="39"/>
  <c r="N4" i="39"/>
  <c r="O4" i="39"/>
  <c r="P4" i="39"/>
  <c r="K5" i="39"/>
  <c r="L5" i="39"/>
  <c r="M5" i="39"/>
  <c r="N5" i="39"/>
  <c r="O5" i="39"/>
  <c r="P5" i="39"/>
  <c r="K6" i="39"/>
  <c r="L6" i="39"/>
  <c r="M6" i="39"/>
  <c r="N6" i="39"/>
  <c r="O6" i="39"/>
  <c r="P6" i="39"/>
  <c r="K7" i="39"/>
  <c r="L7" i="39"/>
  <c r="M7" i="39"/>
  <c r="N7" i="39"/>
  <c r="O7" i="39"/>
  <c r="P7" i="39"/>
  <c r="K8" i="39"/>
  <c r="L8" i="39"/>
  <c r="M8" i="39"/>
  <c r="N8" i="39"/>
  <c r="O8" i="39"/>
  <c r="P8" i="39"/>
  <c r="K9" i="39"/>
  <c r="L9" i="39"/>
  <c r="M9" i="39"/>
  <c r="N9" i="39"/>
  <c r="O9" i="39"/>
  <c r="P9" i="39"/>
  <c r="K10" i="39"/>
  <c r="L10" i="39"/>
  <c r="M10" i="39"/>
  <c r="N10" i="39"/>
  <c r="O10" i="39"/>
  <c r="P10" i="39"/>
  <c r="K11" i="39"/>
  <c r="L11" i="39"/>
  <c r="M11" i="39"/>
  <c r="N11" i="39"/>
  <c r="O11" i="39"/>
  <c r="P11" i="39"/>
  <c r="K12" i="39"/>
  <c r="L12" i="39"/>
  <c r="M12" i="39"/>
  <c r="N12" i="39"/>
  <c r="O12" i="39"/>
  <c r="P12" i="39"/>
  <c r="K13" i="39"/>
  <c r="L13" i="39"/>
  <c r="M13" i="39"/>
  <c r="N13" i="39"/>
  <c r="O13" i="39"/>
  <c r="P13" i="39"/>
  <c r="K14" i="39"/>
  <c r="L14" i="39"/>
  <c r="M14" i="39"/>
  <c r="N14" i="39"/>
  <c r="O14" i="39"/>
  <c r="P14" i="39"/>
  <c r="K15" i="39"/>
  <c r="L15" i="39"/>
  <c r="M15" i="39"/>
  <c r="N15" i="39"/>
  <c r="O15" i="39"/>
  <c r="P15" i="39"/>
  <c r="K16" i="39"/>
  <c r="L16" i="39"/>
  <c r="M16" i="39"/>
  <c r="N16" i="39"/>
  <c r="O16" i="39"/>
  <c r="P16" i="39"/>
  <c r="K17" i="39"/>
  <c r="L17" i="39"/>
  <c r="M17" i="39"/>
  <c r="N17" i="39"/>
  <c r="O17" i="39"/>
  <c r="P17" i="39"/>
  <c r="K18" i="39"/>
  <c r="L18" i="39"/>
  <c r="M18" i="39"/>
  <c r="N18" i="39"/>
  <c r="O18" i="39"/>
  <c r="P18" i="39"/>
  <c r="K19" i="39"/>
  <c r="L19" i="39"/>
  <c r="M19" i="39"/>
  <c r="N19" i="39"/>
  <c r="O19" i="39"/>
  <c r="P19" i="39"/>
  <c r="K20" i="39"/>
  <c r="L20" i="39"/>
  <c r="M20" i="39"/>
  <c r="N20" i="39"/>
  <c r="O20" i="39"/>
  <c r="P20" i="39"/>
  <c r="K21" i="39"/>
  <c r="L21" i="39"/>
  <c r="M21" i="39"/>
  <c r="N21" i="39"/>
  <c r="O21" i="39"/>
  <c r="P21" i="39"/>
  <c r="K22" i="39"/>
  <c r="L22" i="39"/>
  <c r="M22" i="39"/>
  <c r="N22" i="39"/>
  <c r="O22" i="39"/>
  <c r="P22" i="39"/>
  <c r="K23" i="39"/>
  <c r="L23" i="39"/>
  <c r="M23" i="39"/>
  <c r="N23" i="39"/>
  <c r="O23" i="39"/>
  <c r="P23" i="39"/>
  <c r="K24" i="39"/>
  <c r="L24" i="39"/>
  <c r="M24" i="39"/>
  <c r="N24" i="39"/>
  <c r="O24" i="39"/>
  <c r="P24" i="39"/>
  <c r="K25" i="39"/>
  <c r="L25" i="39"/>
  <c r="M25" i="39"/>
  <c r="N25" i="39"/>
  <c r="O25" i="39"/>
  <c r="P25" i="39"/>
  <c r="K26" i="39"/>
  <c r="L26" i="39"/>
  <c r="M26" i="39"/>
  <c r="N26" i="39"/>
  <c r="O26" i="39"/>
  <c r="P26" i="39"/>
  <c r="K27" i="39"/>
  <c r="L27" i="39"/>
  <c r="M27" i="39"/>
  <c r="N27" i="39"/>
  <c r="O27" i="39"/>
  <c r="P27" i="39"/>
  <c r="K28" i="39"/>
  <c r="L28" i="39"/>
  <c r="M28" i="39"/>
  <c r="N28" i="39"/>
  <c r="O28" i="39"/>
  <c r="P28" i="39"/>
  <c r="K29" i="39"/>
  <c r="L29" i="39"/>
  <c r="M29" i="39"/>
  <c r="N29" i="39"/>
  <c r="O29" i="39"/>
  <c r="P29" i="39"/>
  <c r="K30" i="39"/>
  <c r="L30" i="39"/>
  <c r="M30" i="39"/>
  <c r="N30" i="39"/>
  <c r="O30" i="39"/>
  <c r="P30" i="39"/>
  <c r="K31" i="39"/>
  <c r="L31" i="39"/>
  <c r="M31" i="39"/>
  <c r="N31" i="39"/>
  <c r="O31" i="39"/>
  <c r="P31" i="39"/>
  <c r="K32" i="39"/>
  <c r="L32" i="39"/>
  <c r="M32" i="39"/>
  <c r="N32" i="39"/>
  <c r="O32" i="39"/>
  <c r="P32" i="39"/>
  <c r="K33" i="39"/>
  <c r="L33" i="39"/>
  <c r="M33" i="39"/>
  <c r="N33" i="39"/>
  <c r="O33" i="39"/>
  <c r="P33" i="39"/>
  <c r="K34" i="39"/>
  <c r="L34" i="39"/>
  <c r="M34" i="39"/>
  <c r="N34" i="39"/>
  <c r="O34" i="39"/>
  <c r="P34" i="39"/>
  <c r="K35" i="39"/>
  <c r="L35" i="39"/>
  <c r="M35" i="39"/>
  <c r="N35" i="39"/>
  <c r="O35" i="39"/>
  <c r="P35" i="39"/>
  <c r="K36" i="39"/>
  <c r="L36" i="39"/>
  <c r="M36" i="39"/>
  <c r="N36" i="39"/>
  <c r="O36" i="39"/>
  <c r="P36" i="39"/>
  <c r="K37" i="39"/>
  <c r="L37" i="39"/>
  <c r="M37" i="39"/>
  <c r="N37" i="39"/>
  <c r="O37" i="39"/>
  <c r="P37" i="39"/>
  <c r="K38" i="39"/>
  <c r="L38" i="39"/>
  <c r="M38" i="39"/>
  <c r="N38" i="39"/>
  <c r="O38" i="39"/>
  <c r="P38" i="39"/>
  <c r="K39" i="39"/>
  <c r="L39" i="39"/>
  <c r="M39" i="39"/>
  <c r="N39" i="39"/>
  <c r="O39" i="39"/>
  <c r="P39" i="39"/>
  <c r="K40" i="39"/>
  <c r="L40" i="39"/>
  <c r="M40" i="39"/>
  <c r="N40" i="39"/>
  <c r="O40" i="39"/>
  <c r="P40" i="39"/>
  <c r="K41" i="39"/>
  <c r="L41" i="39"/>
  <c r="M41" i="39"/>
  <c r="N41" i="39"/>
  <c r="O41" i="39"/>
  <c r="P41" i="39"/>
  <c r="K42" i="39"/>
  <c r="L42" i="39"/>
  <c r="M42" i="39"/>
  <c r="N42" i="39"/>
  <c r="O42" i="39"/>
  <c r="P42" i="39"/>
  <c r="K43" i="39"/>
  <c r="L43" i="39"/>
  <c r="M43" i="39"/>
  <c r="N43" i="39"/>
  <c r="O43" i="39"/>
  <c r="P43" i="39"/>
  <c r="K44" i="39"/>
  <c r="L44" i="39"/>
  <c r="M44" i="39"/>
  <c r="N44" i="39"/>
  <c r="O44" i="39"/>
  <c r="P44" i="39"/>
  <c r="K45" i="39"/>
  <c r="L45" i="39"/>
  <c r="M45" i="39"/>
  <c r="N45" i="39"/>
  <c r="O45" i="39"/>
  <c r="P45" i="39"/>
  <c r="K46" i="39"/>
  <c r="L46" i="39"/>
  <c r="M46" i="39"/>
  <c r="N46" i="39"/>
  <c r="O46" i="39"/>
  <c r="P46" i="39"/>
  <c r="K47" i="39"/>
  <c r="L47" i="39"/>
  <c r="M47" i="39"/>
  <c r="N47" i="39"/>
  <c r="O47" i="39"/>
  <c r="P47" i="39"/>
  <c r="K48" i="39"/>
  <c r="L48" i="39"/>
  <c r="M48" i="39"/>
  <c r="N48" i="39"/>
  <c r="O48" i="39"/>
  <c r="P48" i="39"/>
  <c r="K49" i="39"/>
  <c r="L49" i="39"/>
  <c r="M49" i="39"/>
  <c r="N49" i="39"/>
  <c r="O49" i="39"/>
  <c r="P49" i="39"/>
  <c r="K50" i="39"/>
  <c r="L50" i="39"/>
  <c r="M50" i="39"/>
  <c r="N50" i="39"/>
  <c r="O50" i="39"/>
  <c r="P50" i="39"/>
  <c r="K51" i="39"/>
  <c r="L51" i="39"/>
  <c r="M51" i="39"/>
  <c r="N51" i="39"/>
  <c r="O51" i="39"/>
  <c r="P51" i="39"/>
  <c r="K52" i="39"/>
  <c r="L52" i="39"/>
  <c r="M52" i="39"/>
  <c r="N52" i="39"/>
  <c r="O52" i="39"/>
  <c r="P52" i="39"/>
  <c r="K53" i="39"/>
  <c r="L53" i="39"/>
  <c r="M53" i="39"/>
  <c r="N53" i="39"/>
  <c r="O53" i="39"/>
  <c r="P53" i="39"/>
  <c r="K54" i="39"/>
  <c r="L54" i="39"/>
  <c r="M54" i="39"/>
  <c r="N54" i="39"/>
  <c r="O54" i="39"/>
  <c r="P54" i="39"/>
  <c r="K55" i="39"/>
  <c r="L55" i="39"/>
  <c r="M55" i="39"/>
  <c r="N55" i="39"/>
  <c r="O55" i="39"/>
  <c r="P55" i="39"/>
  <c r="K56" i="39"/>
  <c r="L56" i="39"/>
  <c r="M56" i="39"/>
  <c r="N56" i="39"/>
  <c r="O56" i="39"/>
  <c r="P56" i="39"/>
  <c r="K57" i="39"/>
  <c r="L57" i="39"/>
  <c r="M57" i="39"/>
  <c r="N57" i="39"/>
  <c r="O57" i="39"/>
  <c r="P57" i="39"/>
  <c r="K58" i="39"/>
  <c r="L58" i="39"/>
  <c r="M58" i="39"/>
  <c r="N58" i="39"/>
  <c r="O58" i="39"/>
  <c r="P58" i="39"/>
  <c r="K59" i="39"/>
  <c r="L59" i="39"/>
  <c r="M59" i="39"/>
  <c r="N59" i="39"/>
  <c r="O59" i="39"/>
  <c r="P59" i="39"/>
  <c r="K60" i="39"/>
  <c r="L60" i="39"/>
  <c r="M60" i="39"/>
  <c r="N60" i="39"/>
  <c r="O60" i="39"/>
  <c r="P60" i="39"/>
  <c r="K61" i="39"/>
  <c r="L61" i="39"/>
  <c r="M61" i="39"/>
  <c r="N61" i="39"/>
  <c r="O61" i="39"/>
  <c r="P61" i="39"/>
  <c r="K62" i="39"/>
  <c r="L62" i="39"/>
  <c r="M62" i="39"/>
  <c r="N62" i="39"/>
  <c r="O62" i="39"/>
  <c r="P62" i="39"/>
  <c r="K63" i="39"/>
  <c r="L63" i="39"/>
  <c r="M63" i="39"/>
  <c r="N63" i="39"/>
  <c r="O63" i="39"/>
  <c r="P63" i="39"/>
  <c r="K64" i="39"/>
  <c r="L64" i="39"/>
  <c r="M64" i="39"/>
  <c r="N64" i="39"/>
  <c r="O64" i="39"/>
  <c r="P64" i="39"/>
  <c r="K65" i="39"/>
  <c r="L65" i="39"/>
  <c r="M65" i="39"/>
  <c r="N65" i="39"/>
  <c r="O65" i="39"/>
  <c r="P65" i="39"/>
  <c r="K66" i="39"/>
  <c r="L66" i="39"/>
  <c r="M66" i="39"/>
  <c r="N66" i="39"/>
  <c r="O66" i="39"/>
  <c r="P66" i="39"/>
  <c r="K67" i="39"/>
  <c r="L67" i="39"/>
  <c r="M67" i="39"/>
  <c r="N67" i="39"/>
  <c r="O67" i="39"/>
  <c r="P67" i="39"/>
  <c r="K68" i="39"/>
  <c r="L68" i="39"/>
  <c r="M68" i="39"/>
  <c r="N68" i="39"/>
  <c r="O68" i="39"/>
  <c r="P68" i="39"/>
  <c r="K69" i="39"/>
  <c r="L69" i="39"/>
  <c r="M69" i="39"/>
  <c r="N69" i="39"/>
  <c r="O69" i="39"/>
  <c r="P69" i="39"/>
  <c r="K70" i="39"/>
  <c r="L70" i="39"/>
  <c r="M70" i="39"/>
  <c r="N70" i="39"/>
  <c r="O70" i="39"/>
  <c r="P70" i="39"/>
  <c r="K71" i="39"/>
  <c r="L71" i="39"/>
  <c r="M71" i="39"/>
  <c r="N71" i="39"/>
  <c r="O71" i="39"/>
  <c r="P71" i="39"/>
  <c r="K72" i="39"/>
  <c r="L72" i="39"/>
  <c r="M72" i="39"/>
  <c r="N72" i="39"/>
  <c r="O72" i="39"/>
  <c r="P72" i="39"/>
  <c r="K73" i="39"/>
  <c r="L73" i="39"/>
  <c r="M73" i="39"/>
  <c r="N73" i="39"/>
  <c r="O73" i="39"/>
  <c r="P73" i="39"/>
  <c r="K74" i="39"/>
  <c r="L74" i="39"/>
  <c r="M74" i="39"/>
  <c r="N74" i="39"/>
  <c r="O74" i="39"/>
  <c r="P74" i="39"/>
  <c r="K75" i="39"/>
  <c r="L75" i="39"/>
  <c r="M75" i="39"/>
  <c r="N75" i="39"/>
  <c r="O75" i="39"/>
  <c r="P75" i="39"/>
  <c r="K76" i="39"/>
  <c r="L76" i="39"/>
  <c r="M76" i="39"/>
  <c r="N76" i="39"/>
  <c r="O76" i="39"/>
  <c r="P76" i="39"/>
  <c r="P3" i="39"/>
  <c r="O3" i="39"/>
  <c r="N3" i="39"/>
  <c r="M3" i="39"/>
  <c r="L3" i="39"/>
  <c r="K3" i="39"/>
  <c r="F87" i="39" l="1"/>
  <c r="F86" i="39"/>
  <c r="F85" i="39"/>
  <c r="F84" i="39"/>
  <c r="F83" i="39"/>
  <c r="F82" i="39"/>
  <c r="F81" i="39"/>
  <c r="F80" i="39"/>
  <c r="F79" i="39"/>
  <c r="F78" i="39"/>
</calcChain>
</file>

<file path=xl/sharedStrings.xml><?xml version="1.0" encoding="utf-8"?>
<sst xmlns="http://schemas.openxmlformats.org/spreadsheetml/2006/main" count="282" uniqueCount="74">
  <si>
    <t>NoStim-IN</t>
  </si>
  <si>
    <t>NoStim-OUT</t>
  </si>
  <si>
    <t>IN-FC</t>
  </si>
  <si>
    <t>OUT-FC</t>
  </si>
  <si>
    <t>IN-creARC</t>
  </si>
  <si>
    <t>OUT-creARC</t>
  </si>
  <si>
    <t>NoSTIM-creARC-IN</t>
  </si>
  <si>
    <t>NoStim-creARC-OUT</t>
  </si>
  <si>
    <t>PAR</t>
  </si>
  <si>
    <t>CA1</t>
  </si>
  <si>
    <t>OUT-FC-Detect</t>
  </si>
  <si>
    <t>OUT-creARC-Detect</t>
  </si>
  <si>
    <t>'IN-FC-OS46'</t>
  </si>
  <si>
    <t>'IN-FC-OS47'</t>
  </si>
  <si>
    <t>'IN-FC-OS49'</t>
  </si>
  <si>
    <t>'IN-FC-OS59'</t>
  </si>
  <si>
    <t>'IN-FC-OS65'</t>
  </si>
  <si>
    <t>'IN-FC-OS83'</t>
  </si>
  <si>
    <t>'IN-FC-OS86'</t>
  </si>
  <si>
    <t>'IN-FC-OS88'</t>
  </si>
  <si>
    <t>FOR</t>
  </si>
  <si>
    <t>Immediate</t>
  </si>
  <si>
    <t>'OUT-FC-OS45'</t>
  </si>
  <si>
    <t>'OUT-FC-OS50'</t>
  </si>
  <si>
    <t>'OUT-FC-OS54'</t>
  </si>
  <si>
    <t>'OUT-FC-OS57'</t>
  </si>
  <si>
    <t>'OUT-FC-OS58'</t>
  </si>
  <si>
    <t>'OUT-FC-OS61'</t>
  </si>
  <si>
    <t>'OUT-FC-OS64'</t>
  </si>
  <si>
    <t>'OUT-FC-OS89'</t>
  </si>
  <si>
    <t>'NOSTIM-FC-OS41'</t>
  </si>
  <si>
    <t>'NOSTIM-FC-OS44'</t>
  </si>
  <si>
    <t>'NOSTIM-FC-OS56'</t>
  </si>
  <si>
    <t>'NOSTIM-FC-OS60'</t>
  </si>
  <si>
    <t>'NOSTIM-FC-OS63'</t>
  </si>
  <si>
    <t>'NOSTIM-FC-OS66'</t>
  </si>
  <si>
    <t>'NOSTIM-FC-OS81'</t>
  </si>
  <si>
    <t>'NOSTIM-FC-OS85'</t>
  </si>
  <si>
    <t>'NOSTIM-FC-OS87'</t>
  </si>
  <si>
    <t>'IN-OIcreARC1'</t>
  </si>
  <si>
    <t>'IN-OIcreARC2'</t>
  </si>
  <si>
    <t>'IN-OIcreARC3'</t>
  </si>
  <si>
    <t>'IN-OIcreARC4'</t>
  </si>
  <si>
    <t>'IN-OIcreARC5'</t>
  </si>
  <si>
    <t>'IN-OIcreARC6'</t>
  </si>
  <si>
    <t>'IN-OIcreARC7'</t>
  </si>
  <si>
    <t>'IN-OIcreARC16'</t>
  </si>
  <si>
    <t>'OUT-OIcreARC15'</t>
  </si>
  <si>
    <t>'OUT-OIcreARC16'</t>
  </si>
  <si>
    <t>'OUT-OIcreARC17'</t>
  </si>
  <si>
    <t>'OUT-OIcreARC18'</t>
  </si>
  <si>
    <t>'OUT-OIcreARC19'</t>
  </si>
  <si>
    <t>'NOSTIM-OIcreNO1'</t>
  </si>
  <si>
    <t>'NOSTIM-OIcreNO2'</t>
  </si>
  <si>
    <t>'NOSTIM-OIcreNO4'</t>
  </si>
  <si>
    <t>'NOSTIM-OIcreNO5'</t>
  </si>
  <si>
    <t>'NOSTIM-OIcreNO6'</t>
  </si>
  <si>
    <t>'NOSTIM-OIcreNO7ARC11'</t>
  </si>
  <si>
    <t>'NOSTIM-OIcreNO8ARC12'</t>
  </si>
  <si>
    <t>IN-Stim-FC</t>
  </si>
  <si>
    <t>OUT-Stim-FC</t>
  </si>
  <si>
    <t>OUT-Detect-FC</t>
  </si>
  <si>
    <t>IN-Stim-ARC</t>
  </si>
  <si>
    <t>OUT-Stim-ARC</t>
  </si>
  <si>
    <t>OUT-Detect-ARC</t>
  </si>
  <si>
    <t>NoStim-IN-ARC</t>
  </si>
  <si>
    <t>0 to 750 ms</t>
  </si>
  <si>
    <t>7-10 Hz</t>
  </si>
  <si>
    <t>NoStim-OUT-ARC</t>
  </si>
  <si>
    <t>Stim#</t>
  </si>
  <si>
    <t>Spindle#</t>
  </si>
  <si>
    <t>Ripple#</t>
  </si>
  <si>
    <t>SpiRipple</t>
  </si>
  <si>
    <t>SOSpiRipple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</si>
</sst>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0" fontId="0" fillId="0" borderId="0" xfId="0" applyFill="1" applyAlignment="1">
      <alignment horizontal="right"/>
    </xf>
    <xf numFmtId="2" fontId="0" fillId="0" borderId="0" xfId="0" applyNumberFormat="1" applyFill="1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"/>
  <sheetViews>
    <sheetView tabSelected="1" topLeftCell="A71" workbookViewId="0">
      <selection activeCell="P100" sqref="P100"/>
    </sheetView>
  </sheetViews>
  <sheetFormatPr defaultColWidth="9.140625" defaultRowHeight="15" x14ac:dyDescent="0.25"/>
  <cols>
    <col min="2" max="2" width="24.140625" bestFit="1" customWidth="1"/>
    <col min="9" max="9" width="7.7109375" bestFit="1" customWidth="1"/>
    <col min="10" max="10" width="14.42578125" customWidth="1"/>
    <col min="11" max="11" width="10.7109375" bestFit="1" customWidth="1"/>
    <col min="12" max="12" width="11.85546875" bestFit="1" customWidth="1"/>
    <col min="13" max="17" width="11.85546875" customWidth="1"/>
  </cols>
  <sheetData>
    <row r="1" spans="1:21" x14ac:dyDescent="0.25">
      <c r="C1" s="7"/>
      <c r="D1" s="7" t="s">
        <v>20</v>
      </c>
      <c r="E1" s="7"/>
      <c r="F1" s="7" t="s">
        <v>8</v>
      </c>
      <c r="G1" s="4"/>
      <c r="H1" s="6" t="s">
        <v>9</v>
      </c>
      <c r="K1" t="s">
        <v>20</v>
      </c>
      <c r="M1" t="s">
        <v>8</v>
      </c>
      <c r="O1" t="s">
        <v>9</v>
      </c>
      <c r="T1" t="s">
        <v>67</v>
      </c>
    </row>
    <row r="2" spans="1:21" x14ac:dyDescent="0.25">
      <c r="C2" t="s">
        <v>69</v>
      </c>
      <c r="D2" t="s">
        <v>70</v>
      </c>
      <c r="E2" t="s">
        <v>71</v>
      </c>
      <c r="F2" t="s">
        <v>70</v>
      </c>
      <c r="G2" t="s">
        <v>71</v>
      </c>
      <c r="H2" t="s">
        <v>70</v>
      </c>
      <c r="I2" t="s">
        <v>71</v>
      </c>
      <c r="K2" t="s">
        <v>72</v>
      </c>
      <c r="L2" t="s">
        <v>73</v>
      </c>
      <c r="M2" t="s">
        <v>72</v>
      </c>
      <c r="N2" t="s">
        <v>73</v>
      </c>
      <c r="O2" t="s">
        <v>72</v>
      </c>
      <c r="P2" t="s">
        <v>73</v>
      </c>
      <c r="T2" t="s">
        <v>21</v>
      </c>
      <c r="U2" t="s">
        <v>66</v>
      </c>
    </row>
    <row r="3" spans="1:21" x14ac:dyDescent="0.25">
      <c r="A3" s="8" t="s">
        <v>59</v>
      </c>
      <c r="B3" t="s">
        <v>12</v>
      </c>
      <c r="C3" s="5">
        <v>169</v>
      </c>
      <c r="D3" s="5">
        <v>83</v>
      </c>
      <c r="E3" s="5">
        <v>21</v>
      </c>
      <c r="F3" s="5">
        <v>57</v>
      </c>
      <c r="G3">
        <v>18</v>
      </c>
      <c r="H3">
        <v>49</v>
      </c>
      <c r="I3">
        <v>12</v>
      </c>
      <c r="K3" s="1">
        <f>E3/D3</f>
        <v>0.25301204819277107</v>
      </c>
      <c r="L3" s="1">
        <f>E3/$C3</f>
        <v>0.1242603550295858</v>
      </c>
      <c r="M3" s="1">
        <f>G3/F3</f>
        <v>0.31578947368421051</v>
      </c>
      <c r="N3" s="1">
        <f>G3/$C3</f>
        <v>0.10650887573964497</v>
      </c>
      <c r="O3" s="1">
        <f>I3/H3</f>
        <v>0.24489795918367346</v>
      </c>
      <c r="P3" s="1">
        <f>I3/$C3</f>
        <v>7.1005917159763315E-2</v>
      </c>
    </row>
    <row r="4" spans="1:21" x14ac:dyDescent="0.25">
      <c r="A4" s="8"/>
      <c r="B4" t="s">
        <v>13</v>
      </c>
      <c r="C4" s="5">
        <v>316</v>
      </c>
      <c r="D4" s="5">
        <v>131</v>
      </c>
      <c r="E4" s="5">
        <v>32</v>
      </c>
      <c r="F4" s="5">
        <v>74</v>
      </c>
      <c r="G4">
        <v>20</v>
      </c>
      <c r="H4">
        <v>61</v>
      </c>
      <c r="I4">
        <v>18</v>
      </c>
      <c r="K4" s="1">
        <f t="shared" ref="K4:K67" si="0">E4/D4</f>
        <v>0.24427480916030533</v>
      </c>
      <c r="L4" s="1">
        <f t="shared" ref="L4:L67" si="1">E4/$C4</f>
        <v>0.10126582278481013</v>
      </c>
      <c r="M4" s="1">
        <f t="shared" ref="M4:M67" si="2">G4/F4</f>
        <v>0.27027027027027029</v>
      </c>
      <c r="N4" s="1">
        <f t="shared" ref="N4:N67" si="3">G4/$C4</f>
        <v>6.3291139240506333E-2</v>
      </c>
      <c r="O4" s="1">
        <f t="shared" ref="O4:O67" si="4">I4/H4</f>
        <v>0.29508196721311475</v>
      </c>
      <c r="P4" s="1">
        <f t="shared" ref="P4:P67" si="5">I4/$C4</f>
        <v>5.6962025316455694E-2</v>
      </c>
    </row>
    <row r="5" spans="1:21" x14ac:dyDescent="0.25">
      <c r="A5" s="8"/>
      <c r="B5" t="s">
        <v>14</v>
      </c>
      <c r="C5" s="5">
        <v>727</v>
      </c>
      <c r="D5" s="5">
        <v>365</v>
      </c>
      <c r="E5" s="5">
        <v>81</v>
      </c>
      <c r="F5" s="5">
        <v>184</v>
      </c>
      <c r="G5">
        <v>56</v>
      </c>
      <c r="H5">
        <v>150</v>
      </c>
      <c r="I5">
        <v>68</v>
      </c>
      <c r="K5" s="1">
        <f t="shared" si="0"/>
        <v>0.22191780821917809</v>
      </c>
      <c r="L5" s="1">
        <f t="shared" si="1"/>
        <v>0.11141678129298486</v>
      </c>
      <c r="M5" s="1">
        <f t="shared" si="2"/>
        <v>0.30434782608695654</v>
      </c>
      <c r="N5" s="1">
        <f t="shared" si="3"/>
        <v>7.7028885832187075E-2</v>
      </c>
      <c r="O5" s="1">
        <f t="shared" si="4"/>
        <v>0.45333333333333331</v>
      </c>
      <c r="P5" s="1">
        <f t="shared" si="5"/>
        <v>9.353507565337002E-2</v>
      </c>
    </row>
    <row r="6" spans="1:21" x14ac:dyDescent="0.25">
      <c r="A6" s="8"/>
      <c r="B6" t="s">
        <v>15</v>
      </c>
      <c r="C6" s="5">
        <v>650</v>
      </c>
      <c r="D6" s="5">
        <v>340</v>
      </c>
      <c r="E6" s="5">
        <v>95</v>
      </c>
      <c r="F6" s="5">
        <v>191</v>
      </c>
      <c r="G6">
        <v>70</v>
      </c>
      <c r="H6">
        <v>151</v>
      </c>
      <c r="I6">
        <v>63</v>
      </c>
      <c r="K6" s="1">
        <f t="shared" si="0"/>
        <v>0.27941176470588236</v>
      </c>
      <c r="L6" s="1">
        <f t="shared" si="1"/>
        <v>0.14615384615384616</v>
      </c>
      <c r="M6" s="1">
        <f t="shared" si="2"/>
        <v>0.36649214659685864</v>
      </c>
      <c r="N6" s="1">
        <f t="shared" si="3"/>
        <v>0.1076923076923077</v>
      </c>
      <c r="O6" s="1">
        <f t="shared" si="4"/>
        <v>0.41721854304635764</v>
      </c>
      <c r="P6" s="1">
        <f t="shared" si="5"/>
        <v>9.6923076923076917E-2</v>
      </c>
    </row>
    <row r="7" spans="1:21" x14ac:dyDescent="0.25">
      <c r="A7" s="8"/>
      <c r="B7" t="s">
        <v>16</v>
      </c>
      <c r="C7" s="5">
        <v>692</v>
      </c>
      <c r="D7" s="5">
        <v>415</v>
      </c>
      <c r="E7" s="5">
        <v>75</v>
      </c>
      <c r="F7" s="5">
        <v>204</v>
      </c>
      <c r="G7">
        <v>51</v>
      </c>
      <c r="H7">
        <v>201</v>
      </c>
      <c r="I7">
        <v>53</v>
      </c>
      <c r="K7" s="1">
        <f t="shared" si="0"/>
        <v>0.18072289156626506</v>
      </c>
      <c r="L7" s="1">
        <f t="shared" si="1"/>
        <v>0.10838150289017341</v>
      </c>
      <c r="M7" s="1">
        <f t="shared" si="2"/>
        <v>0.25</v>
      </c>
      <c r="N7" s="1">
        <f t="shared" si="3"/>
        <v>7.3699421965317924E-2</v>
      </c>
      <c r="O7" s="1">
        <f t="shared" si="4"/>
        <v>0.26368159203980102</v>
      </c>
      <c r="P7" s="1">
        <f t="shared" si="5"/>
        <v>7.6589595375722547E-2</v>
      </c>
    </row>
    <row r="8" spans="1:21" x14ac:dyDescent="0.25">
      <c r="A8" s="8"/>
      <c r="B8" t="s">
        <v>17</v>
      </c>
      <c r="C8" s="5">
        <v>591</v>
      </c>
      <c r="D8" s="5">
        <v>253</v>
      </c>
      <c r="E8" s="5">
        <v>32</v>
      </c>
      <c r="F8" s="5">
        <v>149</v>
      </c>
      <c r="G8">
        <v>42</v>
      </c>
      <c r="H8">
        <v>144</v>
      </c>
      <c r="I8">
        <v>46</v>
      </c>
      <c r="K8" s="1">
        <f t="shared" si="0"/>
        <v>0.12648221343873517</v>
      </c>
      <c r="L8" s="1">
        <f t="shared" si="1"/>
        <v>5.4145516074450083E-2</v>
      </c>
      <c r="M8" s="1">
        <f t="shared" si="2"/>
        <v>0.28187919463087246</v>
      </c>
      <c r="N8" s="1">
        <f t="shared" si="3"/>
        <v>7.1065989847715741E-2</v>
      </c>
      <c r="O8" s="1">
        <f t="shared" si="4"/>
        <v>0.31944444444444442</v>
      </c>
      <c r="P8" s="1">
        <f t="shared" si="5"/>
        <v>7.7834179357021999E-2</v>
      </c>
    </row>
    <row r="9" spans="1:21" x14ac:dyDescent="0.25">
      <c r="A9" s="8"/>
      <c r="B9" t="s">
        <v>18</v>
      </c>
      <c r="C9" s="5">
        <v>807</v>
      </c>
      <c r="D9" s="5">
        <v>390</v>
      </c>
      <c r="E9" s="5">
        <v>96</v>
      </c>
      <c r="F9" s="5">
        <v>202</v>
      </c>
      <c r="G9">
        <v>86</v>
      </c>
      <c r="H9">
        <v>223</v>
      </c>
      <c r="I9">
        <v>79</v>
      </c>
      <c r="K9" s="1">
        <f t="shared" si="0"/>
        <v>0.24615384615384617</v>
      </c>
      <c r="L9" s="1">
        <f t="shared" si="1"/>
        <v>0.11895910780669144</v>
      </c>
      <c r="M9" s="1">
        <f t="shared" si="2"/>
        <v>0.42574257425742573</v>
      </c>
      <c r="N9" s="1">
        <f t="shared" si="3"/>
        <v>0.10656753407682776</v>
      </c>
      <c r="O9" s="1">
        <f t="shared" si="4"/>
        <v>0.35426008968609868</v>
      </c>
      <c r="P9" s="1">
        <f t="shared" si="5"/>
        <v>9.7893432465923177E-2</v>
      </c>
    </row>
    <row r="10" spans="1:21" x14ac:dyDescent="0.25">
      <c r="A10" s="8"/>
      <c r="B10" t="s">
        <v>19</v>
      </c>
      <c r="C10" s="5">
        <v>881</v>
      </c>
      <c r="D10" s="5">
        <v>449</v>
      </c>
      <c r="E10" s="5">
        <v>97</v>
      </c>
      <c r="F10" s="5">
        <v>235</v>
      </c>
      <c r="G10">
        <v>75</v>
      </c>
      <c r="H10">
        <v>190</v>
      </c>
      <c r="I10">
        <v>72</v>
      </c>
      <c r="K10" s="1">
        <f t="shared" si="0"/>
        <v>0.21603563474387527</v>
      </c>
      <c r="L10" s="1">
        <f t="shared" si="1"/>
        <v>0.11010215664018161</v>
      </c>
      <c r="M10" s="1">
        <f t="shared" si="2"/>
        <v>0.31914893617021278</v>
      </c>
      <c r="N10" s="1">
        <f t="shared" si="3"/>
        <v>8.5130533484676502E-2</v>
      </c>
      <c r="O10" s="1">
        <f t="shared" si="4"/>
        <v>0.37894736842105264</v>
      </c>
      <c r="P10" s="1">
        <f t="shared" si="5"/>
        <v>8.1725312145289442E-2</v>
      </c>
    </row>
    <row r="11" spans="1:21" x14ac:dyDescent="0.25">
      <c r="A11" s="8" t="s">
        <v>60</v>
      </c>
      <c r="B11" t="s">
        <v>22</v>
      </c>
      <c r="C11" s="5">
        <v>600</v>
      </c>
      <c r="D11" s="5">
        <v>180</v>
      </c>
      <c r="E11" s="5">
        <v>26</v>
      </c>
      <c r="F11" s="5">
        <v>175</v>
      </c>
      <c r="G11">
        <v>38</v>
      </c>
      <c r="H11">
        <v>126</v>
      </c>
      <c r="I11">
        <v>25</v>
      </c>
      <c r="K11" s="1">
        <f t="shared" si="0"/>
        <v>0.14444444444444443</v>
      </c>
      <c r="L11" s="1">
        <f t="shared" si="1"/>
        <v>4.3333333333333335E-2</v>
      </c>
      <c r="M11" s="1">
        <f t="shared" si="2"/>
        <v>0.21714285714285714</v>
      </c>
      <c r="N11" s="1">
        <f t="shared" si="3"/>
        <v>6.3333333333333339E-2</v>
      </c>
      <c r="O11" s="1">
        <f t="shared" si="4"/>
        <v>0.1984126984126984</v>
      </c>
      <c r="P11" s="1">
        <f t="shared" si="5"/>
        <v>4.1666666666666664E-2</v>
      </c>
    </row>
    <row r="12" spans="1:21" x14ac:dyDescent="0.25">
      <c r="A12" s="8"/>
      <c r="B12" t="s">
        <v>23</v>
      </c>
      <c r="C12" s="5">
        <v>752</v>
      </c>
      <c r="D12" s="5">
        <v>246</v>
      </c>
      <c r="E12" s="5">
        <v>49</v>
      </c>
      <c r="F12" s="5">
        <v>183</v>
      </c>
      <c r="G12">
        <v>55</v>
      </c>
      <c r="H12">
        <v>174</v>
      </c>
      <c r="I12">
        <v>63</v>
      </c>
      <c r="K12" s="1">
        <f t="shared" si="0"/>
        <v>0.1991869918699187</v>
      </c>
      <c r="L12" s="1">
        <f t="shared" si="1"/>
        <v>6.515957446808511E-2</v>
      </c>
      <c r="M12" s="1">
        <f t="shared" si="2"/>
        <v>0.30054644808743169</v>
      </c>
      <c r="N12" s="1">
        <f t="shared" si="3"/>
        <v>7.3138297872340427E-2</v>
      </c>
      <c r="O12" s="1">
        <f t="shared" si="4"/>
        <v>0.36206896551724138</v>
      </c>
      <c r="P12" s="1">
        <f t="shared" si="5"/>
        <v>8.3776595744680854E-2</v>
      </c>
    </row>
    <row r="13" spans="1:21" x14ac:dyDescent="0.25">
      <c r="A13" s="8"/>
      <c r="B13" t="s">
        <v>24</v>
      </c>
      <c r="C13" s="5">
        <v>545</v>
      </c>
      <c r="D13" s="5">
        <v>208</v>
      </c>
      <c r="E13" s="5">
        <v>31</v>
      </c>
      <c r="F13" s="5">
        <v>155</v>
      </c>
      <c r="G13">
        <v>34</v>
      </c>
      <c r="H13">
        <v>142</v>
      </c>
      <c r="I13">
        <v>29</v>
      </c>
      <c r="K13" s="1">
        <f t="shared" si="0"/>
        <v>0.14903846153846154</v>
      </c>
      <c r="L13" s="1">
        <f t="shared" si="1"/>
        <v>5.6880733944954132E-2</v>
      </c>
      <c r="M13" s="1">
        <f t="shared" si="2"/>
        <v>0.21935483870967742</v>
      </c>
      <c r="N13" s="1">
        <f t="shared" si="3"/>
        <v>6.2385321100917435E-2</v>
      </c>
      <c r="O13" s="1">
        <f t="shared" si="4"/>
        <v>0.20422535211267606</v>
      </c>
      <c r="P13" s="1">
        <f t="shared" si="5"/>
        <v>5.321100917431193E-2</v>
      </c>
    </row>
    <row r="14" spans="1:21" x14ac:dyDescent="0.25">
      <c r="A14" s="8"/>
      <c r="B14" t="s">
        <v>25</v>
      </c>
      <c r="C14" s="5">
        <v>903</v>
      </c>
      <c r="D14" s="5">
        <v>302</v>
      </c>
      <c r="E14" s="5">
        <v>49</v>
      </c>
      <c r="F14" s="5">
        <v>226</v>
      </c>
      <c r="G14">
        <v>53</v>
      </c>
      <c r="H14">
        <v>190</v>
      </c>
      <c r="I14">
        <v>53</v>
      </c>
      <c r="K14" s="1">
        <f t="shared" si="0"/>
        <v>0.16225165562913907</v>
      </c>
      <c r="L14" s="1">
        <f t="shared" si="1"/>
        <v>5.4263565891472867E-2</v>
      </c>
      <c r="M14" s="1">
        <f t="shared" si="2"/>
        <v>0.23451327433628319</v>
      </c>
      <c r="N14" s="1">
        <f t="shared" si="3"/>
        <v>5.8693244739756366E-2</v>
      </c>
      <c r="O14" s="1">
        <f t="shared" si="4"/>
        <v>0.27894736842105261</v>
      </c>
      <c r="P14" s="1">
        <f t="shared" si="5"/>
        <v>5.8693244739756366E-2</v>
      </c>
    </row>
    <row r="15" spans="1:21" x14ac:dyDescent="0.25">
      <c r="A15" s="8"/>
      <c r="B15" t="s">
        <v>26</v>
      </c>
      <c r="C15" s="5">
        <v>660</v>
      </c>
      <c r="D15" s="5">
        <v>220</v>
      </c>
      <c r="E15" s="5">
        <v>59</v>
      </c>
      <c r="F15" s="5">
        <v>194</v>
      </c>
      <c r="G15">
        <v>72</v>
      </c>
      <c r="H15">
        <v>178</v>
      </c>
      <c r="I15">
        <v>57</v>
      </c>
      <c r="K15" s="1">
        <f t="shared" si="0"/>
        <v>0.26818181818181819</v>
      </c>
      <c r="L15" s="1">
        <f t="shared" si="1"/>
        <v>8.9393939393939401E-2</v>
      </c>
      <c r="M15" s="1">
        <f t="shared" si="2"/>
        <v>0.37113402061855671</v>
      </c>
      <c r="N15" s="1">
        <f t="shared" si="3"/>
        <v>0.10909090909090909</v>
      </c>
      <c r="O15" s="1">
        <f t="shared" si="4"/>
        <v>0.3202247191011236</v>
      </c>
      <c r="P15" s="1">
        <f t="shared" si="5"/>
        <v>8.6363636363636365E-2</v>
      </c>
    </row>
    <row r="16" spans="1:21" x14ac:dyDescent="0.25">
      <c r="A16" s="8"/>
      <c r="B16" t="s">
        <v>27</v>
      </c>
      <c r="C16" s="5">
        <v>614</v>
      </c>
      <c r="D16" s="5">
        <v>198</v>
      </c>
      <c r="E16" s="5">
        <v>39</v>
      </c>
      <c r="F16" s="5">
        <v>168</v>
      </c>
      <c r="G16">
        <v>59</v>
      </c>
      <c r="H16">
        <v>150</v>
      </c>
      <c r="I16">
        <v>59</v>
      </c>
      <c r="K16" s="1">
        <f t="shared" si="0"/>
        <v>0.19696969696969696</v>
      </c>
      <c r="L16" s="1">
        <f t="shared" si="1"/>
        <v>6.3517915309446255E-2</v>
      </c>
      <c r="M16" s="1">
        <f t="shared" si="2"/>
        <v>0.35119047619047616</v>
      </c>
      <c r="N16" s="1">
        <f t="shared" si="3"/>
        <v>9.6091205211726385E-2</v>
      </c>
      <c r="O16" s="1">
        <f t="shared" si="4"/>
        <v>0.39333333333333331</v>
      </c>
      <c r="P16" s="1">
        <f t="shared" si="5"/>
        <v>9.6091205211726385E-2</v>
      </c>
    </row>
    <row r="17" spans="1:16" x14ac:dyDescent="0.25">
      <c r="A17" s="8"/>
      <c r="B17" t="s">
        <v>28</v>
      </c>
      <c r="C17" s="5">
        <v>472</v>
      </c>
      <c r="D17" s="5">
        <v>161</v>
      </c>
      <c r="E17" s="5">
        <v>33</v>
      </c>
      <c r="F17" s="5">
        <v>124</v>
      </c>
      <c r="G17">
        <v>45</v>
      </c>
      <c r="H17">
        <v>115</v>
      </c>
      <c r="I17">
        <v>41</v>
      </c>
      <c r="K17" s="1">
        <f t="shared" si="0"/>
        <v>0.20496894409937888</v>
      </c>
      <c r="L17" s="1">
        <f t="shared" si="1"/>
        <v>6.991525423728813E-2</v>
      </c>
      <c r="M17" s="1">
        <f t="shared" si="2"/>
        <v>0.36290322580645162</v>
      </c>
      <c r="N17" s="1">
        <f t="shared" si="3"/>
        <v>9.5338983050847453E-2</v>
      </c>
      <c r="O17" s="1">
        <f t="shared" si="4"/>
        <v>0.35652173913043478</v>
      </c>
      <c r="P17" s="1">
        <f t="shared" si="5"/>
        <v>8.6864406779661021E-2</v>
      </c>
    </row>
    <row r="18" spans="1:16" x14ac:dyDescent="0.25">
      <c r="A18" s="8"/>
      <c r="B18" t="s">
        <v>29</v>
      </c>
      <c r="C18" s="5">
        <v>790</v>
      </c>
      <c r="D18" s="5">
        <v>199</v>
      </c>
      <c r="E18" s="5">
        <v>36</v>
      </c>
      <c r="F18" s="5">
        <v>192</v>
      </c>
      <c r="G18">
        <v>57</v>
      </c>
      <c r="H18">
        <v>205</v>
      </c>
      <c r="I18">
        <v>68</v>
      </c>
      <c r="K18" s="1">
        <f t="shared" si="0"/>
        <v>0.18090452261306533</v>
      </c>
      <c r="L18" s="1">
        <f t="shared" si="1"/>
        <v>4.5569620253164557E-2</v>
      </c>
      <c r="M18" s="1">
        <f t="shared" si="2"/>
        <v>0.296875</v>
      </c>
      <c r="N18" s="1">
        <f t="shared" si="3"/>
        <v>7.2151898734177211E-2</v>
      </c>
      <c r="O18" s="1">
        <f t="shared" si="4"/>
        <v>0.33170731707317075</v>
      </c>
      <c r="P18" s="1">
        <f t="shared" si="5"/>
        <v>8.6075949367088608E-2</v>
      </c>
    </row>
    <row r="19" spans="1:16" x14ac:dyDescent="0.25">
      <c r="A19" s="8" t="s">
        <v>61</v>
      </c>
      <c r="B19" t="s">
        <v>22</v>
      </c>
      <c r="C19" s="5">
        <v>607</v>
      </c>
      <c r="D19" s="5">
        <v>199</v>
      </c>
      <c r="E19" s="5">
        <v>28</v>
      </c>
      <c r="F19" s="5">
        <v>185</v>
      </c>
      <c r="G19">
        <v>42</v>
      </c>
      <c r="H19">
        <v>138</v>
      </c>
      <c r="I19">
        <v>33</v>
      </c>
      <c r="K19" s="1">
        <f t="shared" si="0"/>
        <v>0.1407035175879397</v>
      </c>
      <c r="L19" s="1">
        <f t="shared" si="1"/>
        <v>4.6128500823723231E-2</v>
      </c>
      <c r="M19" s="1">
        <f t="shared" si="2"/>
        <v>0.22702702702702704</v>
      </c>
      <c r="N19" s="1">
        <f t="shared" si="3"/>
        <v>6.919275123558484E-2</v>
      </c>
      <c r="O19" s="1">
        <f t="shared" si="4"/>
        <v>0.2391304347826087</v>
      </c>
      <c r="P19" s="1">
        <f t="shared" si="5"/>
        <v>5.4365733113673806E-2</v>
      </c>
    </row>
    <row r="20" spans="1:16" x14ac:dyDescent="0.25">
      <c r="A20" s="8"/>
      <c r="B20" t="s">
        <v>23</v>
      </c>
      <c r="C20" s="5">
        <v>761</v>
      </c>
      <c r="D20" s="5">
        <v>210</v>
      </c>
      <c r="E20" s="5">
        <v>44</v>
      </c>
      <c r="F20" s="5">
        <v>183</v>
      </c>
      <c r="G20">
        <v>55</v>
      </c>
      <c r="H20">
        <v>161</v>
      </c>
      <c r="I20">
        <v>61</v>
      </c>
      <c r="K20" s="1">
        <f t="shared" si="0"/>
        <v>0.20952380952380953</v>
      </c>
      <c r="L20" s="1">
        <f t="shared" si="1"/>
        <v>5.7818659658344283E-2</v>
      </c>
      <c r="M20" s="1">
        <f t="shared" si="2"/>
        <v>0.30054644808743169</v>
      </c>
      <c r="N20" s="1">
        <f t="shared" si="3"/>
        <v>7.2273324572930356E-2</v>
      </c>
      <c r="O20" s="1">
        <f t="shared" si="4"/>
        <v>0.37888198757763975</v>
      </c>
      <c r="P20" s="1">
        <f t="shared" si="5"/>
        <v>8.0157687253613663E-2</v>
      </c>
    </row>
    <row r="21" spans="1:16" x14ac:dyDescent="0.25">
      <c r="A21" s="8"/>
      <c r="B21" t="s">
        <v>24</v>
      </c>
      <c r="C21" s="5">
        <v>562</v>
      </c>
      <c r="D21" s="5">
        <v>193</v>
      </c>
      <c r="E21" s="5">
        <v>31</v>
      </c>
      <c r="F21" s="5">
        <v>156</v>
      </c>
      <c r="G21">
        <v>38</v>
      </c>
      <c r="H21">
        <v>125</v>
      </c>
      <c r="I21">
        <v>30</v>
      </c>
      <c r="K21" s="1">
        <f t="shared" si="0"/>
        <v>0.16062176165803108</v>
      </c>
      <c r="L21" s="1">
        <f t="shared" si="1"/>
        <v>5.5160142348754451E-2</v>
      </c>
      <c r="M21" s="1">
        <f t="shared" si="2"/>
        <v>0.24358974358974358</v>
      </c>
      <c r="N21" s="1">
        <f t="shared" si="3"/>
        <v>6.7615658362989328E-2</v>
      </c>
      <c r="O21" s="1">
        <f t="shared" si="4"/>
        <v>0.24</v>
      </c>
      <c r="P21" s="1">
        <f t="shared" si="5"/>
        <v>5.3380782918149468E-2</v>
      </c>
    </row>
    <row r="22" spans="1:16" x14ac:dyDescent="0.25">
      <c r="A22" s="8"/>
      <c r="B22" t="s">
        <v>25</v>
      </c>
      <c r="C22" s="5">
        <v>911</v>
      </c>
      <c r="D22" s="5">
        <v>308</v>
      </c>
      <c r="E22" s="5">
        <v>56</v>
      </c>
      <c r="F22" s="5">
        <v>230</v>
      </c>
      <c r="G22">
        <v>65</v>
      </c>
      <c r="H22">
        <v>187</v>
      </c>
      <c r="I22">
        <v>50</v>
      </c>
      <c r="K22" s="1">
        <f t="shared" si="0"/>
        <v>0.18181818181818182</v>
      </c>
      <c r="L22" s="1">
        <f t="shared" si="1"/>
        <v>6.1470911086717893E-2</v>
      </c>
      <c r="M22" s="1">
        <f t="shared" si="2"/>
        <v>0.28260869565217389</v>
      </c>
      <c r="N22" s="1">
        <f t="shared" si="3"/>
        <v>7.1350164654226125E-2</v>
      </c>
      <c r="O22" s="1">
        <f t="shared" si="4"/>
        <v>0.26737967914438504</v>
      </c>
      <c r="P22" s="1">
        <f t="shared" si="5"/>
        <v>5.4884742041712405E-2</v>
      </c>
    </row>
    <row r="23" spans="1:16" x14ac:dyDescent="0.25">
      <c r="A23" s="8"/>
      <c r="B23" t="s">
        <v>26</v>
      </c>
      <c r="C23" s="5">
        <v>670</v>
      </c>
      <c r="D23" s="5">
        <v>224</v>
      </c>
      <c r="E23" s="5">
        <v>65</v>
      </c>
      <c r="F23" s="5">
        <v>199</v>
      </c>
      <c r="G23">
        <v>74</v>
      </c>
      <c r="H23">
        <v>178</v>
      </c>
      <c r="I23">
        <v>54</v>
      </c>
      <c r="K23" s="1">
        <f t="shared" si="0"/>
        <v>0.29017857142857145</v>
      </c>
      <c r="L23" s="1">
        <f t="shared" si="1"/>
        <v>9.7014925373134331E-2</v>
      </c>
      <c r="M23" s="1">
        <f t="shared" si="2"/>
        <v>0.37185929648241206</v>
      </c>
      <c r="N23" s="1">
        <f t="shared" si="3"/>
        <v>0.11044776119402985</v>
      </c>
      <c r="O23" s="1">
        <f t="shared" si="4"/>
        <v>0.30337078651685395</v>
      </c>
      <c r="P23" s="1">
        <f t="shared" si="5"/>
        <v>8.0597014925373134E-2</v>
      </c>
    </row>
    <row r="24" spans="1:16" x14ac:dyDescent="0.25">
      <c r="A24" s="8"/>
      <c r="B24" t="s">
        <v>27</v>
      </c>
      <c r="C24" s="5">
        <v>625</v>
      </c>
      <c r="D24" s="5">
        <v>205</v>
      </c>
      <c r="E24" s="5">
        <v>40</v>
      </c>
      <c r="F24" s="5">
        <v>155</v>
      </c>
      <c r="G24">
        <v>43</v>
      </c>
      <c r="H24">
        <v>136</v>
      </c>
      <c r="I24">
        <v>44</v>
      </c>
      <c r="K24" s="1">
        <f t="shared" si="0"/>
        <v>0.1951219512195122</v>
      </c>
      <c r="L24" s="1">
        <f t="shared" si="1"/>
        <v>6.4000000000000001E-2</v>
      </c>
      <c r="M24" s="1">
        <f t="shared" si="2"/>
        <v>0.27741935483870966</v>
      </c>
      <c r="N24" s="1">
        <f t="shared" si="3"/>
        <v>6.88E-2</v>
      </c>
      <c r="O24" s="1">
        <f t="shared" si="4"/>
        <v>0.3235294117647059</v>
      </c>
      <c r="P24" s="1">
        <f t="shared" si="5"/>
        <v>7.0400000000000004E-2</v>
      </c>
    </row>
    <row r="25" spans="1:16" x14ac:dyDescent="0.25">
      <c r="A25" s="8"/>
      <c r="B25" t="s">
        <v>28</v>
      </c>
      <c r="C25" s="5">
        <v>482</v>
      </c>
      <c r="D25" s="5">
        <v>150</v>
      </c>
      <c r="E25" s="5">
        <v>30</v>
      </c>
      <c r="F25" s="5">
        <v>121</v>
      </c>
      <c r="G25">
        <v>46</v>
      </c>
      <c r="H25">
        <v>92</v>
      </c>
      <c r="I25">
        <v>33</v>
      </c>
      <c r="K25" s="1">
        <f t="shared" si="0"/>
        <v>0.2</v>
      </c>
      <c r="L25" s="1">
        <f t="shared" si="1"/>
        <v>6.2240663900414939E-2</v>
      </c>
      <c r="M25" s="1">
        <f t="shared" si="2"/>
        <v>0.38016528925619836</v>
      </c>
      <c r="N25" s="1">
        <f t="shared" si="3"/>
        <v>9.5435684647302899E-2</v>
      </c>
      <c r="O25" s="1">
        <f t="shared" si="4"/>
        <v>0.35869565217391303</v>
      </c>
      <c r="P25" s="1">
        <f t="shared" si="5"/>
        <v>6.8464730290456438E-2</v>
      </c>
    </row>
    <row r="26" spans="1:16" x14ac:dyDescent="0.25">
      <c r="A26" s="8"/>
      <c r="B26" t="s">
        <v>29</v>
      </c>
      <c r="C26" s="5">
        <v>806</v>
      </c>
      <c r="D26" s="5">
        <v>226</v>
      </c>
      <c r="E26" s="5">
        <v>45</v>
      </c>
      <c r="F26" s="5">
        <v>191</v>
      </c>
      <c r="G26">
        <v>58</v>
      </c>
      <c r="H26">
        <v>175</v>
      </c>
      <c r="I26">
        <v>60</v>
      </c>
      <c r="K26" s="1">
        <f t="shared" si="0"/>
        <v>0.19911504424778761</v>
      </c>
      <c r="L26" s="1">
        <f t="shared" si="1"/>
        <v>5.5831265508684863E-2</v>
      </c>
      <c r="M26" s="1">
        <f t="shared" si="2"/>
        <v>0.30366492146596857</v>
      </c>
      <c r="N26" s="1">
        <f t="shared" si="3"/>
        <v>7.1960297766749379E-2</v>
      </c>
      <c r="O26" s="1">
        <f t="shared" si="4"/>
        <v>0.34285714285714286</v>
      </c>
      <c r="P26" s="1">
        <f t="shared" si="5"/>
        <v>7.4441687344913146E-2</v>
      </c>
    </row>
    <row r="27" spans="1:16" x14ac:dyDescent="0.25">
      <c r="A27" s="8" t="s">
        <v>0</v>
      </c>
      <c r="B27" t="s">
        <v>30</v>
      </c>
      <c r="C27" s="5">
        <v>636</v>
      </c>
      <c r="D27" s="5">
        <v>159</v>
      </c>
      <c r="E27" s="5">
        <v>40</v>
      </c>
      <c r="F27" s="5">
        <v>150</v>
      </c>
      <c r="G27">
        <v>73</v>
      </c>
      <c r="H27">
        <v>135</v>
      </c>
      <c r="I27">
        <v>70</v>
      </c>
      <c r="K27" s="1">
        <f t="shared" si="0"/>
        <v>0.25157232704402516</v>
      </c>
      <c r="L27" s="1">
        <f t="shared" si="1"/>
        <v>6.2893081761006289E-2</v>
      </c>
      <c r="M27" s="1">
        <f t="shared" si="2"/>
        <v>0.48666666666666669</v>
      </c>
      <c r="N27" s="1">
        <f t="shared" si="3"/>
        <v>0.11477987421383648</v>
      </c>
      <c r="O27" s="1">
        <f t="shared" si="4"/>
        <v>0.51851851851851849</v>
      </c>
      <c r="P27" s="1">
        <f t="shared" si="5"/>
        <v>0.11006289308176101</v>
      </c>
    </row>
    <row r="28" spans="1:16" x14ac:dyDescent="0.25">
      <c r="A28" s="8"/>
      <c r="B28" t="s">
        <v>31</v>
      </c>
      <c r="C28" s="5">
        <v>636</v>
      </c>
      <c r="D28" s="5">
        <v>199</v>
      </c>
      <c r="E28" s="5">
        <v>54</v>
      </c>
      <c r="F28" s="5">
        <v>183</v>
      </c>
      <c r="G28">
        <v>44</v>
      </c>
      <c r="H28">
        <v>145</v>
      </c>
      <c r="I28">
        <v>28</v>
      </c>
      <c r="K28" s="1">
        <f t="shared" si="0"/>
        <v>0.271356783919598</v>
      </c>
      <c r="L28" s="1">
        <f t="shared" si="1"/>
        <v>8.4905660377358486E-2</v>
      </c>
      <c r="M28" s="1">
        <f t="shared" si="2"/>
        <v>0.24043715846994534</v>
      </c>
      <c r="N28" s="1">
        <f t="shared" si="3"/>
        <v>6.9182389937106917E-2</v>
      </c>
      <c r="O28" s="1">
        <f t="shared" si="4"/>
        <v>0.19310344827586207</v>
      </c>
      <c r="P28" s="1">
        <f t="shared" si="5"/>
        <v>4.40251572327044E-2</v>
      </c>
    </row>
    <row r="29" spans="1:16" x14ac:dyDescent="0.25">
      <c r="A29" s="8"/>
      <c r="B29" t="s">
        <v>32</v>
      </c>
      <c r="C29" s="5">
        <v>636</v>
      </c>
      <c r="D29" s="5">
        <v>163</v>
      </c>
      <c r="E29" s="5">
        <v>27</v>
      </c>
      <c r="F29" s="5">
        <v>171</v>
      </c>
      <c r="G29">
        <v>59</v>
      </c>
      <c r="H29">
        <v>135</v>
      </c>
      <c r="I29">
        <v>48</v>
      </c>
      <c r="K29" s="1">
        <f t="shared" si="0"/>
        <v>0.16564417177914109</v>
      </c>
      <c r="L29" s="1">
        <f t="shared" si="1"/>
        <v>4.2452830188679243E-2</v>
      </c>
      <c r="M29" s="1">
        <f t="shared" si="2"/>
        <v>0.34502923976608185</v>
      </c>
      <c r="N29" s="1">
        <f t="shared" si="3"/>
        <v>9.276729559748427E-2</v>
      </c>
      <c r="O29" s="1">
        <f t="shared" si="4"/>
        <v>0.35555555555555557</v>
      </c>
      <c r="P29" s="1">
        <f t="shared" si="5"/>
        <v>7.5471698113207544E-2</v>
      </c>
    </row>
    <row r="30" spans="1:16" x14ac:dyDescent="0.25">
      <c r="A30" s="8"/>
      <c r="B30" t="s">
        <v>33</v>
      </c>
      <c r="C30" s="5">
        <v>636</v>
      </c>
      <c r="D30" s="5">
        <v>153</v>
      </c>
      <c r="E30" s="5">
        <v>32</v>
      </c>
      <c r="F30" s="5">
        <v>137</v>
      </c>
      <c r="G30">
        <v>44</v>
      </c>
      <c r="H30">
        <v>152</v>
      </c>
      <c r="I30">
        <v>65</v>
      </c>
      <c r="K30" s="1">
        <f t="shared" si="0"/>
        <v>0.20915032679738563</v>
      </c>
      <c r="L30" s="1">
        <f t="shared" si="1"/>
        <v>5.0314465408805034E-2</v>
      </c>
      <c r="M30" s="1">
        <f t="shared" si="2"/>
        <v>0.32116788321167883</v>
      </c>
      <c r="N30" s="1">
        <f t="shared" si="3"/>
        <v>6.9182389937106917E-2</v>
      </c>
      <c r="O30" s="1">
        <f t="shared" si="4"/>
        <v>0.42763157894736842</v>
      </c>
      <c r="P30" s="1">
        <f t="shared" si="5"/>
        <v>0.10220125786163523</v>
      </c>
    </row>
    <row r="31" spans="1:16" x14ac:dyDescent="0.25">
      <c r="A31" s="8"/>
      <c r="B31" t="s">
        <v>34</v>
      </c>
      <c r="C31" s="5">
        <v>636</v>
      </c>
      <c r="D31" s="5">
        <v>202</v>
      </c>
      <c r="E31" s="5">
        <v>37</v>
      </c>
      <c r="F31" s="5">
        <v>205</v>
      </c>
      <c r="G31">
        <v>61</v>
      </c>
      <c r="H31">
        <v>109</v>
      </c>
      <c r="I31">
        <v>67</v>
      </c>
      <c r="K31" s="1">
        <f t="shared" si="0"/>
        <v>0.18316831683168316</v>
      </c>
      <c r="L31" s="1">
        <f t="shared" si="1"/>
        <v>5.8176100628930819E-2</v>
      </c>
      <c r="M31" s="1">
        <f t="shared" si="2"/>
        <v>0.29756097560975608</v>
      </c>
      <c r="N31" s="1">
        <f t="shared" si="3"/>
        <v>9.5911949685534598E-2</v>
      </c>
      <c r="O31" s="1">
        <f t="shared" si="4"/>
        <v>0.61467889908256879</v>
      </c>
      <c r="P31" s="1">
        <f t="shared" si="5"/>
        <v>0.10534591194968554</v>
      </c>
    </row>
    <row r="32" spans="1:16" x14ac:dyDescent="0.25">
      <c r="A32" s="8"/>
      <c r="B32" t="s">
        <v>35</v>
      </c>
      <c r="C32" s="5">
        <v>563</v>
      </c>
      <c r="D32" s="5">
        <v>185</v>
      </c>
      <c r="E32" s="5">
        <v>27</v>
      </c>
      <c r="F32" s="5">
        <v>138</v>
      </c>
      <c r="G32">
        <v>34</v>
      </c>
      <c r="H32">
        <v>141</v>
      </c>
      <c r="I32">
        <v>30</v>
      </c>
      <c r="K32" s="1">
        <f t="shared" si="0"/>
        <v>0.14594594594594595</v>
      </c>
      <c r="L32" s="1">
        <f t="shared" si="1"/>
        <v>4.7957371225577264E-2</v>
      </c>
      <c r="M32" s="1">
        <f t="shared" si="2"/>
        <v>0.24637681159420291</v>
      </c>
      <c r="N32" s="1">
        <f t="shared" si="3"/>
        <v>6.0390763765541741E-2</v>
      </c>
      <c r="O32" s="1">
        <f t="shared" si="4"/>
        <v>0.21276595744680851</v>
      </c>
      <c r="P32" s="1">
        <f t="shared" si="5"/>
        <v>5.328596802841918E-2</v>
      </c>
    </row>
    <row r="33" spans="1:16" x14ac:dyDescent="0.25">
      <c r="A33" s="8"/>
      <c r="B33" t="s">
        <v>36</v>
      </c>
      <c r="C33" s="5">
        <v>154</v>
      </c>
      <c r="D33" s="5">
        <v>75</v>
      </c>
      <c r="E33" s="5">
        <v>15</v>
      </c>
      <c r="F33" s="5">
        <v>38</v>
      </c>
      <c r="G33">
        <v>7</v>
      </c>
      <c r="H33">
        <v>31</v>
      </c>
      <c r="I33">
        <v>8</v>
      </c>
      <c r="K33" s="1">
        <f t="shared" si="0"/>
        <v>0.2</v>
      </c>
      <c r="L33" s="1">
        <f t="shared" si="1"/>
        <v>9.7402597402597407E-2</v>
      </c>
      <c r="M33" s="1">
        <f t="shared" si="2"/>
        <v>0.18421052631578946</v>
      </c>
      <c r="N33" s="1">
        <f t="shared" si="3"/>
        <v>4.5454545454545456E-2</v>
      </c>
      <c r="O33" s="1">
        <f t="shared" si="4"/>
        <v>0.25806451612903225</v>
      </c>
      <c r="P33" s="1">
        <f t="shared" si="5"/>
        <v>5.1948051948051951E-2</v>
      </c>
    </row>
    <row r="34" spans="1:16" x14ac:dyDescent="0.25">
      <c r="A34" s="8"/>
      <c r="B34" t="s">
        <v>37</v>
      </c>
      <c r="C34" s="5">
        <v>636</v>
      </c>
      <c r="D34" s="5">
        <v>166</v>
      </c>
      <c r="E34" s="5">
        <v>37</v>
      </c>
      <c r="F34" s="5">
        <v>177</v>
      </c>
      <c r="G34">
        <v>55</v>
      </c>
      <c r="H34">
        <v>170</v>
      </c>
      <c r="I34">
        <v>62</v>
      </c>
      <c r="K34" s="1">
        <f t="shared" si="0"/>
        <v>0.22289156626506024</v>
      </c>
      <c r="L34" s="1">
        <f t="shared" si="1"/>
        <v>5.8176100628930819E-2</v>
      </c>
      <c r="M34" s="1">
        <f t="shared" si="2"/>
        <v>0.31073446327683618</v>
      </c>
      <c r="N34" s="1">
        <f t="shared" si="3"/>
        <v>8.6477987421383642E-2</v>
      </c>
      <c r="O34" s="1">
        <f t="shared" si="4"/>
        <v>0.36470588235294116</v>
      </c>
      <c r="P34" s="1">
        <f t="shared" si="5"/>
        <v>9.7484276729559755E-2</v>
      </c>
    </row>
    <row r="35" spans="1:16" x14ac:dyDescent="0.25">
      <c r="A35" s="8"/>
      <c r="B35" t="s">
        <v>38</v>
      </c>
      <c r="C35" s="5">
        <v>636</v>
      </c>
      <c r="D35" s="5">
        <v>227</v>
      </c>
      <c r="E35" s="5">
        <v>77</v>
      </c>
      <c r="F35" s="5">
        <v>151</v>
      </c>
      <c r="G35">
        <v>55</v>
      </c>
      <c r="H35">
        <v>147</v>
      </c>
      <c r="I35">
        <v>49</v>
      </c>
      <c r="K35" s="1">
        <f t="shared" si="0"/>
        <v>0.33920704845814981</v>
      </c>
      <c r="L35" s="1">
        <f t="shared" si="1"/>
        <v>0.12106918238993711</v>
      </c>
      <c r="M35" s="1">
        <f t="shared" si="2"/>
        <v>0.36423841059602646</v>
      </c>
      <c r="N35" s="1">
        <f t="shared" si="3"/>
        <v>8.6477987421383642E-2</v>
      </c>
      <c r="O35" s="1">
        <f t="shared" si="4"/>
        <v>0.33333333333333331</v>
      </c>
      <c r="P35" s="1">
        <f t="shared" si="5"/>
        <v>7.7044025157232701E-2</v>
      </c>
    </row>
    <row r="36" spans="1:16" x14ac:dyDescent="0.25">
      <c r="A36" s="8" t="s">
        <v>1</v>
      </c>
      <c r="B36" t="s">
        <v>30</v>
      </c>
      <c r="C36" s="5">
        <v>636</v>
      </c>
      <c r="D36" s="5">
        <v>136</v>
      </c>
      <c r="E36" s="5">
        <v>34</v>
      </c>
      <c r="F36" s="5">
        <v>141</v>
      </c>
      <c r="G36">
        <v>45</v>
      </c>
      <c r="H36">
        <v>123</v>
      </c>
      <c r="I36">
        <v>54</v>
      </c>
      <c r="K36" s="1">
        <f t="shared" si="0"/>
        <v>0.25</v>
      </c>
      <c r="L36" s="1">
        <f t="shared" si="1"/>
        <v>5.3459119496855348E-2</v>
      </c>
      <c r="M36" s="1">
        <f t="shared" si="2"/>
        <v>0.31914893617021278</v>
      </c>
      <c r="N36" s="1">
        <f t="shared" si="3"/>
        <v>7.0754716981132074E-2</v>
      </c>
      <c r="O36" s="1">
        <f t="shared" si="4"/>
        <v>0.43902439024390244</v>
      </c>
      <c r="P36" s="1">
        <f t="shared" si="5"/>
        <v>8.4905660377358486E-2</v>
      </c>
    </row>
    <row r="37" spans="1:16" x14ac:dyDescent="0.25">
      <c r="A37" s="8"/>
      <c r="B37" t="s">
        <v>31</v>
      </c>
      <c r="C37" s="5">
        <v>636</v>
      </c>
      <c r="D37" s="5">
        <v>113</v>
      </c>
      <c r="E37" s="5">
        <v>27</v>
      </c>
      <c r="F37" s="5">
        <v>161</v>
      </c>
      <c r="G37">
        <v>40</v>
      </c>
      <c r="H37">
        <v>134</v>
      </c>
      <c r="I37">
        <v>31</v>
      </c>
      <c r="K37" s="1">
        <f t="shared" si="0"/>
        <v>0.23893805309734514</v>
      </c>
      <c r="L37" s="1">
        <f t="shared" si="1"/>
        <v>4.2452830188679243E-2</v>
      </c>
      <c r="M37" s="1">
        <f t="shared" si="2"/>
        <v>0.2484472049689441</v>
      </c>
      <c r="N37" s="1">
        <f t="shared" si="3"/>
        <v>6.2893081761006289E-2</v>
      </c>
      <c r="O37" s="1">
        <f t="shared" si="4"/>
        <v>0.23134328358208955</v>
      </c>
      <c r="P37" s="1">
        <f t="shared" si="5"/>
        <v>4.8742138364779877E-2</v>
      </c>
    </row>
    <row r="38" spans="1:16" x14ac:dyDescent="0.25">
      <c r="A38" s="8"/>
      <c r="B38" t="s">
        <v>32</v>
      </c>
      <c r="C38" s="5">
        <v>636</v>
      </c>
      <c r="D38" s="5">
        <v>121</v>
      </c>
      <c r="E38" s="5">
        <v>19</v>
      </c>
      <c r="F38" s="5">
        <v>164</v>
      </c>
      <c r="G38">
        <v>61</v>
      </c>
      <c r="H38">
        <v>156</v>
      </c>
      <c r="I38">
        <v>57</v>
      </c>
      <c r="K38" s="1">
        <f t="shared" si="0"/>
        <v>0.15702479338842976</v>
      </c>
      <c r="L38" s="1">
        <f t="shared" si="1"/>
        <v>2.9874213836477988E-2</v>
      </c>
      <c r="M38" s="1">
        <f t="shared" si="2"/>
        <v>0.37195121951219512</v>
      </c>
      <c r="N38" s="1">
        <f t="shared" si="3"/>
        <v>9.5911949685534598E-2</v>
      </c>
      <c r="O38" s="1">
        <f t="shared" si="4"/>
        <v>0.36538461538461536</v>
      </c>
      <c r="P38" s="1">
        <f t="shared" si="5"/>
        <v>8.9622641509433956E-2</v>
      </c>
    </row>
    <row r="39" spans="1:16" x14ac:dyDescent="0.25">
      <c r="A39" s="8"/>
      <c r="B39" t="s">
        <v>33</v>
      </c>
      <c r="C39" s="5">
        <v>636</v>
      </c>
      <c r="D39" s="5">
        <v>108</v>
      </c>
      <c r="E39" s="5">
        <v>17</v>
      </c>
      <c r="F39" s="5">
        <v>128</v>
      </c>
      <c r="G39">
        <v>48</v>
      </c>
      <c r="H39">
        <v>153</v>
      </c>
      <c r="I39">
        <v>60</v>
      </c>
      <c r="K39" s="1">
        <f t="shared" si="0"/>
        <v>0.15740740740740741</v>
      </c>
      <c r="L39" s="1">
        <f t="shared" si="1"/>
        <v>2.6729559748427674E-2</v>
      </c>
      <c r="M39" s="1">
        <f t="shared" si="2"/>
        <v>0.375</v>
      </c>
      <c r="N39" s="1">
        <f t="shared" si="3"/>
        <v>7.5471698113207544E-2</v>
      </c>
      <c r="O39" s="1">
        <f t="shared" si="4"/>
        <v>0.39215686274509803</v>
      </c>
      <c r="P39" s="1">
        <f t="shared" si="5"/>
        <v>9.4339622641509441E-2</v>
      </c>
    </row>
    <row r="40" spans="1:16" x14ac:dyDescent="0.25">
      <c r="A40" s="8"/>
      <c r="B40" t="s">
        <v>34</v>
      </c>
      <c r="C40" s="5">
        <v>636</v>
      </c>
      <c r="D40" s="5">
        <v>137</v>
      </c>
      <c r="E40" s="5">
        <v>25</v>
      </c>
      <c r="F40" s="5">
        <v>198</v>
      </c>
      <c r="G40">
        <v>56</v>
      </c>
      <c r="H40">
        <v>98</v>
      </c>
      <c r="I40">
        <v>50</v>
      </c>
      <c r="K40" s="1">
        <f t="shared" si="0"/>
        <v>0.18248175182481752</v>
      </c>
      <c r="L40" s="1">
        <f t="shared" si="1"/>
        <v>3.9308176100628929E-2</v>
      </c>
      <c r="M40" s="1">
        <f t="shared" si="2"/>
        <v>0.28282828282828282</v>
      </c>
      <c r="N40" s="1">
        <f t="shared" si="3"/>
        <v>8.8050314465408799E-2</v>
      </c>
      <c r="O40" s="1">
        <f t="shared" si="4"/>
        <v>0.51020408163265307</v>
      </c>
      <c r="P40" s="1">
        <f t="shared" si="5"/>
        <v>7.8616352201257858E-2</v>
      </c>
    </row>
    <row r="41" spans="1:16" x14ac:dyDescent="0.25">
      <c r="A41" s="8"/>
      <c r="B41" t="s">
        <v>35</v>
      </c>
      <c r="C41" s="5">
        <v>553</v>
      </c>
      <c r="D41" s="5">
        <v>109</v>
      </c>
      <c r="E41" s="5">
        <v>12</v>
      </c>
      <c r="F41" s="5">
        <v>149</v>
      </c>
      <c r="G41">
        <v>44</v>
      </c>
      <c r="H41">
        <v>147</v>
      </c>
      <c r="I41">
        <v>34</v>
      </c>
      <c r="K41" s="1">
        <f t="shared" si="0"/>
        <v>0.11009174311926606</v>
      </c>
      <c r="L41" s="1">
        <f t="shared" si="1"/>
        <v>2.1699819168173599E-2</v>
      </c>
      <c r="M41" s="1">
        <f t="shared" si="2"/>
        <v>0.29530201342281881</v>
      </c>
      <c r="N41" s="1">
        <f t="shared" si="3"/>
        <v>7.956600361663653E-2</v>
      </c>
      <c r="O41" s="1">
        <f t="shared" si="4"/>
        <v>0.23129251700680273</v>
      </c>
      <c r="P41" s="1">
        <f t="shared" si="5"/>
        <v>6.148282097649186E-2</v>
      </c>
    </row>
    <row r="42" spans="1:16" x14ac:dyDescent="0.25">
      <c r="A42" s="8"/>
      <c r="B42" t="s">
        <v>36</v>
      </c>
      <c r="C42" s="5">
        <v>152</v>
      </c>
      <c r="D42" s="5">
        <v>27</v>
      </c>
      <c r="E42" s="5">
        <v>8</v>
      </c>
      <c r="F42" s="5">
        <v>37</v>
      </c>
      <c r="G42">
        <v>10</v>
      </c>
      <c r="H42">
        <v>27</v>
      </c>
      <c r="I42">
        <v>11</v>
      </c>
      <c r="K42" s="1">
        <f t="shared" si="0"/>
        <v>0.29629629629629628</v>
      </c>
      <c r="L42" s="1">
        <f t="shared" si="1"/>
        <v>5.2631578947368418E-2</v>
      </c>
      <c r="M42" s="1">
        <f t="shared" si="2"/>
        <v>0.27027027027027029</v>
      </c>
      <c r="N42" s="1">
        <f t="shared" si="3"/>
        <v>6.5789473684210523E-2</v>
      </c>
      <c r="O42" s="1">
        <f t="shared" si="4"/>
        <v>0.40740740740740738</v>
      </c>
      <c r="P42" s="1">
        <f t="shared" si="5"/>
        <v>7.2368421052631582E-2</v>
      </c>
    </row>
    <row r="43" spans="1:16" x14ac:dyDescent="0.25">
      <c r="A43" s="8"/>
      <c r="B43" t="s">
        <v>37</v>
      </c>
      <c r="C43" s="5">
        <v>636</v>
      </c>
      <c r="D43" s="5">
        <v>130</v>
      </c>
      <c r="E43" s="5">
        <v>22</v>
      </c>
      <c r="F43" s="5">
        <v>168</v>
      </c>
      <c r="G43">
        <v>61</v>
      </c>
      <c r="H43">
        <v>169</v>
      </c>
      <c r="I43">
        <v>60</v>
      </c>
      <c r="K43" s="1">
        <f t="shared" si="0"/>
        <v>0.16923076923076924</v>
      </c>
      <c r="L43" s="1">
        <f t="shared" si="1"/>
        <v>3.4591194968553458E-2</v>
      </c>
      <c r="M43" s="1">
        <f t="shared" si="2"/>
        <v>0.36309523809523808</v>
      </c>
      <c r="N43" s="1">
        <f t="shared" si="3"/>
        <v>9.5911949685534598E-2</v>
      </c>
      <c r="O43" s="1">
        <f t="shared" si="4"/>
        <v>0.35502958579881655</v>
      </c>
      <c r="P43" s="1">
        <f t="shared" si="5"/>
        <v>9.4339622641509441E-2</v>
      </c>
    </row>
    <row r="44" spans="1:16" x14ac:dyDescent="0.25">
      <c r="A44" s="8"/>
      <c r="B44" t="s">
        <v>38</v>
      </c>
      <c r="C44" s="5">
        <v>636</v>
      </c>
      <c r="D44" s="5">
        <v>136</v>
      </c>
      <c r="E44" s="5">
        <v>36</v>
      </c>
      <c r="F44" s="5">
        <v>138</v>
      </c>
      <c r="G44">
        <v>49</v>
      </c>
      <c r="H44">
        <v>127</v>
      </c>
      <c r="I44">
        <v>46</v>
      </c>
      <c r="K44" s="1">
        <f t="shared" si="0"/>
        <v>0.26470588235294118</v>
      </c>
      <c r="L44" s="1">
        <f t="shared" si="1"/>
        <v>5.6603773584905662E-2</v>
      </c>
      <c r="M44" s="1">
        <f t="shared" si="2"/>
        <v>0.35507246376811596</v>
      </c>
      <c r="N44" s="1">
        <f t="shared" si="3"/>
        <v>7.7044025157232701E-2</v>
      </c>
      <c r="O44" s="1">
        <f t="shared" si="4"/>
        <v>0.36220472440944884</v>
      </c>
      <c r="P44" s="1">
        <f t="shared" si="5"/>
        <v>7.2327044025157231E-2</v>
      </c>
    </row>
    <row r="45" spans="1:16" x14ac:dyDescent="0.25">
      <c r="A45" s="8" t="s">
        <v>62</v>
      </c>
      <c r="B45" t="s">
        <v>39</v>
      </c>
      <c r="C45" s="5">
        <v>662</v>
      </c>
      <c r="D45" s="5">
        <v>194</v>
      </c>
      <c r="E45" s="5">
        <v>34</v>
      </c>
      <c r="F45" s="5">
        <v>169</v>
      </c>
      <c r="G45">
        <v>47</v>
      </c>
      <c r="H45">
        <v>148</v>
      </c>
      <c r="I45">
        <v>69</v>
      </c>
      <c r="K45" s="1">
        <f t="shared" si="0"/>
        <v>0.17525773195876287</v>
      </c>
      <c r="L45" s="1">
        <f t="shared" si="1"/>
        <v>5.1359516616314202E-2</v>
      </c>
      <c r="M45" s="1">
        <f t="shared" si="2"/>
        <v>0.27810650887573962</v>
      </c>
      <c r="N45" s="1">
        <f t="shared" si="3"/>
        <v>7.0996978851963752E-2</v>
      </c>
      <c r="O45" s="1">
        <f t="shared" si="4"/>
        <v>0.46621621621621623</v>
      </c>
      <c r="P45" s="1">
        <f t="shared" si="5"/>
        <v>0.10422960725075529</v>
      </c>
    </row>
    <row r="46" spans="1:16" x14ac:dyDescent="0.25">
      <c r="A46" s="8"/>
      <c r="B46" t="s">
        <v>40</v>
      </c>
      <c r="C46" s="5">
        <v>668</v>
      </c>
      <c r="D46" s="5">
        <v>179</v>
      </c>
      <c r="E46" s="5">
        <v>50</v>
      </c>
      <c r="F46" s="5">
        <v>162</v>
      </c>
      <c r="G46">
        <v>47</v>
      </c>
      <c r="H46">
        <v>122</v>
      </c>
      <c r="I46">
        <v>38</v>
      </c>
      <c r="K46" s="1">
        <f t="shared" si="0"/>
        <v>0.27932960893854747</v>
      </c>
      <c r="L46" s="1">
        <f t="shared" si="1"/>
        <v>7.4850299401197598E-2</v>
      </c>
      <c r="M46" s="1">
        <f t="shared" si="2"/>
        <v>0.29012345679012347</v>
      </c>
      <c r="N46" s="1">
        <f t="shared" si="3"/>
        <v>7.0359281437125748E-2</v>
      </c>
      <c r="O46" s="1">
        <f t="shared" si="4"/>
        <v>0.31147540983606559</v>
      </c>
      <c r="P46" s="1">
        <f t="shared" si="5"/>
        <v>5.6886227544910177E-2</v>
      </c>
    </row>
    <row r="47" spans="1:16" x14ac:dyDescent="0.25">
      <c r="A47" s="8"/>
      <c r="B47" t="s">
        <v>41</v>
      </c>
      <c r="C47" s="5">
        <v>889</v>
      </c>
      <c r="D47" s="5">
        <v>230</v>
      </c>
      <c r="E47" s="5">
        <v>50</v>
      </c>
      <c r="F47" s="5">
        <v>183</v>
      </c>
      <c r="G47">
        <v>60</v>
      </c>
      <c r="H47">
        <v>255</v>
      </c>
      <c r="I47">
        <v>77</v>
      </c>
      <c r="K47" s="1">
        <f t="shared" si="0"/>
        <v>0.21739130434782608</v>
      </c>
      <c r="L47" s="1">
        <f t="shared" si="1"/>
        <v>5.6242969628796401E-2</v>
      </c>
      <c r="M47" s="1">
        <f t="shared" si="2"/>
        <v>0.32786885245901637</v>
      </c>
      <c r="N47" s="1">
        <f t="shared" si="3"/>
        <v>6.7491563554555684E-2</v>
      </c>
      <c r="O47" s="1">
        <f t="shared" si="4"/>
        <v>0.30196078431372547</v>
      </c>
      <c r="P47" s="1">
        <f t="shared" si="5"/>
        <v>8.6614173228346455E-2</v>
      </c>
    </row>
    <row r="48" spans="1:16" x14ac:dyDescent="0.25">
      <c r="A48" s="8"/>
      <c r="B48" t="s">
        <v>42</v>
      </c>
      <c r="C48" s="5">
        <v>504</v>
      </c>
      <c r="D48" s="5">
        <v>109</v>
      </c>
      <c r="E48" s="5">
        <v>23</v>
      </c>
      <c r="F48" s="5">
        <v>92</v>
      </c>
      <c r="G48">
        <v>33</v>
      </c>
      <c r="H48">
        <v>90</v>
      </c>
      <c r="I48">
        <v>25</v>
      </c>
      <c r="K48" s="1">
        <f t="shared" si="0"/>
        <v>0.21100917431192662</v>
      </c>
      <c r="L48" s="1">
        <f t="shared" si="1"/>
        <v>4.5634920634920632E-2</v>
      </c>
      <c r="M48" s="1">
        <f t="shared" si="2"/>
        <v>0.35869565217391303</v>
      </c>
      <c r="N48" s="1">
        <f t="shared" si="3"/>
        <v>6.5476190476190479E-2</v>
      </c>
      <c r="O48" s="1">
        <f t="shared" si="4"/>
        <v>0.27777777777777779</v>
      </c>
      <c r="P48" s="1">
        <f t="shared" si="5"/>
        <v>4.96031746031746E-2</v>
      </c>
    </row>
    <row r="49" spans="1:16" x14ac:dyDescent="0.25">
      <c r="A49" s="8"/>
      <c r="B49" t="s">
        <v>43</v>
      </c>
      <c r="C49" s="5">
        <v>201</v>
      </c>
      <c r="D49" s="5">
        <v>53</v>
      </c>
      <c r="E49" s="5">
        <v>7</v>
      </c>
      <c r="F49" s="5">
        <v>53</v>
      </c>
      <c r="G49">
        <v>20</v>
      </c>
      <c r="H49">
        <v>36</v>
      </c>
      <c r="I49">
        <v>12</v>
      </c>
      <c r="K49" s="1">
        <f t="shared" si="0"/>
        <v>0.13207547169811321</v>
      </c>
      <c r="L49" s="1">
        <f t="shared" si="1"/>
        <v>3.482587064676617E-2</v>
      </c>
      <c r="M49" s="1">
        <f t="shared" si="2"/>
        <v>0.37735849056603776</v>
      </c>
      <c r="N49" s="1">
        <f t="shared" si="3"/>
        <v>9.950248756218906E-2</v>
      </c>
      <c r="O49" s="1">
        <f t="shared" si="4"/>
        <v>0.33333333333333331</v>
      </c>
      <c r="P49" s="1">
        <f t="shared" si="5"/>
        <v>5.9701492537313432E-2</v>
      </c>
    </row>
    <row r="50" spans="1:16" x14ac:dyDescent="0.25">
      <c r="A50" s="8"/>
      <c r="B50" t="s">
        <v>44</v>
      </c>
      <c r="C50" s="5">
        <v>900</v>
      </c>
      <c r="D50" s="5">
        <v>250</v>
      </c>
      <c r="E50" s="5">
        <v>43</v>
      </c>
      <c r="F50" s="5">
        <v>248</v>
      </c>
      <c r="G50">
        <v>77</v>
      </c>
      <c r="H50">
        <v>194</v>
      </c>
      <c r="I50">
        <v>76</v>
      </c>
      <c r="K50" s="1">
        <f t="shared" si="0"/>
        <v>0.17199999999999999</v>
      </c>
      <c r="L50" s="1">
        <f t="shared" si="1"/>
        <v>4.777777777777778E-2</v>
      </c>
      <c r="M50" s="1">
        <f t="shared" si="2"/>
        <v>0.31048387096774194</v>
      </c>
      <c r="N50" s="1">
        <f t="shared" si="3"/>
        <v>8.5555555555555551E-2</v>
      </c>
      <c r="O50" s="1">
        <f t="shared" si="4"/>
        <v>0.39175257731958762</v>
      </c>
      <c r="P50" s="1">
        <f t="shared" si="5"/>
        <v>8.4444444444444447E-2</v>
      </c>
    </row>
    <row r="51" spans="1:16" x14ac:dyDescent="0.25">
      <c r="A51" s="8"/>
      <c r="B51" t="s">
        <v>45</v>
      </c>
      <c r="C51" s="5">
        <v>672</v>
      </c>
      <c r="D51" s="5">
        <v>243</v>
      </c>
      <c r="E51" s="5">
        <v>39</v>
      </c>
      <c r="F51" s="5">
        <v>164</v>
      </c>
      <c r="G51">
        <v>43</v>
      </c>
      <c r="H51">
        <v>222</v>
      </c>
      <c r="I51">
        <v>44</v>
      </c>
      <c r="K51" s="1">
        <f t="shared" si="0"/>
        <v>0.16049382716049382</v>
      </c>
      <c r="L51" s="1">
        <f t="shared" si="1"/>
        <v>5.8035714285714288E-2</v>
      </c>
      <c r="M51" s="1">
        <f t="shared" si="2"/>
        <v>0.26219512195121952</v>
      </c>
      <c r="N51" s="1">
        <f t="shared" si="3"/>
        <v>6.3988095238095233E-2</v>
      </c>
      <c r="O51" s="1">
        <f t="shared" si="4"/>
        <v>0.1981981981981982</v>
      </c>
      <c r="P51" s="1">
        <f t="shared" si="5"/>
        <v>6.5476190476190479E-2</v>
      </c>
    </row>
    <row r="52" spans="1:16" x14ac:dyDescent="0.25">
      <c r="A52" s="8"/>
      <c r="B52" t="s">
        <v>46</v>
      </c>
      <c r="C52" s="5">
        <v>421</v>
      </c>
      <c r="D52" s="5">
        <v>71</v>
      </c>
      <c r="E52" s="5">
        <v>15</v>
      </c>
      <c r="F52" s="5">
        <v>126</v>
      </c>
      <c r="G52">
        <v>55</v>
      </c>
      <c r="H52">
        <v>78</v>
      </c>
      <c r="I52">
        <v>29</v>
      </c>
      <c r="K52" s="1">
        <f t="shared" si="0"/>
        <v>0.21126760563380281</v>
      </c>
      <c r="L52" s="1">
        <f t="shared" si="1"/>
        <v>3.5629453681710214E-2</v>
      </c>
      <c r="M52" s="1">
        <f t="shared" si="2"/>
        <v>0.43650793650793651</v>
      </c>
      <c r="N52" s="1">
        <f t="shared" si="3"/>
        <v>0.13064133016627077</v>
      </c>
      <c r="O52" s="1">
        <f t="shared" si="4"/>
        <v>0.37179487179487181</v>
      </c>
      <c r="P52" s="1">
        <f t="shared" si="5"/>
        <v>6.8883610451306407E-2</v>
      </c>
    </row>
    <row r="53" spans="1:16" x14ac:dyDescent="0.25">
      <c r="A53" s="8" t="s">
        <v>63</v>
      </c>
      <c r="B53" t="s">
        <v>47</v>
      </c>
      <c r="C53" s="5">
        <v>651</v>
      </c>
      <c r="D53" s="5">
        <v>106</v>
      </c>
      <c r="E53" s="5">
        <v>17</v>
      </c>
      <c r="F53" s="5">
        <v>173</v>
      </c>
      <c r="G53">
        <v>45</v>
      </c>
      <c r="H53">
        <v>167</v>
      </c>
      <c r="I53">
        <v>50</v>
      </c>
      <c r="K53" s="1">
        <f t="shared" si="0"/>
        <v>0.16037735849056603</v>
      </c>
      <c r="L53" s="1">
        <f t="shared" si="1"/>
        <v>2.6113671274961597E-2</v>
      </c>
      <c r="M53" s="1">
        <f t="shared" si="2"/>
        <v>0.26011560693641617</v>
      </c>
      <c r="N53" s="1">
        <f t="shared" si="3"/>
        <v>6.9124423963133647E-2</v>
      </c>
      <c r="O53" s="1">
        <f t="shared" si="4"/>
        <v>0.29940119760479039</v>
      </c>
      <c r="P53" s="1">
        <f t="shared" si="5"/>
        <v>7.6804915514592939E-2</v>
      </c>
    </row>
    <row r="54" spans="1:16" x14ac:dyDescent="0.25">
      <c r="A54" s="8"/>
      <c r="B54" t="s">
        <v>48</v>
      </c>
      <c r="C54" s="5">
        <v>774</v>
      </c>
      <c r="D54" s="5">
        <v>81</v>
      </c>
      <c r="E54" s="5">
        <v>17</v>
      </c>
      <c r="F54" s="5">
        <v>189</v>
      </c>
      <c r="G54">
        <v>47</v>
      </c>
      <c r="H54">
        <v>167</v>
      </c>
      <c r="I54">
        <v>74</v>
      </c>
      <c r="K54" s="1">
        <f t="shared" si="0"/>
        <v>0.20987654320987653</v>
      </c>
      <c r="L54" s="1">
        <f t="shared" si="1"/>
        <v>2.1963824289405683E-2</v>
      </c>
      <c r="M54" s="1">
        <f t="shared" si="2"/>
        <v>0.24867724867724866</v>
      </c>
      <c r="N54" s="1">
        <f t="shared" si="3"/>
        <v>6.0723514211886306E-2</v>
      </c>
      <c r="O54" s="1">
        <f t="shared" si="4"/>
        <v>0.44311377245508982</v>
      </c>
      <c r="P54" s="1">
        <f t="shared" si="5"/>
        <v>9.5607235142118857E-2</v>
      </c>
    </row>
    <row r="55" spans="1:16" x14ac:dyDescent="0.25">
      <c r="A55" s="8"/>
      <c r="B55" t="s">
        <v>49</v>
      </c>
      <c r="C55" s="5">
        <v>169</v>
      </c>
      <c r="D55" s="5">
        <v>12</v>
      </c>
      <c r="E55" s="5">
        <v>1</v>
      </c>
      <c r="F55" s="5">
        <v>36</v>
      </c>
      <c r="G55">
        <v>11</v>
      </c>
      <c r="H55">
        <v>18</v>
      </c>
      <c r="I55">
        <v>13</v>
      </c>
      <c r="K55" s="1">
        <f t="shared" si="0"/>
        <v>8.3333333333333329E-2</v>
      </c>
      <c r="L55" s="1">
        <f t="shared" si="1"/>
        <v>5.9171597633136093E-3</v>
      </c>
      <c r="M55" s="1">
        <f t="shared" si="2"/>
        <v>0.30555555555555558</v>
      </c>
      <c r="N55" s="1">
        <f t="shared" si="3"/>
        <v>6.5088757396449703E-2</v>
      </c>
      <c r="O55" s="1">
        <f t="shared" si="4"/>
        <v>0.72222222222222221</v>
      </c>
      <c r="P55" s="1">
        <f t="shared" si="5"/>
        <v>7.6923076923076927E-2</v>
      </c>
    </row>
    <row r="56" spans="1:16" x14ac:dyDescent="0.25">
      <c r="A56" s="8"/>
      <c r="B56" t="s">
        <v>50</v>
      </c>
      <c r="C56" s="5">
        <v>436</v>
      </c>
      <c r="D56" s="5">
        <v>66</v>
      </c>
      <c r="E56" s="5">
        <v>13</v>
      </c>
      <c r="F56" s="5">
        <v>105</v>
      </c>
      <c r="G56">
        <v>35</v>
      </c>
      <c r="H56">
        <v>121</v>
      </c>
      <c r="I56">
        <v>41</v>
      </c>
      <c r="K56" s="1">
        <f t="shared" si="0"/>
        <v>0.19696969696969696</v>
      </c>
      <c r="L56" s="1">
        <f t="shared" si="1"/>
        <v>2.9816513761467892E-2</v>
      </c>
      <c r="M56" s="1">
        <f t="shared" si="2"/>
        <v>0.33333333333333331</v>
      </c>
      <c r="N56" s="1">
        <f t="shared" si="3"/>
        <v>8.027522935779817E-2</v>
      </c>
      <c r="O56" s="1">
        <f t="shared" si="4"/>
        <v>0.33884297520661155</v>
      </c>
      <c r="P56" s="1">
        <f t="shared" si="5"/>
        <v>9.4036697247706427E-2</v>
      </c>
    </row>
    <row r="57" spans="1:16" x14ac:dyDescent="0.25">
      <c r="A57" s="8"/>
      <c r="B57" t="s">
        <v>51</v>
      </c>
      <c r="C57" s="5">
        <v>636</v>
      </c>
      <c r="D57" s="5">
        <v>104</v>
      </c>
      <c r="E57" s="5">
        <v>10</v>
      </c>
      <c r="F57" s="5">
        <v>154</v>
      </c>
      <c r="G57">
        <v>39</v>
      </c>
      <c r="H57">
        <v>142</v>
      </c>
      <c r="I57">
        <v>30</v>
      </c>
      <c r="K57" s="1">
        <f t="shared" si="0"/>
        <v>9.6153846153846159E-2</v>
      </c>
      <c r="L57" s="1">
        <f t="shared" si="1"/>
        <v>1.5723270440251572E-2</v>
      </c>
      <c r="M57" s="1">
        <f t="shared" si="2"/>
        <v>0.25324675324675322</v>
      </c>
      <c r="N57" s="1">
        <f t="shared" si="3"/>
        <v>6.1320754716981132E-2</v>
      </c>
      <c r="O57" s="1">
        <f t="shared" si="4"/>
        <v>0.21126760563380281</v>
      </c>
      <c r="P57" s="1">
        <f t="shared" si="5"/>
        <v>4.716981132075472E-2</v>
      </c>
    </row>
    <row r="58" spans="1:16" x14ac:dyDescent="0.25">
      <c r="A58" s="8" t="s">
        <v>64</v>
      </c>
      <c r="B58" t="s">
        <v>47</v>
      </c>
      <c r="C58" s="5">
        <v>667</v>
      </c>
      <c r="D58" s="5">
        <v>145</v>
      </c>
      <c r="E58" s="5">
        <v>20</v>
      </c>
      <c r="F58" s="5">
        <v>164</v>
      </c>
      <c r="G58">
        <v>41</v>
      </c>
      <c r="H58">
        <v>161</v>
      </c>
      <c r="I58">
        <v>42</v>
      </c>
      <c r="K58" s="1">
        <f t="shared" si="0"/>
        <v>0.13793103448275862</v>
      </c>
      <c r="L58" s="1">
        <f t="shared" si="1"/>
        <v>2.9985007496251874E-2</v>
      </c>
      <c r="M58" s="1">
        <f t="shared" si="2"/>
        <v>0.25</v>
      </c>
      <c r="N58" s="1">
        <f t="shared" si="3"/>
        <v>6.1469265367316339E-2</v>
      </c>
      <c r="O58" s="1">
        <f t="shared" si="4"/>
        <v>0.2608695652173913</v>
      </c>
      <c r="P58" s="1">
        <f t="shared" si="5"/>
        <v>6.296851574212893E-2</v>
      </c>
    </row>
    <row r="59" spans="1:16" x14ac:dyDescent="0.25">
      <c r="A59" s="8"/>
      <c r="B59" t="s">
        <v>48</v>
      </c>
      <c r="C59" s="5">
        <v>790</v>
      </c>
      <c r="D59" s="5">
        <v>165</v>
      </c>
      <c r="E59" s="5">
        <v>35</v>
      </c>
      <c r="F59" s="5">
        <v>210</v>
      </c>
      <c r="G59">
        <v>46</v>
      </c>
      <c r="H59">
        <v>191</v>
      </c>
      <c r="I59">
        <v>74</v>
      </c>
      <c r="K59" s="1">
        <f t="shared" si="0"/>
        <v>0.21212121212121213</v>
      </c>
      <c r="L59" s="1">
        <f t="shared" si="1"/>
        <v>4.4303797468354431E-2</v>
      </c>
      <c r="M59" s="1">
        <f t="shared" si="2"/>
        <v>0.21904761904761905</v>
      </c>
      <c r="N59" s="1">
        <f t="shared" si="3"/>
        <v>5.8227848101265821E-2</v>
      </c>
      <c r="O59" s="1">
        <f t="shared" si="4"/>
        <v>0.38743455497382201</v>
      </c>
      <c r="P59" s="1">
        <f t="shared" si="5"/>
        <v>9.3670886075949367E-2</v>
      </c>
    </row>
    <row r="60" spans="1:16" x14ac:dyDescent="0.25">
      <c r="A60" s="8"/>
      <c r="B60" t="s">
        <v>49</v>
      </c>
      <c r="C60" s="5">
        <v>172</v>
      </c>
      <c r="D60" s="5">
        <v>41</v>
      </c>
      <c r="E60" s="5">
        <v>14</v>
      </c>
      <c r="F60" s="5">
        <v>37</v>
      </c>
      <c r="G60">
        <v>11</v>
      </c>
      <c r="H60">
        <v>21</v>
      </c>
      <c r="I60">
        <v>14</v>
      </c>
      <c r="K60" s="1">
        <f t="shared" si="0"/>
        <v>0.34146341463414637</v>
      </c>
      <c r="L60" s="1">
        <f t="shared" si="1"/>
        <v>8.1395348837209308E-2</v>
      </c>
      <c r="M60" s="1">
        <f t="shared" si="2"/>
        <v>0.29729729729729731</v>
      </c>
      <c r="N60" s="1">
        <f t="shared" si="3"/>
        <v>6.3953488372093026E-2</v>
      </c>
      <c r="O60" s="1">
        <f t="shared" si="4"/>
        <v>0.66666666666666663</v>
      </c>
      <c r="P60" s="1">
        <f t="shared" si="5"/>
        <v>8.1395348837209308E-2</v>
      </c>
    </row>
    <row r="61" spans="1:16" x14ac:dyDescent="0.25">
      <c r="A61" s="8"/>
      <c r="B61" t="s">
        <v>50</v>
      </c>
      <c r="C61" s="5">
        <v>446</v>
      </c>
      <c r="D61" s="5">
        <v>88</v>
      </c>
      <c r="E61" s="5">
        <v>17</v>
      </c>
      <c r="F61" s="5">
        <v>90</v>
      </c>
      <c r="G61">
        <v>30</v>
      </c>
      <c r="H61">
        <v>101</v>
      </c>
      <c r="I61">
        <v>29</v>
      </c>
      <c r="K61" s="1">
        <f t="shared" si="0"/>
        <v>0.19318181818181818</v>
      </c>
      <c r="L61" s="1">
        <f t="shared" si="1"/>
        <v>3.811659192825112E-2</v>
      </c>
      <c r="M61" s="1">
        <f t="shared" si="2"/>
        <v>0.33333333333333331</v>
      </c>
      <c r="N61" s="1">
        <f t="shared" si="3"/>
        <v>6.726457399103139E-2</v>
      </c>
      <c r="O61" s="1">
        <f t="shared" si="4"/>
        <v>0.28712871287128711</v>
      </c>
      <c r="P61" s="1">
        <f t="shared" si="5"/>
        <v>6.5022421524663671E-2</v>
      </c>
    </row>
    <row r="62" spans="1:16" x14ac:dyDescent="0.25">
      <c r="A62" s="8"/>
      <c r="B62" t="s">
        <v>51</v>
      </c>
      <c r="C62" s="5">
        <v>644</v>
      </c>
      <c r="D62" s="5">
        <v>170</v>
      </c>
      <c r="E62" s="5">
        <v>23</v>
      </c>
      <c r="F62" s="5">
        <v>161</v>
      </c>
      <c r="G62">
        <v>31</v>
      </c>
      <c r="H62">
        <v>127</v>
      </c>
      <c r="I62">
        <v>28</v>
      </c>
      <c r="K62" s="1">
        <f t="shared" si="0"/>
        <v>0.13529411764705881</v>
      </c>
      <c r="L62" s="1">
        <f t="shared" si="1"/>
        <v>3.5714285714285712E-2</v>
      </c>
      <c r="M62" s="1">
        <f t="shared" si="2"/>
        <v>0.19254658385093168</v>
      </c>
      <c r="N62" s="1">
        <f t="shared" si="3"/>
        <v>4.813664596273292E-2</v>
      </c>
      <c r="O62" s="1">
        <f t="shared" si="4"/>
        <v>0.22047244094488189</v>
      </c>
      <c r="P62" s="1">
        <f t="shared" si="5"/>
        <v>4.3478260869565216E-2</v>
      </c>
    </row>
    <row r="63" spans="1:16" x14ac:dyDescent="0.25">
      <c r="A63" s="8" t="s">
        <v>65</v>
      </c>
      <c r="B63" t="s">
        <v>52</v>
      </c>
      <c r="C63" s="5">
        <v>583</v>
      </c>
      <c r="D63" s="5">
        <v>164</v>
      </c>
      <c r="E63" s="5">
        <v>33</v>
      </c>
      <c r="F63" s="5">
        <v>115</v>
      </c>
      <c r="G63">
        <v>25</v>
      </c>
      <c r="H63">
        <v>111</v>
      </c>
      <c r="I63">
        <v>29</v>
      </c>
      <c r="K63" s="1">
        <f t="shared" si="0"/>
        <v>0.20121951219512196</v>
      </c>
      <c r="L63" s="1">
        <f t="shared" si="1"/>
        <v>5.6603773584905662E-2</v>
      </c>
      <c r="M63" s="1">
        <f t="shared" si="2"/>
        <v>0.21739130434782608</v>
      </c>
      <c r="N63" s="1">
        <f t="shared" si="3"/>
        <v>4.2881646655231559E-2</v>
      </c>
      <c r="O63" s="1">
        <f t="shared" si="4"/>
        <v>0.26126126126126126</v>
      </c>
      <c r="P63" s="1">
        <f t="shared" si="5"/>
        <v>4.974271012006861E-2</v>
      </c>
    </row>
    <row r="64" spans="1:16" x14ac:dyDescent="0.25">
      <c r="A64" s="8"/>
      <c r="B64" t="s">
        <v>53</v>
      </c>
      <c r="C64" s="5">
        <v>583</v>
      </c>
      <c r="D64" s="5">
        <v>128</v>
      </c>
      <c r="E64" s="5">
        <v>27</v>
      </c>
      <c r="F64" s="5">
        <v>160</v>
      </c>
      <c r="G64">
        <v>57</v>
      </c>
      <c r="H64">
        <v>99</v>
      </c>
      <c r="I64">
        <v>71</v>
      </c>
      <c r="K64" s="1">
        <f t="shared" si="0"/>
        <v>0.2109375</v>
      </c>
      <c r="L64" s="1">
        <f t="shared" si="1"/>
        <v>4.6312178387650088E-2</v>
      </c>
      <c r="M64" s="1">
        <f t="shared" si="2"/>
        <v>0.35625000000000001</v>
      </c>
      <c r="N64" s="1">
        <f t="shared" si="3"/>
        <v>9.7770154373927956E-2</v>
      </c>
      <c r="O64" s="1">
        <f t="shared" si="4"/>
        <v>0.71717171717171713</v>
      </c>
      <c r="P64" s="1">
        <f t="shared" si="5"/>
        <v>0.12178387650085763</v>
      </c>
    </row>
    <row r="65" spans="1:17" x14ac:dyDescent="0.25">
      <c r="A65" s="8"/>
      <c r="B65" t="s">
        <v>54</v>
      </c>
      <c r="C65" s="5">
        <v>583</v>
      </c>
      <c r="D65" s="5">
        <v>179</v>
      </c>
      <c r="E65" s="5">
        <v>58</v>
      </c>
      <c r="F65" s="5">
        <v>142</v>
      </c>
      <c r="G65">
        <v>60</v>
      </c>
      <c r="H65">
        <v>132</v>
      </c>
      <c r="I65">
        <v>55</v>
      </c>
      <c r="K65" s="1">
        <f t="shared" si="0"/>
        <v>0.32402234636871508</v>
      </c>
      <c r="L65" s="1">
        <f t="shared" si="1"/>
        <v>9.9485420240137221E-2</v>
      </c>
      <c r="M65" s="1">
        <f t="shared" si="2"/>
        <v>0.42253521126760563</v>
      </c>
      <c r="N65" s="1">
        <f t="shared" si="3"/>
        <v>0.10291595197255575</v>
      </c>
      <c r="O65" s="1">
        <f t="shared" si="4"/>
        <v>0.41666666666666669</v>
      </c>
      <c r="P65" s="1">
        <f t="shared" si="5"/>
        <v>9.4339622641509441E-2</v>
      </c>
    </row>
    <row r="66" spans="1:17" x14ac:dyDescent="0.25">
      <c r="A66" s="8"/>
      <c r="B66" t="s">
        <v>55</v>
      </c>
      <c r="C66" s="5">
        <v>583</v>
      </c>
      <c r="D66" s="5">
        <v>130</v>
      </c>
      <c r="E66" s="5">
        <v>33</v>
      </c>
      <c r="F66" s="5">
        <v>146</v>
      </c>
      <c r="G66">
        <v>49</v>
      </c>
      <c r="H66">
        <v>168</v>
      </c>
      <c r="I66">
        <v>61</v>
      </c>
      <c r="K66" s="1">
        <f t="shared" si="0"/>
        <v>0.25384615384615383</v>
      </c>
      <c r="L66" s="1">
        <f t="shared" si="1"/>
        <v>5.6603773584905662E-2</v>
      </c>
      <c r="M66" s="1">
        <f t="shared" si="2"/>
        <v>0.33561643835616439</v>
      </c>
      <c r="N66" s="1">
        <f t="shared" si="3"/>
        <v>8.4048027444253853E-2</v>
      </c>
      <c r="O66" s="1">
        <f t="shared" si="4"/>
        <v>0.36309523809523808</v>
      </c>
      <c r="P66" s="1">
        <f t="shared" si="5"/>
        <v>0.10463121783876501</v>
      </c>
    </row>
    <row r="67" spans="1:17" x14ac:dyDescent="0.25">
      <c r="A67" s="8"/>
      <c r="B67" t="s">
        <v>56</v>
      </c>
      <c r="C67" s="5">
        <v>583</v>
      </c>
      <c r="D67" s="5">
        <v>158</v>
      </c>
      <c r="E67" s="5">
        <v>23</v>
      </c>
      <c r="F67" s="5">
        <v>148</v>
      </c>
      <c r="G67">
        <v>48</v>
      </c>
      <c r="H67">
        <v>162</v>
      </c>
      <c r="I67">
        <v>45</v>
      </c>
      <c r="K67" s="1">
        <f t="shared" si="0"/>
        <v>0.14556962025316456</v>
      </c>
      <c r="L67" s="1">
        <f t="shared" si="1"/>
        <v>3.9451114922813037E-2</v>
      </c>
      <c r="M67" s="1">
        <f t="shared" si="2"/>
        <v>0.32432432432432434</v>
      </c>
      <c r="N67" s="1">
        <f t="shared" si="3"/>
        <v>8.2332761578044603E-2</v>
      </c>
      <c r="O67" s="1">
        <f t="shared" si="4"/>
        <v>0.27777777777777779</v>
      </c>
      <c r="P67" s="1">
        <f t="shared" si="5"/>
        <v>7.7186963979416809E-2</v>
      </c>
    </row>
    <row r="68" spans="1:17" x14ac:dyDescent="0.25">
      <c r="A68" s="8"/>
      <c r="B68" t="s">
        <v>57</v>
      </c>
      <c r="C68" s="5">
        <v>583</v>
      </c>
      <c r="D68" s="5">
        <v>149</v>
      </c>
      <c r="E68" s="5">
        <v>43</v>
      </c>
      <c r="F68" s="5">
        <v>133</v>
      </c>
      <c r="G68">
        <v>48</v>
      </c>
      <c r="H68">
        <v>170</v>
      </c>
      <c r="I68">
        <v>43</v>
      </c>
      <c r="K68" s="1">
        <f t="shared" ref="K68:K76" si="6">E68/D68</f>
        <v>0.28859060402684567</v>
      </c>
      <c r="L68" s="1">
        <f t="shared" ref="L68:L76" si="7">E68/$C68</f>
        <v>7.375643224699828E-2</v>
      </c>
      <c r="M68" s="1">
        <f t="shared" ref="M68:M76" si="8">G68/F68</f>
        <v>0.36090225563909772</v>
      </c>
      <c r="N68" s="1">
        <f t="shared" ref="N68:N76" si="9">G68/$C68</f>
        <v>8.2332761578044603E-2</v>
      </c>
      <c r="O68" s="1">
        <f t="shared" ref="O68:O76" si="10">I68/H68</f>
        <v>0.25294117647058822</v>
      </c>
      <c r="P68" s="1">
        <f t="shared" ref="P68:P76" si="11">I68/$C68</f>
        <v>7.375643224699828E-2</v>
      </c>
    </row>
    <row r="69" spans="1:17" x14ac:dyDescent="0.25">
      <c r="A69" s="8"/>
      <c r="B69" t="s">
        <v>58</v>
      </c>
      <c r="C69" s="5">
        <v>583</v>
      </c>
      <c r="D69" s="5">
        <v>138</v>
      </c>
      <c r="E69" s="5">
        <v>37</v>
      </c>
      <c r="F69" s="5">
        <v>133</v>
      </c>
      <c r="G69">
        <v>48</v>
      </c>
      <c r="H69">
        <v>127</v>
      </c>
      <c r="I69">
        <v>49</v>
      </c>
      <c r="K69" s="1">
        <f t="shared" si="6"/>
        <v>0.26811594202898553</v>
      </c>
      <c r="L69" s="1">
        <f t="shared" si="7"/>
        <v>6.3464837049742706E-2</v>
      </c>
      <c r="M69" s="1">
        <f t="shared" si="8"/>
        <v>0.36090225563909772</v>
      </c>
      <c r="N69" s="1">
        <f t="shared" si="9"/>
        <v>8.2332761578044603E-2</v>
      </c>
      <c r="O69" s="1">
        <f t="shared" si="10"/>
        <v>0.38582677165354329</v>
      </c>
      <c r="P69" s="1">
        <f t="shared" si="11"/>
        <v>8.4048027444253853E-2</v>
      </c>
    </row>
    <row r="70" spans="1:17" x14ac:dyDescent="0.25">
      <c r="A70" s="8" t="s">
        <v>68</v>
      </c>
      <c r="B70" t="s">
        <v>52</v>
      </c>
      <c r="C70" s="5">
        <v>583</v>
      </c>
      <c r="D70" s="5">
        <v>107</v>
      </c>
      <c r="E70" s="5">
        <v>24</v>
      </c>
      <c r="F70" s="5">
        <v>135</v>
      </c>
      <c r="G70">
        <v>27</v>
      </c>
      <c r="H70">
        <v>128</v>
      </c>
      <c r="I70">
        <v>28</v>
      </c>
      <c r="K70" s="1">
        <f t="shared" si="6"/>
        <v>0.22429906542056074</v>
      </c>
      <c r="L70" s="1">
        <f t="shared" si="7"/>
        <v>4.1166380789022301E-2</v>
      </c>
      <c r="M70" s="1">
        <f t="shared" si="8"/>
        <v>0.2</v>
      </c>
      <c r="N70" s="1">
        <f t="shared" si="9"/>
        <v>4.6312178387650088E-2</v>
      </c>
      <c r="O70" s="1">
        <f t="shared" si="10"/>
        <v>0.21875</v>
      </c>
      <c r="P70" s="1">
        <f t="shared" si="11"/>
        <v>4.8027444253859346E-2</v>
      </c>
    </row>
    <row r="71" spans="1:17" x14ac:dyDescent="0.25">
      <c r="A71" s="8"/>
      <c r="B71" t="s">
        <v>53</v>
      </c>
      <c r="C71" s="5">
        <v>583</v>
      </c>
      <c r="D71" s="5">
        <v>103</v>
      </c>
      <c r="E71" s="5">
        <v>25</v>
      </c>
      <c r="F71" s="5">
        <v>145</v>
      </c>
      <c r="G71">
        <v>51</v>
      </c>
      <c r="H71">
        <v>88</v>
      </c>
      <c r="I71">
        <v>49</v>
      </c>
      <c r="K71" s="1">
        <f t="shared" si="6"/>
        <v>0.24271844660194175</v>
      </c>
      <c r="L71" s="1">
        <f t="shared" si="7"/>
        <v>4.2881646655231559E-2</v>
      </c>
      <c r="M71" s="1">
        <f t="shared" si="8"/>
        <v>0.35172413793103446</v>
      </c>
      <c r="N71" s="1">
        <f t="shared" si="9"/>
        <v>8.7478559176672382E-2</v>
      </c>
      <c r="O71" s="1">
        <f t="shared" si="10"/>
        <v>0.55681818181818177</v>
      </c>
      <c r="P71" s="1">
        <f t="shared" si="11"/>
        <v>8.4048027444253853E-2</v>
      </c>
    </row>
    <row r="72" spans="1:17" x14ac:dyDescent="0.25">
      <c r="A72" s="8"/>
      <c r="B72" t="s">
        <v>54</v>
      </c>
      <c r="C72" s="5">
        <v>583</v>
      </c>
      <c r="D72" s="5">
        <v>104</v>
      </c>
      <c r="E72" s="5">
        <v>39</v>
      </c>
      <c r="F72" s="5">
        <v>147</v>
      </c>
      <c r="G72">
        <v>76</v>
      </c>
      <c r="H72">
        <v>149</v>
      </c>
      <c r="I72">
        <v>71</v>
      </c>
      <c r="K72" s="1">
        <f t="shared" si="6"/>
        <v>0.375</v>
      </c>
      <c r="L72" s="1">
        <f t="shared" si="7"/>
        <v>6.6895368782161235E-2</v>
      </c>
      <c r="M72" s="1">
        <f t="shared" si="8"/>
        <v>0.51700680272108845</v>
      </c>
      <c r="N72" s="1">
        <f t="shared" si="9"/>
        <v>0.13036020583190394</v>
      </c>
      <c r="O72" s="1">
        <f t="shared" si="10"/>
        <v>0.47651006711409394</v>
      </c>
      <c r="P72" s="1">
        <f t="shared" si="11"/>
        <v>0.12178387650085763</v>
      </c>
    </row>
    <row r="73" spans="1:17" x14ac:dyDescent="0.25">
      <c r="A73" s="8"/>
      <c r="B73" t="s">
        <v>55</v>
      </c>
      <c r="C73" s="5">
        <v>583</v>
      </c>
      <c r="D73" s="5">
        <v>91</v>
      </c>
      <c r="E73" s="5">
        <v>22</v>
      </c>
      <c r="F73" s="5">
        <v>128</v>
      </c>
      <c r="G73">
        <v>54</v>
      </c>
      <c r="H73">
        <v>192</v>
      </c>
      <c r="I73">
        <v>65</v>
      </c>
      <c r="K73" s="1">
        <f t="shared" si="6"/>
        <v>0.24175824175824176</v>
      </c>
      <c r="L73" s="1">
        <f t="shared" si="7"/>
        <v>3.7735849056603772E-2</v>
      </c>
      <c r="M73" s="1">
        <f t="shared" si="8"/>
        <v>0.421875</v>
      </c>
      <c r="N73" s="1">
        <f t="shared" si="9"/>
        <v>9.2624356775300176E-2</v>
      </c>
      <c r="O73" s="1">
        <f t="shared" si="10"/>
        <v>0.33854166666666669</v>
      </c>
      <c r="P73" s="1">
        <f t="shared" si="11"/>
        <v>0.11149228130360206</v>
      </c>
    </row>
    <row r="74" spans="1:17" x14ac:dyDescent="0.25">
      <c r="A74" s="8"/>
      <c r="B74" t="s">
        <v>56</v>
      </c>
      <c r="C74" s="5">
        <v>583</v>
      </c>
      <c r="D74" s="5">
        <v>114</v>
      </c>
      <c r="E74" s="5">
        <v>16</v>
      </c>
      <c r="F74" s="5">
        <v>148</v>
      </c>
      <c r="G74">
        <v>54</v>
      </c>
      <c r="H74">
        <v>154</v>
      </c>
      <c r="I74">
        <v>52</v>
      </c>
      <c r="K74" s="1">
        <f t="shared" si="6"/>
        <v>0.14035087719298245</v>
      </c>
      <c r="L74" s="1">
        <f t="shared" si="7"/>
        <v>2.7444253859348199E-2</v>
      </c>
      <c r="M74" s="1">
        <f t="shared" si="8"/>
        <v>0.36486486486486486</v>
      </c>
      <c r="N74" s="1">
        <f t="shared" si="9"/>
        <v>9.2624356775300176E-2</v>
      </c>
      <c r="O74" s="1">
        <f t="shared" si="10"/>
        <v>0.33766233766233766</v>
      </c>
      <c r="P74" s="1">
        <f t="shared" si="11"/>
        <v>8.9193825042881647E-2</v>
      </c>
    </row>
    <row r="75" spans="1:17" x14ac:dyDescent="0.25">
      <c r="A75" s="8"/>
      <c r="B75" t="s">
        <v>57</v>
      </c>
      <c r="C75" s="5">
        <v>583</v>
      </c>
      <c r="D75" s="5">
        <v>92</v>
      </c>
      <c r="E75" s="5">
        <v>21</v>
      </c>
      <c r="F75" s="5">
        <v>143</v>
      </c>
      <c r="G75">
        <v>58</v>
      </c>
      <c r="H75">
        <v>137</v>
      </c>
      <c r="I75">
        <v>44</v>
      </c>
      <c r="K75" s="1">
        <f t="shared" si="6"/>
        <v>0.22826086956521738</v>
      </c>
      <c r="L75" s="1">
        <f t="shared" si="7"/>
        <v>3.6020583190394515E-2</v>
      </c>
      <c r="M75" s="1">
        <f t="shared" si="8"/>
        <v>0.40559440559440557</v>
      </c>
      <c r="N75" s="1">
        <f t="shared" si="9"/>
        <v>9.9485420240137221E-2</v>
      </c>
      <c r="O75" s="1">
        <f t="shared" si="10"/>
        <v>0.32116788321167883</v>
      </c>
      <c r="P75" s="1">
        <f t="shared" si="11"/>
        <v>7.5471698113207544E-2</v>
      </c>
    </row>
    <row r="76" spans="1:17" x14ac:dyDescent="0.25">
      <c r="A76" s="8"/>
      <c r="B76" t="s">
        <v>58</v>
      </c>
      <c r="C76" s="5">
        <v>583</v>
      </c>
      <c r="D76" s="5">
        <v>111</v>
      </c>
      <c r="E76" s="5">
        <v>27</v>
      </c>
      <c r="F76" s="5">
        <v>157</v>
      </c>
      <c r="G76">
        <v>50</v>
      </c>
      <c r="H76">
        <v>131</v>
      </c>
      <c r="I76">
        <v>43</v>
      </c>
      <c r="K76" s="1">
        <f t="shared" si="6"/>
        <v>0.24324324324324326</v>
      </c>
      <c r="L76" s="1">
        <f t="shared" si="7"/>
        <v>4.6312178387650088E-2</v>
      </c>
      <c r="M76" s="1">
        <f t="shared" si="8"/>
        <v>0.31847133757961782</v>
      </c>
      <c r="N76" s="1">
        <f t="shared" si="9"/>
        <v>8.5763293310463118E-2</v>
      </c>
      <c r="O76" s="1">
        <f t="shared" si="10"/>
        <v>0.3282442748091603</v>
      </c>
      <c r="P76" s="1">
        <f t="shared" si="11"/>
        <v>7.375643224699828E-2</v>
      </c>
    </row>
    <row r="78" spans="1:17" x14ac:dyDescent="0.25">
      <c r="B78" s="2" t="s">
        <v>2</v>
      </c>
      <c r="C78" s="3">
        <f t="shared" ref="C78:E78" si="12">AVERAGE(C3:C10)</f>
        <v>604.125</v>
      </c>
      <c r="D78" s="3">
        <f t="shared" si="12"/>
        <v>303.25</v>
      </c>
      <c r="E78" s="3">
        <f t="shared" si="12"/>
        <v>66.125</v>
      </c>
      <c r="F78" s="3">
        <f>AVERAGE(F3:F10)</f>
        <v>162</v>
      </c>
      <c r="G78" s="3">
        <f t="shared" ref="G78:I78" si="13">AVERAGE(G3:G10)</f>
        <v>52.25</v>
      </c>
      <c r="H78" s="3">
        <f t="shared" si="13"/>
        <v>146.125</v>
      </c>
      <c r="I78" s="3">
        <f t="shared" si="13"/>
        <v>51.375</v>
      </c>
      <c r="K78" s="3">
        <f t="shared" ref="K78:P78" si="14">AVERAGE(K3:K10)</f>
        <v>0.2210013770226073</v>
      </c>
      <c r="L78" s="3">
        <f t="shared" si="14"/>
        <v>0.10933563608409044</v>
      </c>
      <c r="M78" s="3">
        <f t="shared" si="14"/>
        <v>0.31670880271210089</v>
      </c>
      <c r="N78" s="3">
        <f t="shared" si="14"/>
        <v>8.6373085984897999E-2</v>
      </c>
      <c r="O78" s="3">
        <f t="shared" si="14"/>
        <v>0.34085816217098447</v>
      </c>
      <c r="P78" s="3">
        <f t="shared" si="14"/>
        <v>8.1558576799577884E-2</v>
      </c>
    </row>
    <row r="79" spans="1:17" x14ac:dyDescent="0.25">
      <c r="B79" s="2" t="s">
        <v>3</v>
      </c>
      <c r="C79" s="3">
        <f t="shared" ref="C79:E79" si="15">AVERAGE(C11:C18)</f>
        <v>667</v>
      </c>
      <c r="D79" s="3">
        <f t="shared" si="15"/>
        <v>214.25</v>
      </c>
      <c r="E79" s="3">
        <f t="shared" si="15"/>
        <v>40.25</v>
      </c>
      <c r="F79" s="3">
        <f>AVERAGE(F11:F18)</f>
        <v>177.125</v>
      </c>
      <c r="G79" s="3">
        <f t="shared" ref="G79:I79" si="16">AVERAGE(G11:G18)</f>
        <v>51.625</v>
      </c>
      <c r="H79" s="3">
        <f t="shared" si="16"/>
        <v>160</v>
      </c>
      <c r="I79" s="3">
        <f t="shared" si="16"/>
        <v>49.375</v>
      </c>
      <c r="J79" s="2"/>
      <c r="K79" s="3">
        <f t="shared" ref="K79:P79" si="17">AVERAGE(K11:K18)</f>
        <v>0.18824331691824037</v>
      </c>
      <c r="L79" s="3">
        <f t="shared" si="17"/>
        <v>6.1004242103960472E-2</v>
      </c>
      <c r="M79" s="3">
        <f t="shared" si="17"/>
        <v>0.29420751761146674</v>
      </c>
      <c r="N79" s="3">
        <f t="shared" si="17"/>
        <v>7.8777899141750957E-2</v>
      </c>
      <c r="O79" s="3">
        <f t="shared" si="17"/>
        <v>0.30568018663771634</v>
      </c>
      <c r="P79" s="3">
        <f t="shared" si="17"/>
        <v>7.4092839255941026E-2</v>
      </c>
      <c r="Q79" s="5"/>
    </row>
    <row r="80" spans="1:17" x14ac:dyDescent="0.25">
      <c r="B80" s="2" t="s">
        <v>10</v>
      </c>
      <c r="C80" s="3">
        <f t="shared" ref="C80:E80" si="18">AVERAGE(C19:C26)</f>
        <v>678</v>
      </c>
      <c r="D80" s="3">
        <f t="shared" si="18"/>
        <v>214.375</v>
      </c>
      <c r="E80" s="3">
        <f t="shared" si="18"/>
        <v>42.375</v>
      </c>
      <c r="F80" s="3">
        <f>AVERAGE(F19:F26)</f>
        <v>177.5</v>
      </c>
      <c r="G80" s="3">
        <f t="shared" ref="G80:I80" si="19">AVERAGE(G19:G26)</f>
        <v>52.625</v>
      </c>
      <c r="H80" s="3">
        <f t="shared" si="19"/>
        <v>149</v>
      </c>
      <c r="I80" s="3">
        <f t="shared" si="19"/>
        <v>45.625</v>
      </c>
      <c r="J80" s="2"/>
      <c r="K80" s="3">
        <f t="shared" ref="K80:P80" si="20">AVERAGE(K19:K26)</f>
        <v>0.19713535468547916</v>
      </c>
      <c r="L80" s="3">
        <f t="shared" si="20"/>
        <v>6.2458133587471751E-2</v>
      </c>
      <c r="M80" s="3">
        <f t="shared" si="20"/>
        <v>0.29836009704995814</v>
      </c>
      <c r="N80" s="3">
        <f t="shared" si="20"/>
        <v>7.8384455304226594E-2</v>
      </c>
      <c r="O80" s="3">
        <f t="shared" si="20"/>
        <v>0.30673063685215618</v>
      </c>
      <c r="P80" s="3">
        <f t="shared" si="20"/>
        <v>6.7086547235986518E-2</v>
      </c>
      <c r="Q80" s="5"/>
    </row>
    <row r="81" spans="2:16" x14ac:dyDescent="0.25">
      <c r="B81" s="2" t="s">
        <v>0</v>
      </c>
      <c r="C81" s="3">
        <f t="shared" ref="C81:E81" si="21">AVERAGE(C27:C35)</f>
        <v>574.33333333333337</v>
      </c>
      <c r="D81" s="3">
        <f t="shared" si="21"/>
        <v>169.88888888888889</v>
      </c>
      <c r="E81" s="3">
        <f t="shared" si="21"/>
        <v>38.444444444444443</v>
      </c>
      <c r="F81" s="3">
        <f>AVERAGE(F27:F35)</f>
        <v>150</v>
      </c>
      <c r="G81" s="3">
        <f t="shared" ref="G81:I81" si="22">AVERAGE(G27:G35)</f>
        <v>48</v>
      </c>
      <c r="H81" s="3">
        <f t="shared" si="22"/>
        <v>129.44444444444446</v>
      </c>
      <c r="I81" s="3">
        <f t="shared" si="22"/>
        <v>47.444444444444443</v>
      </c>
      <c r="K81" s="3">
        <f t="shared" ref="K81:P81" si="23">AVERAGE(K27:K35)</f>
        <v>0.22099294300455433</v>
      </c>
      <c r="L81" s="3">
        <f t="shared" si="23"/>
        <v>6.9260821112424723E-2</v>
      </c>
      <c r="M81" s="3">
        <f t="shared" si="23"/>
        <v>0.31071357061188709</v>
      </c>
      <c r="N81" s="3">
        <f t="shared" si="23"/>
        <v>8.0069464825991518E-2</v>
      </c>
      <c r="O81" s="3">
        <f t="shared" si="23"/>
        <v>0.3642619655157765</v>
      </c>
      <c r="P81" s="3">
        <f t="shared" si="23"/>
        <v>7.9652137789139696E-2</v>
      </c>
    </row>
    <row r="82" spans="2:16" x14ac:dyDescent="0.25">
      <c r="B82" s="2" t="s">
        <v>1</v>
      </c>
      <c r="C82" s="3">
        <f t="shared" ref="C82:E82" si="24">AVERAGE(C36:C44)</f>
        <v>573</v>
      </c>
      <c r="D82" s="3">
        <f t="shared" si="24"/>
        <v>113</v>
      </c>
      <c r="E82" s="3">
        <f t="shared" si="24"/>
        <v>22.222222222222221</v>
      </c>
      <c r="F82" s="3">
        <f>AVERAGE(F36:F44)</f>
        <v>142.66666666666666</v>
      </c>
      <c r="G82" s="3">
        <f t="shared" ref="G82:I82" si="25">AVERAGE(G36:G44)</f>
        <v>46</v>
      </c>
      <c r="H82" s="3">
        <f t="shared" si="25"/>
        <v>126</v>
      </c>
      <c r="I82" s="3">
        <f t="shared" si="25"/>
        <v>44.777777777777779</v>
      </c>
      <c r="K82" s="3">
        <f t="shared" ref="K82:P82" si="26">AVERAGE(K36:K44)</f>
        <v>0.20290852185747477</v>
      </c>
      <c r="L82" s="3">
        <f t="shared" si="26"/>
        <v>3.9705585115563359E-2</v>
      </c>
      <c r="M82" s="3">
        <f t="shared" si="26"/>
        <v>0.3201239587817864</v>
      </c>
      <c r="N82" s="3">
        <f t="shared" si="26"/>
        <v>7.9043690349989301E-2</v>
      </c>
      <c r="O82" s="3">
        <f t="shared" si="26"/>
        <v>0.36600527424564816</v>
      </c>
      <c r="P82" s="3">
        <f t="shared" si="26"/>
        <v>7.7416035976681077E-2</v>
      </c>
    </row>
    <row r="83" spans="2:16" x14ac:dyDescent="0.25">
      <c r="B83" s="2" t="s">
        <v>4</v>
      </c>
      <c r="C83" s="3">
        <f t="shared" ref="C83:E83" si="27">AVERAGE(C45:C52)</f>
        <v>614.625</v>
      </c>
      <c r="D83" s="3">
        <f>AVERAGE(D45:D52)</f>
        <v>166.125</v>
      </c>
      <c r="E83" s="3">
        <f t="shared" si="27"/>
        <v>32.625</v>
      </c>
      <c r="F83" s="3">
        <f>AVERAGE(F45:F52)</f>
        <v>149.625</v>
      </c>
      <c r="G83" s="3">
        <f t="shared" ref="G83:I83" si="28">AVERAGE(G45:G52)</f>
        <v>47.75</v>
      </c>
      <c r="H83" s="3">
        <f t="shared" si="28"/>
        <v>143.125</v>
      </c>
      <c r="I83" s="3">
        <f t="shared" si="28"/>
        <v>46.25</v>
      </c>
      <c r="K83" s="3">
        <f t="shared" ref="K83:P83" si="29">AVERAGE(K45:K52)</f>
        <v>0.1948530905061841</v>
      </c>
      <c r="L83" s="3">
        <f t="shared" si="29"/>
        <v>5.0544565334149666E-2</v>
      </c>
      <c r="M83" s="3">
        <f t="shared" si="29"/>
        <v>0.33016748628646608</v>
      </c>
      <c r="N83" s="3">
        <f t="shared" si="29"/>
        <v>8.175143535524329E-2</v>
      </c>
      <c r="O83" s="3">
        <f t="shared" si="29"/>
        <v>0.33156364609872202</v>
      </c>
      <c r="P83" s="3">
        <f t="shared" si="29"/>
        <v>7.1979865067055157E-2</v>
      </c>
    </row>
    <row r="84" spans="2:16" x14ac:dyDescent="0.25">
      <c r="B84" s="2" t="s">
        <v>5</v>
      </c>
      <c r="C84" s="3">
        <f t="shared" ref="C84:E84" si="30">AVERAGE(C53:C57)</f>
        <v>533.20000000000005</v>
      </c>
      <c r="D84" s="3">
        <f t="shared" si="30"/>
        <v>73.8</v>
      </c>
      <c r="E84" s="3">
        <f t="shared" si="30"/>
        <v>11.6</v>
      </c>
      <c r="F84" s="3">
        <f>AVERAGE(F53:F57)</f>
        <v>131.4</v>
      </c>
      <c r="G84" s="3">
        <f t="shared" ref="G84:I84" si="31">AVERAGE(G53:G57)</f>
        <v>35.4</v>
      </c>
      <c r="H84" s="3">
        <f t="shared" si="31"/>
        <v>123</v>
      </c>
      <c r="I84" s="3">
        <f t="shared" si="31"/>
        <v>41.6</v>
      </c>
      <c r="K84" s="3">
        <f t="shared" ref="K84:P84" si="32">AVERAGE(K53:K57)</f>
        <v>0.1493421556314638</v>
      </c>
      <c r="L84" s="3">
        <f>AVERAGE(L53:L57)</f>
        <v>1.990688790588007E-2</v>
      </c>
      <c r="M84" s="3">
        <f t="shared" si="32"/>
        <v>0.28018569954986139</v>
      </c>
      <c r="N84" s="3">
        <f t="shared" si="32"/>
        <v>6.7306535929249789E-2</v>
      </c>
      <c r="O84" s="3">
        <f t="shared" si="32"/>
        <v>0.40296955462450335</v>
      </c>
      <c r="P84" s="3">
        <f t="shared" si="32"/>
        <v>7.810834722964996E-2</v>
      </c>
    </row>
    <row r="85" spans="2:16" x14ac:dyDescent="0.25">
      <c r="B85" s="2" t="s">
        <v>11</v>
      </c>
      <c r="C85" s="3">
        <f t="shared" ref="C85:E85" si="33">AVERAGE(C58:C62)</f>
        <v>543.79999999999995</v>
      </c>
      <c r="D85" s="3">
        <f t="shared" si="33"/>
        <v>121.8</v>
      </c>
      <c r="E85" s="3">
        <f t="shared" si="33"/>
        <v>21.8</v>
      </c>
      <c r="F85" s="3">
        <f>AVERAGE(F58:F62)</f>
        <v>132.4</v>
      </c>
      <c r="G85" s="3">
        <f t="shared" ref="G85:I85" si="34">AVERAGE(G58:G62)</f>
        <v>31.8</v>
      </c>
      <c r="H85" s="3">
        <f t="shared" si="34"/>
        <v>120.2</v>
      </c>
      <c r="I85" s="3">
        <f t="shared" si="34"/>
        <v>37.4</v>
      </c>
      <c r="K85" s="3">
        <f t="shared" ref="K85:P85" si="35">AVERAGE(K58:K62)</f>
        <v>0.2039983194133988</v>
      </c>
      <c r="L85" s="3">
        <f t="shared" si="35"/>
        <v>4.5903006288870486E-2</v>
      </c>
      <c r="M85" s="3">
        <f t="shared" si="35"/>
        <v>0.25844496670583628</v>
      </c>
      <c r="N85" s="3">
        <f t="shared" si="35"/>
        <v>5.9810364358887903E-2</v>
      </c>
      <c r="O85" s="3">
        <f t="shared" si="35"/>
        <v>0.3645143881348098</v>
      </c>
      <c r="P85" s="3">
        <f t="shared" si="35"/>
        <v>6.9307086609903298E-2</v>
      </c>
    </row>
    <row r="86" spans="2:16" x14ac:dyDescent="0.25">
      <c r="B86" s="2" t="s">
        <v>6</v>
      </c>
      <c r="C86" s="3">
        <f t="shared" ref="C86:E86" si="36">AVERAGE(C63:C69)</f>
        <v>583</v>
      </c>
      <c r="D86" s="3">
        <f t="shared" si="36"/>
        <v>149.42857142857142</v>
      </c>
      <c r="E86" s="3">
        <f t="shared" si="36"/>
        <v>36.285714285714285</v>
      </c>
      <c r="F86" s="3">
        <f>AVERAGE(F63:F69)</f>
        <v>139.57142857142858</v>
      </c>
      <c r="G86" s="3">
        <f t="shared" ref="G86:I86" si="37">AVERAGE(G63:G69)</f>
        <v>47.857142857142854</v>
      </c>
      <c r="H86" s="3">
        <f t="shared" si="37"/>
        <v>138.42857142857142</v>
      </c>
      <c r="I86" s="3">
        <f t="shared" si="37"/>
        <v>50.428571428571431</v>
      </c>
      <c r="K86" s="3">
        <f t="shared" ref="K86:P86" si="38">AVERAGE(K63:K69)</f>
        <v>0.24175738267414096</v>
      </c>
      <c r="L86" s="3">
        <f>AVERAGE(L63:L69)</f>
        <v>6.2239647145307532E-2</v>
      </c>
      <c r="M86" s="3">
        <f t="shared" si="38"/>
        <v>0.33970311279630228</v>
      </c>
      <c r="N86" s="3">
        <f t="shared" si="38"/>
        <v>8.2087723597157561E-2</v>
      </c>
      <c r="O86" s="3">
        <f t="shared" si="38"/>
        <v>0.3821058012995418</v>
      </c>
      <c r="P86" s="3">
        <f t="shared" si="38"/>
        <v>8.6498407253124229E-2</v>
      </c>
    </row>
    <row r="87" spans="2:16" x14ac:dyDescent="0.25">
      <c r="B87" s="2" t="s">
        <v>7</v>
      </c>
      <c r="C87" s="3">
        <f t="shared" ref="C87:E87" si="39">AVERAGE(C70:C76)</f>
        <v>583</v>
      </c>
      <c r="D87" s="3">
        <f t="shared" si="39"/>
        <v>103.14285714285714</v>
      </c>
      <c r="E87" s="3">
        <f t="shared" si="39"/>
        <v>24.857142857142858</v>
      </c>
      <c r="F87" s="3">
        <f>AVERAGE(F70:F76)</f>
        <v>143.28571428571428</v>
      </c>
      <c r="G87" s="3">
        <f t="shared" ref="G87:I87" si="40">AVERAGE(G70:G76)</f>
        <v>52.857142857142854</v>
      </c>
      <c r="H87" s="3">
        <f t="shared" si="40"/>
        <v>139.85714285714286</v>
      </c>
      <c r="I87" s="3">
        <f t="shared" si="40"/>
        <v>50.285714285714285</v>
      </c>
      <c r="K87" s="3">
        <f t="shared" ref="K87:P87" si="41">AVERAGE(K70:K76)</f>
        <v>0.24223296339745531</v>
      </c>
      <c r="L87" s="3">
        <f t="shared" si="41"/>
        <v>4.2636608674344524E-2</v>
      </c>
      <c r="M87" s="3">
        <f t="shared" si="41"/>
        <v>0.36850522124157298</v>
      </c>
      <c r="N87" s="3">
        <f t="shared" si="41"/>
        <v>9.066405292820387E-2</v>
      </c>
      <c r="O87" s="3">
        <f t="shared" si="41"/>
        <v>0.36824205875458854</v>
      </c>
      <c r="P87" s="3">
        <f t="shared" si="41"/>
        <v>8.6253369272237188E-2</v>
      </c>
    </row>
    <row r="89" spans="2:16" x14ac:dyDescent="0.25">
      <c r="B89" s="2" t="s">
        <v>2</v>
      </c>
      <c r="C89">
        <f>D78/C78</f>
        <v>0.50196565280364158</v>
      </c>
    </row>
    <row r="90" spans="2:16" x14ac:dyDescent="0.25">
      <c r="B90" s="2" t="s">
        <v>3</v>
      </c>
      <c r="C90">
        <f t="shared" ref="C90:C98" si="42">D79/C79</f>
        <v>0.3212143928035982</v>
      </c>
    </row>
    <row r="91" spans="2:16" x14ac:dyDescent="0.25">
      <c r="B91" s="2" t="s">
        <v>10</v>
      </c>
      <c r="C91">
        <f t="shared" si="42"/>
        <v>0.31618731563421831</v>
      </c>
      <c r="E91">
        <f>D45/C45</f>
        <v>0.29305135951661632</v>
      </c>
      <c r="F91" t="s">
        <v>39</v>
      </c>
      <c r="I91">
        <f>D63/C63</f>
        <v>0.28130360205831906</v>
      </c>
      <c r="J91" t="s">
        <v>52</v>
      </c>
    </row>
    <row r="92" spans="2:16" x14ac:dyDescent="0.25">
      <c r="B92" s="2" t="s">
        <v>0</v>
      </c>
      <c r="C92">
        <f t="shared" si="42"/>
        <v>0.29580189591797251</v>
      </c>
      <c r="E92">
        <f t="shared" ref="E92:E98" si="43">D46/C46</f>
        <v>0.2679640718562874</v>
      </c>
      <c r="F92" t="s">
        <v>40</v>
      </c>
      <c r="I92">
        <f t="shared" ref="I92:I97" si="44">D64/C64</f>
        <v>0.21955403087478559</v>
      </c>
      <c r="J92" t="s">
        <v>53</v>
      </c>
    </row>
    <row r="93" spans="2:16" x14ac:dyDescent="0.25">
      <c r="B93" s="2" t="s">
        <v>1</v>
      </c>
      <c r="C93">
        <f t="shared" si="42"/>
        <v>0.19720767888307156</v>
      </c>
      <c r="E93">
        <f t="shared" si="43"/>
        <v>0.25871766029246346</v>
      </c>
      <c r="F93" t="s">
        <v>41</v>
      </c>
      <c r="I93">
        <f t="shared" si="44"/>
        <v>0.307032590051458</v>
      </c>
      <c r="J93" t="s">
        <v>54</v>
      </c>
    </row>
    <row r="94" spans="2:16" x14ac:dyDescent="0.25">
      <c r="B94" s="2" t="s">
        <v>4</v>
      </c>
      <c r="C94">
        <f>D83/C83</f>
        <v>0.27028676021964615</v>
      </c>
      <c r="E94">
        <f t="shared" si="43"/>
        <v>0.21626984126984128</v>
      </c>
      <c r="F94" t="s">
        <v>42</v>
      </c>
      <c r="I94">
        <f t="shared" si="44"/>
        <v>0.22298456260720412</v>
      </c>
      <c r="J94" t="s">
        <v>55</v>
      </c>
    </row>
    <row r="95" spans="2:16" x14ac:dyDescent="0.25">
      <c r="B95" s="2" t="s">
        <v>5</v>
      </c>
      <c r="C95">
        <f t="shared" si="42"/>
        <v>0.13840960240060013</v>
      </c>
      <c r="E95">
        <f t="shared" si="43"/>
        <v>0.26368159203980102</v>
      </c>
      <c r="F95" t="s">
        <v>43</v>
      </c>
      <c r="I95">
        <f t="shared" si="44"/>
        <v>0.27101200686106347</v>
      </c>
      <c r="J95" t="s">
        <v>56</v>
      </c>
    </row>
    <row r="96" spans="2:16" x14ac:dyDescent="0.25">
      <c r="B96" s="2" t="s">
        <v>11</v>
      </c>
      <c r="C96">
        <f t="shared" si="42"/>
        <v>0.22397940419271792</v>
      </c>
      <c r="E96">
        <f t="shared" si="43"/>
        <v>0.27777777777777779</v>
      </c>
      <c r="F96" t="s">
        <v>44</v>
      </c>
      <c r="I96">
        <f t="shared" si="44"/>
        <v>0.25557461406518012</v>
      </c>
      <c r="J96" t="s">
        <v>57</v>
      </c>
    </row>
    <row r="97" spans="2:10" x14ac:dyDescent="0.25">
      <c r="B97" s="2" t="s">
        <v>6</v>
      </c>
      <c r="C97">
        <f t="shared" si="42"/>
        <v>0.25630972800784119</v>
      </c>
      <c r="E97">
        <f t="shared" si="43"/>
        <v>0.36160714285714285</v>
      </c>
      <c r="F97" t="s">
        <v>45</v>
      </c>
      <c r="I97">
        <f t="shared" si="44"/>
        <v>0.23670668953687821</v>
      </c>
      <c r="J97" t="s">
        <v>58</v>
      </c>
    </row>
    <row r="98" spans="2:10" x14ac:dyDescent="0.25">
      <c r="B98" s="2" t="s">
        <v>7</v>
      </c>
      <c r="C98">
        <f t="shared" si="42"/>
        <v>0.17691742220044107</v>
      </c>
      <c r="E98">
        <f t="shared" si="43"/>
        <v>0.16864608076009502</v>
      </c>
      <c r="F98" t="s">
        <v>46</v>
      </c>
    </row>
    <row r="100" spans="2:10" x14ac:dyDescent="0.25">
      <c r="C100">
        <f>TTEST(D45:D52,D63:D69,2,2)</f>
        <v>0.59358999291772152</v>
      </c>
      <c r="E100">
        <f>TTEST(E91:E98,I91:I97,2,2)</f>
        <v>0.7714253889484971</v>
      </c>
    </row>
  </sheetData>
  <mergeCells count="10">
    <mergeCell ref="A70:A76"/>
    <mergeCell ref="A3:A10"/>
    <mergeCell ref="A11:A18"/>
    <mergeCell ref="A19:A26"/>
    <mergeCell ref="A27:A35"/>
    <mergeCell ref="A36:A44"/>
    <mergeCell ref="A45:A52"/>
    <mergeCell ref="A53:A57"/>
    <mergeCell ref="A58:A62"/>
    <mergeCell ref="A63:A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"/>
  <sheetViews>
    <sheetView topLeftCell="A65" workbookViewId="0">
      <selection activeCell="C101" sqref="C101"/>
    </sheetView>
  </sheetViews>
  <sheetFormatPr defaultColWidth="9.140625" defaultRowHeight="15" x14ac:dyDescent="0.25"/>
  <cols>
    <col min="2" max="2" width="24.140625" bestFit="1" customWidth="1"/>
    <col min="9" max="9" width="7.7109375" bestFit="1" customWidth="1"/>
    <col min="10" max="10" width="14.42578125" customWidth="1"/>
    <col min="11" max="11" width="10.7109375" bestFit="1" customWidth="1"/>
    <col min="12" max="12" width="11.85546875" bestFit="1" customWidth="1"/>
    <col min="13" max="17" width="11.85546875" customWidth="1"/>
  </cols>
  <sheetData>
    <row r="1" spans="1:21" x14ac:dyDescent="0.25">
      <c r="C1" s="7"/>
      <c r="D1" s="7" t="s">
        <v>20</v>
      </c>
      <c r="E1" s="7"/>
      <c r="F1" s="7" t="s">
        <v>8</v>
      </c>
      <c r="G1" s="6"/>
      <c r="H1" s="6" t="s">
        <v>9</v>
      </c>
      <c r="K1" t="s">
        <v>20</v>
      </c>
      <c r="M1" t="s">
        <v>8</v>
      </c>
      <c r="O1" t="s">
        <v>9</v>
      </c>
      <c r="T1" t="s">
        <v>67</v>
      </c>
    </row>
    <row r="2" spans="1:21" x14ac:dyDescent="0.25">
      <c r="C2" t="s">
        <v>69</v>
      </c>
      <c r="D2" t="s">
        <v>70</v>
      </c>
      <c r="E2" t="s">
        <v>71</v>
      </c>
      <c r="F2" t="s">
        <v>70</v>
      </c>
      <c r="G2" t="s">
        <v>71</v>
      </c>
      <c r="H2" t="s">
        <v>70</v>
      </c>
      <c r="I2" t="s">
        <v>71</v>
      </c>
      <c r="K2" t="s">
        <v>72</v>
      </c>
      <c r="L2" t="s">
        <v>73</v>
      </c>
      <c r="M2" t="s">
        <v>72</v>
      </c>
      <c r="N2" t="s">
        <v>73</v>
      </c>
      <c r="O2" t="s">
        <v>72</v>
      </c>
      <c r="P2" t="s">
        <v>73</v>
      </c>
      <c r="T2" t="s">
        <v>21</v>
      </c>
      <c r="U2" t="s">
        <v>66</v>
      </c>
    </row>
    <row r="3" spans="1:21" x14ac:dyDescent="0.25">
      <c r="A3" s="8" t="s">
        <v>59</v>
      </c>
      <c r="B3" t="s">
        <v>12</v>
      </c>
      <c r="C3" s="5">
        <v>169</v>
      </c>
      <c r="D3" s="5">
        <v>54</v>
      </c>
      <c r="E3" s="5">
        <v>13</v>
      </c>
      <c r="F3" s="5">
        <v>29</v>
      </c>
      <c r="G3">
        <v>8</v>
      </c>
      <c r="H3">
        <v>27</v>
      </c>
      <c r="I3">
        <v>6</v>
      </c>
      <c r="K3" s="1">
        <f>E3/D3</f>
        <v>0.24074074074074073</v>
      </c>
      <c r="L3" s="1">
        <f>E3/$C3</f>
        <v>7.6923076923076927E-2</v>
      </c>
      <c r="M3" s="1">
        <f>G3/F3</f>
        <v>0.27586206896551724</v>
      </c>
      <c r="N3" s="1">
        <f>G3/$C3</f>
        <v>4.7337278106508875E-2</v>
      </c>
      <c r="O3" s="1">
        <f>I3/H3</f>
        <v>0.22222222222222221</v>
      </c>
      <c r="P3" s="1">
        <f>I3/$C3</f>
        <v>3.5502958579881658E-2</v>
      </c>
    </row>
    <row r="4" spans="1:21" x14ac:dyDescent="0.25">
      <c r="A4" s="8"/>
      <c r="B4" t="s">
        <v>13</v>
      </c>
      <c r="C4" s="5">
        <v>316</v>
      </c>
      <c r="D4" s="5">
        <v>91</v>
      </c>
      <c r="E4" s="5">
        <v>21</v>
      </c>
      <c r="F4" s="5">
        <v>44</v>
      </c>
      <c r="G4">
        <v>16</v>
      </c>
      <c r="H4">
        <v>29</v>
      </c>
      <c r="I4">
        <v>13</v>
      </c>
      <c r="K4" s="1">
        <f t="shared" ref="K4:K67" si="0">E4/D4</f>
        <v>0.23076923076923078</v>
      </c>
      <c r="L4" s="1">
        <f t="shared" ref="L4:L67" si="1">E4/$C4</f>
        <v>6.6455696202531639E-2</v>
      </c>
      <c r="M4" s="1">
        <f t="shared" ref="M4:M67" si="2">G4/F4</f>
        <v>0.36363636363636365</v>
      </c>
      <c r="N4" s="1">
        <f t="shared" ref="N4:N67" si="3">G4/$C4</f>
        <v>5.0632911392405063E-2</v>
      </c>
      <c r="O4" s="1">
        <f t="shared" ref="O4:O67" si="4">I4/H4</f>
        <v>0.44827586206896552</v>
      </c>
      <c r="P4" s="1">
        <f t="shared" ref="P4:P67" si="5">I4/$C4</f>
        <v>4.1139240506329111E-2</v>
      </c>
    </row>
    <row r="5" spans="1:21" x14ac:dyDescent="0.25">
      <c r="A5" s="8"/>
      <c r="B5" t="s">
        <v>14</v>
      </c>
      <c r="C5" s="5">
        <v>727</v>
      </c>
      <c r="D5" s="5">
        <v>220</v>
      </c>
      <c r="E5" s="5">
        <v>35</v>
      </c>
      <c r="F5" s="5">
        <v>94</v>
      </c>
      <c r="G5">
        <v>27</v>
      </c>
      <c r="H5">
        <v>70</v>
      </c>
      <c r="I5">
        <v>33</v>
      </c>
      <c r="K5" s="1">
        <f t="shared" si="0"/>
        <v>0.15909090909090909</v>
      </c>
      <c r="L5" s="1">
        <f t="shared" si="1"/>
        <v>4.8143053645116916E-2</v>
      </c>
      <c r="M5" s="1">
        <f t="shared" si="2"/>
        <v>0.28723404255319152</v>
      </c>
      <c r="N5" s="1">
        <f t="shared" si="3"/>
        <v>3.7138927097661624E-2</v>
      </c>
      <c r="O5" s="1">
        <f t="shared" si="4"/>
        <v>0.47142857142857142</v>
      </c>
      <c r="P5" s="1">
        <f t="shared" si="5"/>
        <v>4.5392022008253097E-2</v>
      </c>
    </row>
    <row r="6" spans="1:21" x14ac:dyDescent="0.25">
      <c r="A6" s="8"/>
      <c r="B6" t="s">
        <v>15</v>
      </c>
      <c r="C6" s="5">
        <v>650</v>
      </c>
      <c r="D6" s="5">
        <v>177</v>
      </c>
      <c r="E6" s="5">
        <v>50</v>
      </c>
      <c r="F6" s="5">
        <v>117</v>
      </c>
      <c r="G6">
        <v>38</v>
      </c>
      <c r="H6">
        <v>57</v>
      </c>
      <c r="I6">
        <v>26</v>
      </c>
      <c r="K6" s="1">
        <f t="shared" si="0"/>
        <v>0.2824858757062147</v>
      </c>
      <c r="L6" s="1">
        <f t="shared" si="1"/>
        <v>7.6923076923076927E-2</v>
      </c>
      <c r="M6" s="1">
        <f t="shared" si="2"/>
        <v>0.3247863247863248</v>
      </c>
      <c r="N6" s="1">
        <f t="shared" si="3"/>
        <v>5.8461538461538461E-2</v>
      </c>
      <c r="O6" s="1">
        <f t="shared" si="4"/>
        <v>0.45614035087719296</v>
      </c>
      <c r="P6" s="1">
        <f t="shared" si="5"/>
        <v>0.04</v>
      </c>
    </row>
    <row r="7" spans="1:21" x14ac:dyDescent="0.25">
      <c r="A7" s="8"/>
      <c r="B7" t="s">
        <v>16</v>
      </c>
      <c r="C7" s="5">
        <v>692</v>
      </c>
      <c r="D7" s="5">
        <v>285</v>
      </c>
      <c r="E7" s="5">
        <v>36</v>
      </c>
      <c r="F7" s="5">
        <v>119</v>
      </c>
      <c r="G7">
        <v>31</v>
      </c>
      <c r="H7">
        <v>74</v>
      </c>
      <c r="I7">
        <v>19</v>
      </c>
      <c r="K7" s="1">
        <f t="shared" si="0"/>
        <v>0.12631578947368421</v>
      </c>
      <c r="L7" s="1">
        <f t="shared" si="1"/>
        <v>5.2023121387283239E-2</v>
      </c>
      <c r="M7" s="1">
        <f t="shared" si="2"/>
        <v>0.26050420168067229</v>
      </c>
      <c r="N7" s="1">
        <f t="shared" si="3"/>
        <v>4.4797687861271675E-2</v>
      </c>
      <c r="O7" s="1">
        <f t="shared" si="4"/>
        <v>0.25675675675675674</v>
      </c>
      <c r="P7" s="1">
        <f t="shared" si="5"/>
        <v>2.7456647398843931E-2</v>
      </c>
    </row>
    <row r="8" spans="1:21" x14ac:dyDescent="0.25">
      <c r="A8" s="8"/>
      <c r="B8" t="s">
        <v>17</v>
      </c>
      <c r="C8" s="5">
        <v>591</v>
      </c>
      <c r="D8" s="5">
        <v>149</v>
      </c>
      <c r="E8" s="5">
        <v>20</v>
      </c>
      <c r="F8" s="5">
        <v>77</v>
      </c>
      <c r="G8">
        <v>18</v>
      </c>
      <c r="H8">
        <v>67</v>
      </c>
      <c r="I8">
        <v>19</v>
      </c>
      <c r="K8" s="1">
        <f t="shared" si="0"/>
        <v>0.13422818791946309</v>
      </c>
      <c r="L8" s="1">
        <f t="shared" si="1"/>
        <v>3.3840947546531303E-2</v>
      </c>
      <c r="M8" s="1">
        <f t="shared" si="2"/>
        <v>0.23376623376623376</v>
      </c>
      <c r="N8" s="1">
        <f t="shared" si="3"/>
        <v>3.0456852791878174E-2</v>
      </c>
      <c r="O8" s="1">
        <f t="shared" si="4"/>
        <v>0.28358208955223879</v>
      </c>
      <c r="P8" s="1">
        <f t="shared" si="5"/>
        <v>3.2148900169204735E-2</v>
      </c>
    </row>
    <row r="9" spans="1:21" x14ac:dyDescent="0.25">
      <c r="A9" s="8"/>
      <c r="B9" t="s">
        <v>18</v>
      </c>
      <c r="C9" s="5">
        <v>807</v>
      </c>
      <c r="D9" s="5">
        <v>239</v>
      </c>
      <c r="E9" s="5">
        <v>53</v>
      </c>
      <c r="F9" s="5">
        <v>101</v>
      </c>
      <c r="G9">
        <v>30</v>
      </c>
      <c r="H9">
        <v>119</v>
      </c>
      <c r="I9">
        <v>48</v>
      </c>
      <c r="K9" s="1">
        <f t="shared" si="0"/>
        <v>0.22175732217573221</v>
      </c>
      <c r="L9" s="1">
        <f t="shared" si="1"/>
        <v>6.5675340768277565E-2</v>
      </c>
      <c r="M9" s="1">
        <f t="shared" si="2"/>
        <v>0.29702970297029702</v>
      </c>
      <c r="N9" s="1">
        <f t="shared" si="3"/>
        <v>3.717472118959108E-2</v>
      </c>
      <c r="O9" s="1">
        <f t="shared" si="4"/>
        <v>0.40336134453781514</v>
      </c>
      <c r="P9" s="1">
        <f t="shared" si="5"/>
        <v>5.9479553903345722E-2</v>
      </c>
    </row>
    <row r="10" spans="1:21" x14ac:dyDescent="0.25">
      <c r="A10" s="8"/>
      <c r="B10" t="s">
        <v>19</v>
      </c>
      <c r="C10" s="5">
        <v>881</v>
      </c>
      <c r="D10" s="5">
        <v>281</v>
      </c>
      <c r="E10" s="5">
        <v>67</v>
      </c>
      <c r="F10" s="5">
        <v>139</v>
      </c>
      <c r="G10">
        <v>44</v>
      </c>
      <c r="H10">
        <v>89</v>
      </c>
      <c r="I10">
        <v>33</v>
      </c>
      <c r="K10" s="1">
        <f t="shared" si="0"/>
        <v>0.23843416370106763</v>
      </c>
      <c r="L10" s="1">
        <f t="shared" si="1"/>
        <v>7.6049943246311008E-2</v>
      </c>
      <c r="M10" s="1">
        <f t="shared" si="2"/>
        <v>0.31654676258992803</v>
      </c>
      <c r="N10" s="1">
        <f t="shared" si="3"/>
        <v>4.9943246311010214E-2</v>
      </c>
      <c r="O10" s="1">
        <f t="shared" si="4"/>
        <v>0.3707865168539326</v>
      </c>
      <c r="P10" s="1">
        <f t="shared" si="5"/>
        <v>3.7457434733257661E-2</v>
      </c>
    </row>
    <row r="11" spans="1:21" x14ac:dyDescent="0.25">
      <c r="A11" s="8" t="s">
        <v>60</v>
      </c>
      <c r="B11" t="s">
        <v>22</v>
      </c>
      <c r="C11" s="5">
        <v>600</v>
      </c>
      <c r="D11" s="5">
        <v>110</v>
      </c>
      <c r="E11" s="5">
        <v>18</v>
      </c>
      <c r="F11" s="5">
        <v>99</v>
      </c>
      <c r="G11">
        <v>12</v>
      </c>
      <c r="H11">
        <v>56</v>
      </c>
      <c r="I11">
        <v>12</v>
      </c>
      <c r="K11" s="1">
        <f t="shared" si="0"/>
        <v>0.16363636363636364</v>
      </c>
      <c r="L11" s="1">
        <f t="shared" si="1"/>
        <v>0.03</v>
      </c>
      <c r="M11" s="1">
        <f t="shared" si="2"/>
        <v>0.12121212121212122</v>
      </c>
      <c r="N11" s="1">
        <f t="shared" si="3"/>
        <v>0.02</v>
      </c>
      <c r="O11" s="1">
        <f t="shared" si="4"/>
        <v>0.21428571428571427</v>
      </c>
      <c r="P11" s="1">
        <f t="shared" si="5"/>
        <v>0.02</v>
      </c>
    </row>
    <row r="12" spans="1:21" x14ac:dyDescent="0.25">
      <c r="A12" s="8"/>
      <c r="B12" t="s">
        <v>23</v>
      </c>
      <c r="C12" s="5">
        <v>752</v>
      </c>
      <c r="D12" s="5">
        <v>152</v>
      </c>
      <c r="E12" s="5">
        <v>25</v>
      </c>
      <c r="F12" s="5">
        <v>112</v>
      </c>
      <c r="G12">
        <v>29</v>
      </c>
      <c r="H12">
        <v>85</v>
      </c>
      <c r="I12">
        <v>33</v>
      </c>
      <c r="K12" s="1">
        <f t="shared" si="0"/>
        <v>0.16447368421052633</v>
      </c>
      <c r="L12" s="1">
        <f t="shared" si="1"/>
        <v>3.3244680851063829E-2</v>
      </c>
      <c r="M12" s="1">
        <f t="shared" si="2"/>
        <v>0.25892857142857145</v>
      </c>
      <c r="N12" s="1">
        <f t="shared" si="3"/>
        <v>3.8563829787234043E-2</v>
      </c>
      <c r="O12" s="1">
        <f t="shared" si="4"/>
        <v>0.38823529411764707</v>
      </c>
      <c r="P12" s="1">
        <f t="shared" si="5"/>
        <v>4.3882978723404256E-2</v>
      </c>
    </row>
    <row r="13" spans="1:21" x14ac:dyDescent="0.25">
      <c r="A13" s="8"/>
      <c r="B13" t="s">
        <v>24</v>
      </c>
      <c r="C13" s="5">
        <v>545</v>
      </c>
      <c r="D13" s="5">
        <v>149</v>
      </c>
      <c r="E13" s="5">
        <v>21</v>
      </c>
      <c r="F13" s="5">
        <v>96</v>
      </c>
      <c r="G13">
        <v>24</v>
      </c>
      <c r="H13">
        <v>59</v>
      </c>
      <c r="I13">
        <v>11</v>
      </c>
      <c r="K13" s="1">
        <f t="shared" si="0"/>
        <v>0.14093959731543623</v>
      </c>
      <c r="L13" s="1">
        <f t="shared" si="1"/>
        <v>3.8532110091743121E-2</v>
      </c>
      <c r="M13" s="1">
        <f t="shared" si="2"/>
        <v>0.25</v>
      </c>
      <c r="N13" s="1">
        <f t="shared" si="3"/>
        <v>4.4036697247706424E-2</v>
      </c>
      <c r="O13" s="1">
        <f t="shared" si="4"/>
        <v>0.1864406779661017</v>
      </c>
      <c r="P13" s="1">
        <f t="shared" si="5"/>
        <v>2.0183486238532111E-2</v>
      </c>
    </row>
    <row r="14" spans="1:21" x14ac:dyDescent="0.25">
      <c r="A14" s="8"/>
      <c r="B14" t="s">
        <v>25</v>
      </c>
      <c r="C14" s="5">
        <v>903</v>
      </c>
      <c r="D14" s="5">
        <v>191</v>
      </c>
      <c r="E14" s="5">
        <v>22</v>
      </c>
      <c r="F14" s="5">
        <v>115</v>
      </c>
      <c r="G14">
        <v>40</v>
      </c>
      <c r="H14">
        <v>94</v>
      </c>
      <c r="I14">
        <v>36</v>
      </c>
      <c r="K14" s="1">
        <f t="shared" si="0"/>
        <v>0.11518324607329843</v>
      </c>
      <c r="L14" s="1">
        <f t="shared" si="1"/>
        <v>2.4363233665559248E-2</v>
      </c>
      <c r="M14" s="1">
        <f t="shared" si="2"/>
        <v>0.34782608695652173</v>
      </c>
      <c r="N14" s="1">
        <f t="shared" si="3"/>
        <v>4.4296788482834998E-2</v>
      </c>
      <c r="O14" s="1">
        <f t="shared" si="4"/>
        <v>0.38297872340425532</v>
      </c>
      <c r="P14" s="1">
        <f t="shared" si="5"/>
        <v>3.9867109634551492E-2</v>
      </c>
    </row>
    <row r="15" spans="1:21" x14ac:dyDescent="0.25">
      <c r="A15" s="8"/>
      <c r="B15" t="s">
        <v>26</v>
      </c>
      <c r="C15" s="5">
        <v>660</v>
      </c>
      <c r="D15" s="5">
        <v>110</v>
      </c>
      <c r="E15" s="5">
        <v>28</v>
      </c>
      <c r="F15" s="5">
        <v>109</v>
      </c>
      <c r="G15">
        <v>40</v>
      </c>
      <c r="H15">
        <v>95</v>
      </c>
      <c r="I15">
        <v>21</v>
      </c>
      <c r="K15" s="1">
        <f t="shared" si="0"/>
        <v>0.25454545454545452</v>
      </c>
      <c r="L15" s="1">
        <f t="shared" si="1"/>
        <v>4.2424242424242427E-2</v>
      </c>
      <c r="M15" s="1">
        <f t="shared" si="2"/>
        <v>0.3669724770642202</v>
      </c>
      <c r="N15" s="1">
        <f t="shared" si="3"/>
        <v>6.0606060606060608E-2</v>
      </c>
      <c r="O15" s="1">
        <f t="shared" si="4"/>
        <v>0.22105263157894736</v>
      </c>
      <c r="P15" s="1">
        <f t="shared" si="5"/>
        <v>3.1818181818181815E-2</v>
      </c>
    </row>
    <row r="16" spans="1:21" x14ac:dyDescent="0.25">
      <c r="A16" s="8"/>
      <c r="B16" t="s">
        <v>27</v>
      </c>
      <c r="C16" s="5">
        <v>614</v>
      </c>
      <c r="D16" s="5">
        <v>137</v>
      </c>
      <c r="E16" s="5">
        <v>24</v>
      </c>
      <c r="F16" s="5">
        <v>106</v>
      </c>
      <c r="G16">
        <v>30</v>
      </c>
      <c r="H16">
        <v>70</v>
      </c>
      <c r="I16">
        <v>22</v>
      </c>
      <c r="K16" s="1">
        <f t="shared" si="0"/>
        <v>0.17518248175182483</v>
      </c>
      <c r="L16" s="1">
        <f t="shared" si="1"/>
        <v>3.9087947882736153E-2</v>
      </c>
      <c r="M16" s="1">
        <f t="shared" si="2"/>
        <v>0.28301886792452829</v>
      </c>
      <c r="N16" s="1">
        <f t="shared" si="3"/>
        <v>4.8859934853420196E-2</v>
      </c>
      <c r="O16" s="1">
        <f t="shared" si="4"/>
        <v>0.31428571428571428</v>
      </c>
      <c r="P16" s="1">
        <f t="shared" si="5"/>
        <v>3.5830618892508145E-2</v>
      </c>
    </row>
    <row r="17" spans="1:16" x14ac:dyDescent="0.25">
      <c r="A17" s="8"/>
      <c r="B17" t="s">
        <v>28</v>
      </c>
      <c r="C17" s="5">
        <v>472</v>
      </c>
      <c r="D17" s="5">
        <v>104</v>
      </c>
      <c r="E17" s="5">
        <v>20</v>
      </c>
      <c r="F17" s="5">
        <v>60</v>
      </c>
      <c r="G17">
        <v>21</v>
      </c>
      <c r="H17">
        <v>40</v>
      </c>
      <c r="I17">
        <v>14</v>
      </c>
      <c r="K17" s="1">
        <f t="shared" si="0"/>
        <v>0.19230769230769232</v>
      </c>
      <c r="L17" s="1">
        <f t="shared" si="1"/>
        <v>4.2372881355932202E-2</v>
      </c>
      <c r="M17" s="1">
        <f t="shared" si="2"/>
        <v>0.35</v>
      </c>
      <c r="N17" s="1">
        <f t="shared" si="3"/>
        <v>4.4491525423728813E-2</v>
      </c>
      <c r="O17" s="1">
        <f t="shared" si="4"/>
        <v>0.35</v>
      </c>
      <c r="P17" s="1">
        <f t="shared" si="5"/>
        <v>2.9661016949152543E-2</v>
      </c>
    </row>
    <row r="18" spans="1:16" x14ac:dyDescent="0.25">
      <c r="A18" s="8"/>
      <c r="B18" t="s">
        <v>29</v>
      </c>
      <c r="C18" s="5">
        <v>790</v>
      </c>
      <c r="D18" s="5">
        <v>135</v>
      </c>
      <c r="E18" s="5">
        <v>19</v>
      </c>
      <c r="F18" s="5">
        <v>101</v>
      </c>
      <c r="G18">
        <v>30</v>
      </c>
      <c r="H18">
        <v>100</v>
      </c>
      <c r="I18">
        <v>37</v>
      </c>
      <c r="K18" s="1">
        <f t="shared" si="0"/>
        <v>0.14074074074074075</v>
      </c>
      <c r="L18" s="1">
        <f t="shared" si="1"/>
        <v>2.4050632911392405E-2</v>
      </c>
      <c r="M18" s="1">
        <f t="shared" si="2"/>
        <v>0.29702970297029702</v>
      </c>
      <c r="N18" s="1">
        <f t="shared" si="3"/>
        <v>3.7974683544303799E-2</v>
      </c>
      <c r="O18" s="1">
        <f t="shared" si="4"/>
        <v>0.37</v>
      </c>
      <c r="P18" s="1">
        <f t="shared" si="5"/>
        <v>4.6835443037974683E-2</v>
      </c>
    </row>
    <row r="19" spans="1:16" x14ac:dyDescent="0.25">
      <c r="A19" s="8" t="s">
        <v>61</v>
      </c>
      <c r="B19" t="s">
        <v>22</v>
      </c>
      <c r="C19" s="5">
        <v>607</v>
      </c>
      <c r="D19" s="5">
        <v>96</v>
      </c>
      <c r="E19" s="5">
        <v>11</v>
      </c>
      <c r="F19" s="5">
        <v>82</v>
      </c>
      <c r="G19">
        <v>14</v>
      </c>
      <c r="H19">
        <v>60</v>
      </c>
      <c r="I19">
        <v>14</v>
      </c>
      <c r="K19" s="1">
        <f t="shared" si="0"/>
        <v>0.11458333333333333</v>
      </c>
      <c r="L19" s="1">
        <f t="shared" si="1"/>
        <v>1.8121911037891267E-2</v>
      </c>
      <c r="M19" s="1">
        <f t="shared" si="2"/>
        <v>0.17073170731707318</v>
      </c>
      <c r="N19" s="1">
        <f t="shared" si="3"/>
        <v>2.3064250411861616E-2</v>
      </c>
      <c r="O19" s="1">
        <f t="shared" si="4"/>
        <v>0.23333333333333334</v>
      </c>
      <c r="P19" s="1">
        <f t="shared" si="5"/>
        <v>2.3064250411861616E-2</v>
      </c>
    </row>
    <row r="20" spans="1:16" x14ac:dyDescent="0.25">
      <c r="A20" s="8"/>
      <c r="B20" t="s">
        <v>23</v>
      </c>
      <c r="C20" s="5">
        <v>761</v>
      </c>
      <c r="D20" s="5">
        <v>138</v>
      </c>
      <c r="E20" s="5">
        <v>21</v>
      </c>
      <c r="F20" s="5">
        <v>107</v>
      </c>
      <c r="G20">
        <v>24</v>
      </c>
      <c r="H20">
        <v>63</v>
      </c>
      <c r="I20">
        <v>16</v>
      </c>
      <c r="K20" s="1">
        <f t="shared" si="0"/>
        <v>0.15217391304347827</v>
      </c>
      <c r="L20" s="1">
        <f t="shared" si="1"/>
        <v>2.7595269382391589E-2</v>
      </c>
      <c r="M20" s="1">
        <f t="shared" si="2"/>
        <v>0.22429906542056074</v>
      </c>
      <c r="N20" s="1">
        <f t="shared" si="3"/>
        <v>3.1537450722733243E-2</v>
      </c>
      <c r="O20" s="1">
        <f t="shared" si="4"/>
        <v>0.25396825396825395</v>
      </c>
      <c r="P20" s="1">
        <f t="shared" si="5"/>
        <v>2.1024967148488831E-2</v>
      </c>
    </row>
    <row r="21" spans="1:16" x14ac:dyDescent="0.25">
      <c r="A21" s="8"/>
      <c r="B21" t="s">
        <v>24</v>
      </c>
      <c r="C21" s="5">
        <v>562</v>
      </c>
      <c r="D21" s="5">
        <v>139</v>
      </c>
      <c r="E21" s="5">
        <v>25</v>
      </c>
      <c r="F21" s="5">
        <v>87</v>
      </c>
      <c r="G21">
        <v>23</v>
      </c>
      <c r="H21">
        <v>51</v>
      </c>
      <c r="I21">
        <v>13</v>
      </c>
      <c r="K21" s="1">
        <f t="shared" si="0"/>
        <v>0.17985611510791366</v>
      </c>
      <c r="L21" s="1">
        <f t="shared" si="1"/>
        <v>4.4483985765124558E-2</v>
      </c>
      <c r="M21" s="1">
        <f t="shared" si="2"/>
        <v>0.26436781609195403</v>
      </c>
      <c r="N21" s="1">
        <f t="shared" si="3"/>
        <v>4.0925266903914591E-2</v>
      </c>
      <c r="O21" s="1">
        <f t="shared" si="4"/>
        <v>0.25490196078431371</v>
      </c>
      <c r="P21" s="1">
        <f t="shared" si="5"/>
        <v>2.3131672597864767E-2</v>
      </c>
    </row>
    <row r="22" spans="1:16" x14ac:dyDescent="0.25">
      <c r="A22" s="8"/>
      <c r="B22" t="s">
        <v>25</v>
      </c>
      <c r="C22" s="5">
        <v>911</v>
      </c>
      <c r="D22" s="5">
        <v>182</v>
      </c>
      <c r="E22" s="5">
        <v>31</v>
      </c>
      <c r="F22" s="5">
        <v>105</v>
      </c>
      <c r="G22">
        <v>30</v>
      </c>
      <c r="H22">
        <v>82</v>
      </c>
      <c r="I22">
        <v>24</v>
      </c>
      <c r="K22" s="1">
        <f t="shared" si="0"/>
        <v>0.17032967032967034</v>
      </c>
      <c r="L22" s="1">
        <f t="shared" si="1"/>
        <v>3.4028540065861687E-2</v>
      </c>
      <c r="M22" s="1">
        <f t="shared" si="2"/>
        <v>0.2857142857142857</v>
      </c>
      <c r="N22" s="1">
        <f t="shared" si="3"/>
        <v>3.2930845225027441E-2</v>
      </c>
      <c r="O22" s="1">
        <f t="shared" si="4"/>
        <v>0.29268292682926828</v>
      </c>
      <c r="P22" s="1">
        <f t="shared" si="5"/>
        <v>2.6344676180021953E-2</v>
      </c>
    </row>
    <row r="23" spans="1:16" x14ac:dyDescent="0.25">
      <c r="A23" s="8"/>
      <c r="B23" t="s">
        <v>26</v>
      </c>
      <c r="C23" s="5">
        <v>670</v>
      </c>
      <c r="D23" s="5">
        <v>118</v>
      </c>
      <c r="E23" s="5">
        <v>31</v>
      </c>
      <c r="F23" s="5">
        <v>103</v>
      </c>
      <c r="G23">
        <v>35</v>
      </c>
      <c r="H23">
        <v>96</v>
      </c>
      <c r="I23">
        <v>24</v>
      </c>
      <c r="K23" s="1">
        <f t="shared" si="0"/>
        <v>0.26271186440677968</v>
      </c>
      <c r="L23" s="1">
        <f t="shared" si="1"/>
        <v>4.6268656716417909E-2</v>
      </c>
      <c r="M23" s="1">
        <f t="shared" si="2"/>
        <v>0.33980582524271846</v>
      </c>
      <c r="N23" s="1">
        <f t="shared" si="3"/>
        <v>5.2238805970149252E-2</v>
      </c>
      <c r="O23" s="1">
        <f t="shared" si="4"/>
        <v>0.25</v>
      </c>
      <c r="P23" s="1">
        <f t="shared" si="5"/>
        <v>3.5820895522388062E-2</v>
      </c>
    </row>
    <row r="24" spans="1:16" x14ac:dyDescent="0.25">
      <c r="A24" s="8"/>
      <c r="B24" t="s">
        <v>27</v>
      </c>
      <c r="C24" s="5">
        <v>625</v>
      </c>
      <c r="D24" s="5">
        <v>120</v>
      </c>
      <c r="E24" s="5">
        <v>20</v>
      </c>
      <c r="F24" s="5">
        <v>97</v>
      </c>
      <c r="G24">
        <v>25</v>
      </c>
      <c r="H24">
        <v>63</v>
      </c>
      <c r="I24">
        <v>22</v>
      </c>
      <c r="K24" s="1">
        <f t="shared" si="0"/>
        <v>0.16666666666666666</v>
      </c>
      <c r="L24" s="1">
        <f t="shared" si="1"/>
        <v>3.2000000000000001E-2</v>
      </c>
      <c r="M24" s="1">
        <f t="shared" si="2"/>
        <v>0.25773195876288657</v>
      </c>
      <c r="N24" s="1">
        <f t="shared" si="3"/>
        <v>0.04</v>
      </c>
      <c r="O24" s="1">
        <f t="shared" si="4"/>
        <v>0.34920634920634919</v>
      </c>
      <c r="P24" s="1">
        <f t="shared" si="5"/>
        <v>3.5200000000000002E-2</v>
      </c>
    </row>
    <row r="25" spans="1:16" x14ac:dyDescent="0.25">
      <c r="A25" s="8"/>
      <c r="B25" t="s">
        <v>28</v>
      </c>
      <c r="C25" s="5">
        <v>482</v>
      </c>
      <c r="D25" s="5">
        <v>98</v>
      </c>
      <c r="E25" s="5">
        <v>24</v>
      </c>
      <c r="F25" s="5">
        <v>63</v>
      </c>
      <c r="G25">
        <v>28</v>
      </c>
      <c r="H25">
        <v>43</v>
      </c>
      <c r="I25">
        <v>17</v>
      </c>
      <c r="K25" s="1">
        <f t="shared" si="0"/>
        <v>0.24489795918367346</v>
      </c>
      <c r="L25" s="1">
        <f t="shared" si="1"/>
        <v>4.9792531120331947E-2</v>
      </c>
      <c r="M25" s="1">
        <f t="shared" si="2"/>
        <v>0.44444444444444442</v>
      </c>
      <c r="N25" s="1">
        <f t="shared" si="3"/>
        <v>5.8091286307053944E-2</v>
      </c>
      <c r="O25" s="1">
        <f t="shared" si="4"/>
        <v>0.39534883720930231</v>
      </c>
      <c r="P25" s="1">
        <f t="shared" si="5"/>
        <v>3.5269709543568464E-2</v>
      </c>
    </row>
    <row r="26" spans="1:16" x14ac:dyDescent="0.25">
      <c r="A26" s="8"/>
      <c r="B26" t="s">
        <v>29</v>
      </c>
      <c r="C26" s="5">
        <v>806</v>
      </c>
      <c r="D26" s="5">
        <v>163</v>
      </c>
      <c r="E26" s="5">
        <v>28</v>
      </c>
      <c r="F26" s="5">
        <v>113</v>
      </c>
      <c r="G26">
        <v>24</v>
      </c>
      <c r="H26">
        <v>97</v>
      </c>
      <c r="I26">
        <v>34</v>
      </c>
      <c r="K26" s="1">
        <f t="shared" si="0"/>
        <v>0.17177914110429449</v>
      </c>
      <c r="L26" s="1">
        <f t="shared" si="1"/>
        <v>3.4739454094292806E-2</v>
      </c>
      <c r="M26" s="1">
        <f t="shared" si="2"/>
        <v>0.21238938053097345</v>
      </c>
      <c r="N26" s="1">
        <f t="shared" si="3"/>
        <v>2.9776674937965261E-2</v>
      </c>
      <c r="O26" s="1">
        <f t="shared" si="4"/>
        <v>0.35051546391752575</v>
      </c>
      <c r="P26" s="1">
        <f t="shared" si="5"/>
        <v>4.2183622828784122E-2</v>
      </c>
    </row>
    <row r="27" spans="1:16" x14ac:dyDescent="0.25">
      <c r="A27" s="8" t="s">
        <v>0</v>
      </c>
      <c r="B27" t="s">
        <v>30</v>
      </c>
      <c r="C27" s="5">
        <v>636</v>
      </c>
      <c r="D27" s="5">
        <v>114</v>
      </c>
      <c r="E27" s="5">
        <v>25</v>
      </c>
      <c r="F27" s="5">
        <v>80</v>
      </c>
      <c r="G27">
        <v>34</v>
      </c>
      <c r="H27">
        <v>60</v>
      </c>
      <c r="I27">
        <v>36</v>
      </c>
      <c r="K27" s="1">
        <f t="shared" si="0"/>
        <v>0.21929824561403508</v>
      </c>
      <c r="L27" s="1">
        <f t="shared" si="1"/>
        <v>3.9308176100628929E-2</v>
      </c>
      <c r="M27" s="1">
        <f t="shared" si="2"/>
        <v>0.42499999999999999</v>
      </c>
      <c r="N27" s="1">
        <f t="shared" si="3"/>
        <v>5.3459119496855348E-2</v>
      </c>
      <c r="O27" s="1">
        <f t="shared" si="4"/>
        <v>0.6</v>
      </c>
      <c r="P27" s="1">
        <f t="shared" si="5"/>
        <v>5.6603773584905662E-2</v>
      </c>
    </row>
    <row r="28" spans="1:16" x14ac:dyDescent="0.25">
      <c r="A28" s="8"/>
      <c r="B28" t="s">
        <v>31</v>
      </c>
      <c r="C28" s="5">
        <v>636</v>
      </c>
      <c r="D28" s="5">
        <v>153</v>
      </c>
      <c r="E28" s="5">
        <v>32</v>
      </c>
      <c r="F28" s="5">
        <v>116</v>
      </c>
      <c r="G28">
        <v>30</v>
      </c>
      <c r="H28">
        <v>65</v>
      </c>
      <c r="I28">
        <v>10</v>
      </c>
      <c r="K28" s="1">
        <f t="shared" si="0"/>
        <v>0.20915032679738563</v>
      </c>
      <c r="L28" s="1">
        <f t="shared" si="1"/>
        <v>5.0314465408805034E-2</v>
      </c>
      <c r="M28" s="1">
        <f t="shared" si="2"/>
        <v>0.25862068965517243</v>
      </c>
      <c r="N28" s="1">
        <f t="shared" si="3"/>
        <v>4.716981132075472E-2</v>
      </c>
      <c r="O28" s="1">
        <f t="shared" si="4"/>
        <v>0.15384615384615385</v>
      </c>
      <c r="P28" s="1">
        <f t="shared" si="5"/>
        <v>1.5723270440251572E-2</v>
      </c>
    </row>
    <row r="29" spans="1:16" x14ac:dyDescent="0.25">
      <c r="A29" s="8"/>
      <c r="B29" t="s">
        <v>32</v>
      </c>
      <c r="C29" s="5">
        <v>636</v>
      </c>
      <c r="D29" s="5">
        <v>130</v>
      </c>
      <c r="E29" s="5">
        <v>30</v>
      </c>
      <c r="F29" s="5">
        <v>87</v>
      </c>
      <c r="G29">
        <v>35</v>
      </c>
      <c r="H29">
        <v>56</v>
      </c>
      <c r="I29">
        <v>19</v>
      </c>
      <c r="K29" s="1">
        <f t="shared" si="0"/>
        <v>0.23076923076923078</v>
      </c>
      <c r="L29" s="1">
        <f t="shared" si="1"/>
        <v>4.716981132075472E-2</v>
      </c>
      <c r="M29" s="1">
        <f t="shared" si="2"/>
        <v>0.40229885057471265</v>
      </c>
      <c r="N29" s="1">
        <f t="shared" si="3"/>
        <v>5.5031446540880505E-2</v>
      </c>
      <c r="O29" s="1">
        <f t="shared" si="4"/>
        <v>0.3392857142857143</v>
      </c>
      <c r="P29" s="1">
        <f t="shared" si="5"/>
        <v>2.9874213836477988E-2</v>
      </c>
    </row>
    <row r="30" spans="1:16" x14ac:dyDescent="0.25">
      <c r="A30" s="8"/>
      <c r="B30" t="s">
        <v>33</v>
      </c>
      <c r="C30" s="5">
        <v>636</v>
      </c>
      <c r="D30" s="5">
        <v>130</v>
      </c>
      <c r="E30" s="5">
        <v>17</v>
      </c>
      <c r="F30" s="5">
        <v>76</v>
      </c>
      <c r="G30">
        <v>21</v>
      </c>
      <c r="H30">
        <v>83</v>
      </c>
      <c r="I30">
        <v>30</v>
      </c>
      <c r="K30" s="1">
        <f t="shared" si="0"/>
        <v>0.13076923076923078</v>
      </c>
      <c r="L30" s="1">
        <f t="shared" si="1"/>
        <v>2.6729559748427674E-2</v>
      </c>
      <c r="M30" s="1">
        <f t="shared" si="2"/>
        <v>0.27631578947368424</v>
      </c>
      <c r="N30" s="1">
        <f t="shared" si="3"/>
        <v>3.3018867924528301E-2</v>
      </c>
      <c r="O30" s="1">
        <f t="shared" si="4"/>
        <v>0.36144578313253012</v>
      </c>
      <c r="P30" s="1">
        <f t="shared" si="5"/>
        <v>4.716981132075472E-2</v>
      </c>
    </row>
    <row r="31" spans="1:16" x14ac:dyDescent="0.25">
      <c r="A31" s="8"/>
      <c r="B31" t="s">
        <v>34</v>
      </c>
      <c r="C31" s="5">
        <v>636</v>
      </c>
      <c r="D31" s="5">
        <v>140</v>
      </c>
      <c r="E31" s="5">
        <v>26</v>
      </c>
      <c r="F31" s="5">
        <v>118</v>
      </c>
      <c r="G31">
        <v>30</v>
      </c>
      <c r="H31">
        <v>40</v>
      </c>
      <c r="I31">
        <v>24</v>
      </c>
      <c r="K31" s="1">
        <f t="shared" si="0"/>
        <v>0.18571428571428572</v>
      </c>
      <c r="L31" s="1">
        <f t="shared" si="1"/>
        <v>4.0880503144654086E-2</v>
      </c>
      <c r="M31" s="1">
        <f t="shared" si="2"/>
        <v>0.25423728813559321</v>
      </c>
      <c r="N31" s="1">
        <f t="shared" si="3"/>
        <v>4.716981132075472E-2</v>
      </c>
      <c r="O31" s="1">
        <f t="shared" si="4"/>
        <v>0.6</v>
      </c>
      <c r="P31" s="1">
        <f t="shared" si="5"/>
        <v>3.7735849056603772E-2</v>
      </c>
    </row>
    <row r="32" spans="1:16" x14ac:dyDescent="0.25">
      <c r="A32" s="8"/>
      <c r="B32" t="s">
        <v>35</v>
      </c>
      <c r="C32" s="5">
        <v>563</v>
      </c>
      <c r="D32" s="5">
        <v>118</v>
      </c>
      <c r="E32" s="5">
        <v>19</v>
      </c>
      <c r="F32" s="5">
        <v>79</v>
      </c>
      <c r="G32">
        <v>20</v>
      </c>
      <c r="H32">
        <v>64</v>
      </c>
      <c r="I32">
        <v>21</v>
      </c>
      <c r="K32" s="1">
        <f t="shared" si="0"/>
        <v>0.16101694915254236</v>
      </c>
      <c r="L32" s="1">
        <f t="shared" si="1"/>
        <v>3.3747779751332148E-2</v>
      </c>
      <c r="M32" s="1">
        <f t="shared" si="2"/>
        <v>0.25316455696202533</v>
      </c>
      <c r="N32" s="1">
        <f t="shared" si="3"/>
        <v>3.5523978685612786E-2</v>
      </c>
      <c r="O32" s="1">
        <f t="shared" si="4"/>
        <v>0.328125</v>
      </c>
      <c r="P32" s="1">
        <f t="shared" si="5"/>
        <v>3.7300177619893425E-2</v>
      </c>
    </row>
    <row r="33" spans="1:16" x14ac:dyDescent="0.25">
      <c r="A33" s="8"/>
      <c r="B33" t="s">
        <v>36</v>
      </c>
      <c r="C33" s="5">
        <v>154</v>
      </c>
      <c r="D33" s="5">
        <v>48</v>
      </c>
      <c r="E33" s="5">
        <v>12</v>
      </c>
      <c r="F33" s="5">
        <v>30</v>
      </c>
      <c r="G33">
        <v>4</v>
      </c>
      <c r="H33">
        <v>19</v>
      </c>
      <c r="I33">
        <v>8</v>
      </c>
      <c r="K33" s="1">
        <f t="shared" si="0"/>
        <v>0.25</v>
      </c>
      <c r="L33" s="1">
        <f t="shared" si="1"/>
        <v>7.792207792207792E-2</v>
      </c>
      <c r="M33" s="1">
        <f t="shared" si="2"/>
        <v>0.13333333333333333</v>
      </c>
      <c r="N33" s="1">
        <f t="shared" si="3"/>
        <v>2.5974025974025976E-2</v>
      </c>
      <c r="O33" s="1">
        <f t="shared" si="4"/>
        <v>0.42105263157894735</v>
      </c>
      <c r="P33" s="1">
        <f t="shared" si="5"/>
        <v>5.1948051948051951E-2</v>
      </c>
    </row>
    <row r="34" spans="1:16" x14ac:dyDescent="0.25">
      <c r="A34" s="8"/>
      <c r="B34" t="s">
        <v>37</v>
      </c>
      <c r="C34" s="5">
        <v>636</v>
      </c>
      <c r="D34" s="5">
        <v>132</v>
      </c>
      <c r="E34" s="5">
        <v>25</v>
      </c>
      <c r="F34" s="5">
        <v>73</v>
      </c>
      <c r="G34">
        <v>28</v>
      </c>
      <c r="H34">
        <v>91</v>
      </c>
      <c r="I34">
        <v>32</v>
      </c>
      <c r="K34" s="1">
        <f t="shared" si="0"/>
        <v>0.18939393939393939</v>
      </c>
      <c r="L34" s="1">
        <f t="shared" si="1"/>
        <v>3.9308176100628929E-2</v>
      </c>
      <c r="M34" s="1">
        <f t="shared" si="2"/>
        <v>0.38356164383561642</v>
      </c>
      <c r="N34" s="1">
        <f t="shared" si="3"/>
        <v>4.40251572327044E-2</v>
      </c>
      <c r="O34" s="1">
        <f t="shared" si="4"/>
        <v>0.35164835164835168</v>
      </c>
      <c r="P34" s="1">
        <f t="shared" si="5"/>
        <v>5.0314465408805034E-2</v>
      </c>
    </row>
    <row r="35" spans="1:16" x14ac:dyDescent="0.25">
      <c r="A35" s="8"/>
      <c r="B35" t="s">
        <v>38</v>
      </c>
      <c r="C35" s="5">
        <v>636</v>
      </c>
      <c r="D35" s="5">
        <v>169</v>
      </c>
      <c r="E35" s="5">
        <v>43</v>
      </c>
      <c r="F35" s="5">
        <v>75</v>
      </c>
      <c r="G35">
        <v>22</v>
      </c>
      <c r="H35">
        <v>73</v>
      </c>
      <c r="I35">
        <v>21</v>
      </c>
      <c r="K35" s="1">
        <f t="shared" si="0"/>
        <v>0.25443786982248523</v>
      </c>
      <c r="L35" s="1">
        <f t="shared" si="1"/>
        <v>6.761006289308176E-2</v>
      </c>
      <c r="M35" s="1">
        <f t="shared" si="2"/>
        <v>0.29333333333333333</v>
      </c>
      <c r="N35" s="1">
        <f t="shared" si="3"/>
        <v>3.4591194968553458E-2</v>
      </c>
      <c r="O35" s="1">
        <f t="shared" si="4"/>
        <v>0.28767123287671231</v>
      </c>
      <c r="P35" s="1">
        <f t="shared" si="5"/>
        <v>3.3018867924528301E-2</v>
      </c>
    </row>
    <row r="36" spans="1:16" x14ac:dyDescent="0.25">
      <c r="A36" s="8" t="s">
        <v>1</v>
      </c>
      <c r="B36" t="s">
        <v>30</v>
      </c>
      <c r="C36" s="5">
        <v>636</v>
      </c>
      <c r="D36" s="5">
        <v>94</v>
      </c>
      <c r="E36" s="5">
        <v>13</v>
      </c>
      <c r="F36" s="5">
        <v>78</v>
      </c>
      <c r="G36">
        <v>33</v>
      </c>
      <c r="H36">
        <v>43</v>
      </c>
      <c r="I36">
        <v>25</v>
      </c>
      <c r="K36" s="1">
        <f t="shared" si="0"/>
        <v>0.13829787234042554</v>
      </c>
      <c r="L36" s="1">
        <f t="shared" si="1"/>
        <v>2.0440251572327043E-2</v>
      </c>
      <c r="M36" s="1">
        <f t="shared" si="2"/>
        <v>0.42307692307692307</v>
      </c>
      <c r="N36" s="1">
        <f t="shared" si="3"/>
        <v>5.1886792452830191E-2</v>
      </c>
      <c r="O36" s="1">
        <f t="shared" si="4"/>
        <v>0.58139534883720934</v>
      </c>
      <c r="P36" s="1">
        <f t="shared" si="5"/>
        <v>3.9308176100628929E-2</v>
      </c>
    </row>
    <row r="37" spans="1:16" x14ac:dyDescent="0.25">
      <c r="A37" s="8"/>
      <c r="B37" t="s">
        <v>31</v>
      </c>
      <c r="C37" s="5">
        <v>636</v>
      </c>
      <c r="D37" s="5">
        <v>87</v>
      </c>
      <c r="E37" s="5">
        <v>19</v>
      </c>
      <c r="F37" s="5">
        <v>104</v>
      </c>
      <c r="G37">
        <v>34</v>
      </c>
      <c r="H37">
        <v>65</v>
      </c>
      <c r="I37">
        <v>15</v>
      </c>
      <c r="K37" s="1">
        <f t="shared" si="0"/>
        <v>0.21839080459770116</v>
      </c>
      <c r="L37" s="1">
        <f t="shared" si="1"/>
        <v>2.9874213836477988E-2</v>
      </c>
      <c r="M37" s="1">
        <f t="shared" si="2"/>
        <v>0.32692307692307693</v>
      </c>
      <c r="N37" s="1">
        <f t="shared" si="3"/>
        <v>5.3459119496855348E-2</v>
      </c>
      <c r="O37" s="1">
        <f t="shared" si="4"/>
        <v>0.23076923076923078</v>
      </c>
      <c r="P37" s="1">
        <f t="shared" si="5"/>
        <v>2.358490566037736E-2</v>
      </c>
    </row>
    <row r="38" spans="1:16" x14ac:dyDescent="0.25">
      <c r="A38" s="8"/>
      <c r="B38" t="s">
        <v>32</v>
      </c>
      <c r="C38" s="5">
        <v>636</v>
      </c>
      <c r="D38" s="5">
        <v>78</v>
      </c>
      <c r="E38" s="5">
        <v>19</v>
      </c>
      <c r="F38" s="5">
        <v>97</v>
      </c>
      <c r="G38">
        <v>35</v>
      </c>
      <c r="H38">
        <v>74</v>
      </c>
      <c r="I38">
        <v>19</v>
      </c>
      <c r="K38" s="1">
        <f t="shared" si="0"/>
        <v>0.24358974358974358</v>
      </c>
      <c r="L38" s="1">
        <f t="shared" si="1"/>
        <v>2.9874213836477988E-2</v>
      </c>
      <c r="M38" s="1">
        <f t="shared" si="2"/>
        <v>0.36082474226804123</v>
      </c>
      <c r="N38" s="1">
        <f t="shared" si="3"/>
        <v>5.5031446540880505E-2</v>
      </c>
      <c r="O38" s="1">
        <f t="shared" si="4"/>
        <v>0.25675675675675674</v>
      </c>
      <c r="P38" s="1">
        <f t="shared" si="5"/>
        <v>2.9874213836477988E-2</v>
      </c>
    </row>
    <row r="39" spans="1:16" x14ac:dyDescent="0.25">
      <c r="A39" s="8"/>
      <c r="B39" t="s">
        <v>33</v>
      </c>
      <c r="C39" s="5">
        <v>636</v>
      </c>
      <c r="D39" s="5">
        <v>125</v>
      </c>
      <c r="E39" s="5">
        <v>15</v>
      </c>
      <c r="F39" s="5">
        <v>66</v>
      </c>
      <c r="G39">
        <v>20</v>
      </c>
      <c r="H39">
        <v>62</v>
      </c>
      <c r="I39">
        <v>28</v>
      </c>
      <c r="K39" s="1">
        <f t="shared" si="0"/>
        <v>0.12</v>
      </c>
      <c r="L39" s="1">
        <f t="shared" si="1"/>
        <v>2.358490566037736E-2</v>
      </c>
      <c r="M39" s="1">
        <f t="shared" si="2"/>
        <v>0.30303030303030304</v>
      </c>
      <c r="N39" s="1">
        <f t="shared" si="3"/>
        <v>3.1446540880503145E-2</v>
      </c>
      <c r="O39" s="1">
        <f t="shared" si="4"/>
        <v>0.45161290322580644</v>
      </c>
      <c r="P39" s="1">
        <f t="shared" si="5"/>
        <v>4.40251572327044E-2</v>
      </c>
    </row>
    <row r="40" spans="1:16" x14ac:dyDescent="0.25">
      <c r="A40" s="8"/>
      <c r="B40" t="s">
        <v>34</v>
      </c>
      <c r="C40" s="5">
        <v>636</v>
      </c>
      <c r="D40" s="5">
        <v>108</v>
      </c>
      <c r="E40" s="5">
        <v>17</v>
      </c>
      <c r="F40" s="5">
        <v>107</v>
      </c>
      <c r="G40">
        <v>28</v>
      </c>
      <c r="H40">
        <v>41</v>
      </c>
      <c r="I40">
        <v>26</v>
      </c>
      <c r="K40" s="1">
        <f t="shared" si="0"/>
        <v>0.15740740740740741</v>
      </c>
      <c r="L40" s="1">
        <f t="shared" si="1"/>
        <v>2.6729559748427674E-2</v>
      </c>
      <c r="M40" s="1">
        <f t="shared" si="2"/>
        <v>0.26168224299065418</v>
      </c>
      <c r="N40" s="1">
        <f t="shared" si="3"/>
        <v>4.40251572327044E-2</v>
      </c>
      <c r="O40" s="1">
        <f t="shared" si="4"/>
        <v>0.63414634146341464</v>
      </c>
      <c r="P40" s="1">
        <f t="shared" si="5"/>
        <v>4.0880503144654086E-2</v>
      </c>
    </row>
    <row r="41" spans="1:16" x14ac:dyDescent="0.25">
      <c r="A41" s="8"/>
      <c r="B41" t="s">
        <v>35</v>
      </c>
      <c r="C41" s="5">
        <v>553</v>
      </c>
      <c r="D41" s="5">
        <v>83</v>
      </c>
      <c r="E41" s="5">
        <v>10</v>
      </c>
      <c r="F41" s="5">
        <v>78</v>
      </c>
      <c r="G41">
        <v>21</v>
      </c>
      <c r="H41">
        <v>59</v>
      </c>
      <c r="I41">
        <v>16</v>
      </c>
      <c r="K41" s="1">
        <f t="shared" si="0"/>
        <v>0.12048192771084337</v>
      </c>
      <c r="L41" s="1">
        <f t="shared" si="1"/>
        <v>1.8083182640144666E-2</v>
      </c>
      <c r="M41" s="1">
        <f t="shared" si="2"/>
        <v>0.26923076923076922</v>
      </c>
      <c r="N41" s="1">
        <f t="shared" si="3"/>
        <v>3.7974683544303799E-2</v>
      </c>
      <c r="O41" s="1">
        <f t="shared" si="4"/>
        <v>0.2711864406779661</v>
      </c>
      <c r="P41" s="1">
        <f t="shared" si="5"/>
        <v>2.8933092224231464E-2</v>
      </c>
    </row>
    <row r="42" spans="1:16" x14ac:dyDescent="0.25">
      <c r="A42" s="8"/>
      <c r="B42" t="s">
        <v>36</v>
      </c>
      <c r="C42" s="5">
        <v>152</v>
      </c>
      <c r="D42" s="5">
        <v>18</v>
      </c>
      <c r="E42" s="5">
        <v>6</v>
      </c>
      <c r="F42" s="5">
        <v>31</v>
      </c>
      <c r="G42">
        <v>9</v>
      </c>
      <c r="H42">
        <v>21</v>
      </c>
      <c r="I42">
        <v>10</v>
      </c>
      <c r="K42" s="1">
        <f t="shared" si="0"/>
        <v>0.33333333333333331</v>
      </c>
      <c r="L42" s="1">
        <f t="shared" si="1"/>
        <v>3.9473684210526314E-2</v>
      </c>
      <c r="M42" s="1">
        <f t="shared" si="2"/>
        <v>0.29032258064516131</v>
      </c>
      <c r="N42" s="1">
        <f t="shared" si="3"/>
        <v>5.921052631578947E-2</v>
      </c>
      <c r="O42" s="1">
        <f t="shared" si="4"/>
        <v>0.47619047619047616</v>
      </c>
      <c r="P42" s="1">
        <f t="shared" si="5"/>
        <v>6.5789473684210523E-2</v>
      </c>
    </row>
    <row r="43" spans="1:16" x14ac:dyDescent="0.25">
      <c r="A43" s="8"/>
      <c r="B43" t="s">
        <v>37</v>
      </c>
      <c r="C43" s="5">
        <v>636</v>
      </c>
      <c r="D43" s="5">
        <v>96</v>
      </c>
      <c r="E43" s="5">
        <v>13</v>
      </c>
      <c r="F43" s="5">
        <v>79</v>
      </c>
      <c r="G43">
        <v>24</v>
      </c>
      <c r="H43">
        <v>82</v>
      </c>
      <c r="I43">
        <v>23</v>
      </c>
      <c r="K43" s="1">
        <f t="shared" si="0"/>
        <v>0.13541666666666666</v>
      </c>
      <c r="L43" s="1">
        <f t="shared" si="1"/>
        <v>2.0440251572327043E-2</v>
      </c>
      <c r="M43" s="1">
        <f t="shared" si="2"/>
        <v>0.30379746835443039</v>
      </c>
      <c r="N43" s="1">
        <f t="shared" si="3"/>
        <v>3.7735849056603772E-2</v>
      </c>
      <c r="O43" s="1">
        <f t="shared" si="4"/>
        <v>0.28048780487804881</v>
      </c>
      <c r="P43" s="1">
        <f t="shared" si="5"/>
        <v>3.6163522012578615E-2</v>
      </c>
    </row>
    <row r="44" spans="1:16" x14ac:dyDescent="0.25">
      <c r="A44" s="8"/>
      <c r="B44" t="s">
        <v>38</v>
      </c>
      <c r="C44" s="5">
        <v>636</v>
      </c>
      <c r="D44" s="5">
        <v>134</v>
      </c>
      <c r="E44" s="5">
        <v>39</v>
      </c>
      <c r="F44" s="5">
        <v>85</v>
      </c>
      <c r="G44">
        <v>32</v>
      </c>
      <c r="H44">
        <v>71</v>
      </c>
      <c r="I44">
        <v>20</v>
      </c>
      <c r="K44" s="1">
        <f t="shared" si="0"/>
        <v>0.29104477611940299</v>
      </c>
      <c r="L44" s="1">
        <f t="shared" si="1"/>
        <v>6.1320754716981132E-2</v>
      </c>
      <c r="M44" s="1">
        <f t="shared" si="2"/>
        <v>0.37647058823529411</v>
      </c>
      <c r="N44" s="1">
        <f t="shared" si="3"/>
        <v>5.0314465408805034E-2</v>
      </c>
      <c r="O44" s="1">
        <f t="shared" si="4"/>
        <v>0.28169014084507044</v>
      </c>
      <c r="P44" s="1">
        <f t="shared" si="5"/>
        <v>3.1446540880503145E-2</v>
      </c>
    </row>
    <row r="45" spans="1:16" x14ac:dyDescent="0.25">
      <c r="A45" s="8" t="s">
        <v>62</v>
      </c>
      <c r="B45" t="s">
        <v>39</v>
      </c>
      <c r="C45" s="5">
        <v>662</v>
      </c>
      <c r="D45" s="5">
        <v>104</v>
      </c>
      <c r="E45" s="5">
        <v>17</v>
      </c>
      <c r="F45" s="5">
        <v>100</v>
      </c>
      <c r="G45">
        <v>30</v>
      </c>
      <c r="H45">
        <v>55</v>
      </c>
      <c r="I45">
        <v>28</v>
      </c>
      <c r="K45" s="1">
        <f t="shared" si="0"/>
        <v>0.16346153846153846</v>
      </c>
      <c r="L45" s="1">
        <f t="shared" si="1"/>
        <v>2.5679758308157101E-2</v>
      </c>
      <c r="M45" s="1">
        <f t="shared" si="2"/>
        <v>0.3</v>
      </c>
      <c r="N45" s="1">
        <f t="shared" si="3"/>
        <v>4.5317220543806644E-2</v>
      </c>
      <c r="O45" s="1">
        <f t="shared" si="4"/>
        <v>0.50909090909090904</v>
      </c>
      <c r="P45" s="1">
        <f t="shared" si="5"/>
        <v>4.2296072507552872E-2</v>
      </c>
    </row>
    <row r="46" spans="1:16" x14ac:dyDescent="0.25">
      <c r="A46" s="8"/>
      <c r="B46" t="s">
        <v>40</v>
      </c>
      <c r="C46" s="5">
        <v>668</v>
      </c>
      <c r="D46" s="5">
        <v>120</v>
      </c>
      <c r="E46" s="5">
        <v>21</v>
      </c>
      <c r="F46" s="5">
        <v>101</v>
      </c>
      <c r="G46">
        <v>28</v>
      </c>
      <c r="H46">
        <v>40</v>
      </c>
      <c r="I46">
        <v>15</v>
      </c>
      <c r="K46" s="1">
        <f t="shared" si="0"/>
        <v>0.17499999999999999</v>
      </c>
      <c r="L46" s="1">
        <f t="shared" si="1"/>
        <v>3.1437125748502992E-2</v>
      </c>
      <c r="M46" s="1">
        <f t="shared" si="2"/>
        <v>0.27722772277227725</v>
      </c>
      <c r="N46" s="1">
        <f t="shared" si="3"/>
        <v>4.1916167664670656E-2</v>
      </c>
      <c r="O46" s="1">
        <f t="shared" si="4"/>
        <v>0.375</v>
      </c>
      <c r="P46" s="1">
        <f t="shared" si="5"/>
        <v>2.2455089820359281E-2</v>
      </c>
    </row>
    <row r="47" spans="1:16" x14ac:dyDescent="0.25">
      <c r="A47" s="8"/>
      <c r="B47" t="s">
        <v>41</v>
      </c>
      <c r="C47" s="5">
        <v>889</v>
      </c>
      <c r="D47" s="5">
        <v>179</v>
      </c>
      <c r="E47" s="5">
        <v>37</v>
      </c>
      <c r="F47" s="5">
        <v>103</v>
      </c>
      <c r="G47">
        <v>25</v>
      </c>
      <c r="H47">
        <v>120</v>
      </c>
      <c r="I47">
        <v>36</v>
      </c>
      <c r="K47" s="1">
        <f t="shared" si="0"/>
        <v>0.20670391061452514</v>
      </c>
      <c r="L47" s="1">
        <f t="shared" si="1"/>
        <v>4.1619797525309338E-2</v>
      </c>
      <c r="M47" s="1">
        <f t="shared" si="2"/>
        <v>0.24271844660194175</v>
      </c>
      <c r="N47" s="1">
        <f t="shared" si="3"/>
        <v>2.81214848143982E-2</v>
      </c>
      <c r="O47" s="1">
        <f t="shared" si="4"/>
        <v>0.3</v>
      </c>
      <c r="P47" s="1">
        <f t="shared" si="5"/>
        <v>4.0494938132733409E-2</v>
      </c>
    </row>
    <row r="48" spans="1:16" x14ac:dyDescent="0.25">
      <c r="A48" s="8"/>
      <c r="B48" t="s">
        <v>42</v>
      </c>
      <c r="C48" s="5">
        <v>504</v>
      </c>
      <c r="D48" s="5">
        <v>80</v>
      </c>
      <c r="E48" s="5">
        <v>12</v>
      </c>
      <c r="F48" s="5">
        <v>47</v>
      </c>
      <c r="G48">
        <v>19</v>
      </c>
      <c r="H48">
        <v>46</v>
      </c>
      <c r="I48">
        <v>17</v>
      </c>
      <c r="K48" s="1">
        <f t="shared" si="0"/>
        <v>0.15</v>
      </c>
      <c r="L48" s="1">
        <f t="shared" si="1"/>
        <v>2.3809523809523808E-2</v>
      </c>
      <c r="M48" s="1">
        <f t="shared" si="2"/>
        <v>0.40425531914893614</v>
      </c>
      <c r="N48" s="1">
        <f t="shared" si="3"/>
        <v>3.7698412698412696E-2</v>
      </c>
      <c r="O48" s="1">
        <f t="shared" si="4"/>
        <v>0.36956521739130432</v>
      </c>
      <c r="P48" s="1">
        <f t="shared" si="5"/>
        <v>3.3730158730158728E-2</v>
      </c>
    </row>
    <row r="49" spans="1:16" x14ac:dyDescent="0.25">
      <c r="A49" s="8"/>
      <c r="B49" t="s">
        <v>43</v>
      </c>
      <c r="C49" s="5">
        <v>201</v>
      </c>
      <c r="D49" s="5">
        <v>49</v>
      </c>
      <c r="E49" s="5">
        <v>7</v>
      </c>
      <c r="F49" s="5">
        <v>35</v>
      </c>
      <c r="G49">
        <v>12</v>
      </c>
      <c r="H49">
        <v>14</v>
      </c>
      <c r="I49">
        <v>4</v>
      </c>
      <c r="K49" s="1">
        <f t="shared" si="0"/>
        <v>0.14285714285714285</v>
      </c>
      <c r="L49" s="1">
        <f t="shared" si="1"/>
        <v>3.482587064676617E-2</v>
      </c>
      <c r="M49" s="1">
        <f t="shared" si="2"/>
        <v>0.34285714285714286</v>
      </c>
      <c r="N49" s="1">
        <f t="shared" si="3"/>
        <v>5.9701492537313432E-2</v>
      </c>
      <c r="O49" s="1">
        <f t="shared" si="4"/>
        <v>0.2857142857142857</v>
      </c>
      <c r="P49" s="1">
        <f t="shared" si="5"/>
        <v>1.9900497512437811E-2</v>
      </c>
    </row>
    <row r="50" spans="1:16" x14ac:dyDescent="0.25">
      <c r="A50" s="8"/>
      <c r="B50" t="s">
        <v>44</v>
      </c>
      <c r="C50" s="5">
        <v>900</v>
      </c>
      <c r="D50" s="5">
        <v>195</v>
      </c>
      <c r="E50" s="5">
        <v>34</v>
      </c>
      <c r="F50" s="5">
        <v>151</v>
      </c>
      <c r="G50">
        <v>45</v>
      </c>
      <c r="H50">
        <v>83</v>
      </c>
      <c r="I50">
        <v>43</v>
      </c>
      <c r="K50" s="1">
        <f t="shared" si="0"/>
        <v>0.17435897435897435</v>
      </c>
      <c r="L50" s="1">
        <f t="shared" si="1"/>
        <v>3.7777777777777778E-2</v>
      </c>
      <c r="M50" s="1">
        <f t="shared" si="2"/>
        <v>0.29801324503311261</v>
      </c>
      <c r="N50" s="1">
        <f t="shared" si="3"/>
        <v>0.05</v>
      </c>
      <c r="O50" s="1">
        <f t="shared" si="4"/>
        <v>0.51807228915662651</v>
      </c>
      <c r="P50" s="1">
        <f t="shared" si="5"/>
        <v>4.777777777777778E-2</v>
      </c>
    </row>
    <row r="51" spans="1:16" x14ac:dyDescent="0.25">
      <c r="A51" s="8"/>
      <c r="B51" t="s">
        <v>45</v>
      </c>
      <c r="C51" s="5">
        <v>672</v>
      </c>
      <c r="D51" s="5">
        <v>161</v>
      </c>
      <c r="E51" s="5">
        <v>19</v>
      </c>
      <c r="F51" s="5">
        <v>109</v>
      </c>
      <c r="G51">
        <v>27</v>
      </c>
      <c r="H51">
        <v>120</v>
      </c>
      <c r="I51">
        <v>22</v>
      </c>
      <c r="K51" s="1">
        <f t="shared" si="0"/>
        <v>0.11801242236024845</v>
      </c>
      <c r="L51" s="1">
        <f t="shared" si="1"/>
        <v>2.8273809523809524E-2</v>
      </c>
      <c r="M51" s="1">
        <f t="shared" si="2"/>
        <v>0.24770642201834864</v>
      </c>
      <c r="N51" s="1">
        <f t="shared" si="3"/>
        <v>4.0178571428571432E-2</v>
      </c>
      <c r="O51" s="1">
        <f t="shared" si="4"/>
        <v>0.18333333333333332</v>
      </c>
      <c r="P51" s="1">
        <f t="shared" si="5"/>
        <v>3.273809523809524E-2</v>
      </c>
    </row>
    <row r="52" spans="1:16" x14ac:dyDescent="0.25">
      <c r="A52" s="8"/>
      <c r="B52" t="s">
        <v>46</v>
      </c>
      <c r="C52" s="5">
        <v>421</v>
      </c>
      <c r="D52" s="5">
        <v>27</v>
      </c>
      <c r="E52" s="5">
        <v>5</v>
      </c>
      <c r="F52" s="5">
        <v>49</v>
      </c>
      <c r="G52">
        <v>20</v>
      </c>
      <c r="H52">
        <v>36</v>
      </c>
      <c r="I52">
        <v>16</v>
      </c>
      <c r="K52" s="1">
        <f t="shared" si="0"/>
        <v>0.18518518518518517</v>
      </c>
      <c r="L52" s="1">
        <f t="shared" si="1"/>
        <v>1.1876484560570071E-2</v>
      </c>
      <c r="M52" s="1">
        <f t="shared" si="2"/>
        <v>0.40816326530612246</v>
      </c>
      <c r="N52" s="1">
        <f t="shared" si="3"/>
        <v>4.7505938242280284E-2</v>
      </c>
      <c r="O52" s="1">
        <f t="shared" si="4"/>
        <v>0.44444444444444442</v>
      </c>
      <c r="P52" s="1">
        <f t="shared" si="5"/>
        <v>3.800475059382423E-2</v>
      </c>
    </row>
    <row r="53" spans="1:16" x14ac:dyDescent="0.25">
      <c r="A53" s="8" t="s">
        <v>63</v>
      </c>
      <c r="B53" t="s">
        <v>47</v>
      </c>
      <c r="C53" s="5">
        <v>651</v>
      </c>
      <c r="D53" s="5">
        <v>86</v>
      </c>
      <c r="E53" s="5">
        <v>12</v>
      </c>
      <c r="F53" s="5">
        <v>86</v>
      </c>
      <c r="G53">
        <v>27</v>
      </c>
      <c r="H53">
        <v>82</v>
      </c>
      <c r="I53">
        <v>25</v>
      </c>
      <c r="K53" s="1">
        <f t="shared" si="0"/>
        <v>0.13953488372093023</v>
      </c>
      <c r="L53" s="1">
        <f t="shared" si="1"/>
        <v>1.8433179723502304E-2</v>
      </c>
      <c r="M53" s="1">
        <f t="shared" si="2"/>
        <v>0.31395348837209303</v>
      </c>
      <c r="N53" s="1">
        <f t="shared" si="3"/>
        <v>4.1474654377880185E-2</v>
      </c>
      <c r="O53" s="1">
        <f t="shared" si="4"/>
        <v>0.3048780487804878</v>
      </c>
      <c r="P53" s="1">
        <f t="shared" si="5"/>
        <v>3.840245775729647E-2</v>
      </c>
    </row>
    <row r="54" spans="1:16" x14ac:dyDescent="0.25">
      <c r="A54" s="8"/>
      <c r="B54" t="s">
        <v>48</v>
      </c>
      <c r="C54" s="5">
        <v>774</v>
      </c>
      <c r="D54" s="5">
        <v>69</v>
      </c>
      <c r="E54" s="5">
        <v>14</v>
      </c>
      <c r="F54" s="5">
        <v>88</v>
      </c>
      <c r="G54">
        <v>14</v>
      </c>
      <c r="H54">
        <v>86</v>
      </c>
      <c r="I54">
        <v>44</v>
      </c>
      <c r="K54" s="1">
        <f t="shared" si="0"/>
        <v>0.20289855072463769</v>
      </c>
      <c r="L54" s="1">
        <f t="shared" si="1"/>
        <v>1.8087855297157621E-2</v>
      </c>
      <c r="M54" s="1">
        <f t="shared" si="2"/>
        <v>0.15909090909090909</v>
      </c>
      <c r="N54" s="1">
        <f t="shared" si="3"/>
        <v>1.8087855297157621E-2</v>
      </c>
      <c r="O54" s="1">
        <f t="shared" si="4"/>
        <v>0.51162790697674421</v>
      </c>
      <c r="P54" s="1">
        <f t="shared" si="5"/>
        <v>5.6847545219638244E-2</v>
      </c>
    </row>
    <row r="55" spans="1:16" x14ac:dyDescent="0.25">
      <c r="A55" s="8"/>
      <c r="B55" t="s">
        <v>49</v>
      </c>
      <c r="C55" s="5">
        <v>169</v>
      </c>
      <c r="D55" s="5">
        <v>14</v>
      </c>
      <c r="E55" s="5">
        <v>3</v>
      </c>
      <c r="F55" s="5">
        <v>28</v>
      </c>
      <c r="G55">
        <v>8</v>
      </c>
      <c r="H55">
        <v>7</v>
      </c>
      <c r="I55">
        <v>4</v>
      </c>
      <c r="K55" s="1">
        <f t="shared" si="0"/>
        <v>0.21428571428571427</v>
      </c>
      <c r="L55" s="1">
        <f t="shared" si="1"/>
        <v>1.7751479289940829E-2</v>
      </c>
      <c r="M55" s="1">
        <f t="shared" si="2"/>
        <v>0.2857142857142857</v>
      </c>
      <c r="N55" s="1">
        <f t="shared" si="3"/>
        <v>4.7337278106508875E-2</v>
      </c>
      <c r="O55" s="1">
        <f t="shared" si="4"/>
        <v>0.5714285714285714</v>
      </c>
      <c r="P55" s="1">
        <f t="shared" si="5"/>
        <v>2.3668639053254437E-2</v>
      </c>
    </row>
    <row r="56" spans="1:16" x14ac:dyDescent="0.25">
      <c r="A56" s="8"/>
      <c r="B56" t="s">
        <v>50</v>
      </c>
      <c r="C56" s="5">
        <v>436</v>
      </c>
      <c r="D56" s="5">
        <v>45</v>
      </c>
      <c r="E56" s="5">
        <v>8</v>
      </c>
      <c r="F56" s="5">
        <v>57</v>
      </c>
      <c r="G56">
        <v>20</v>
      </c>
      <c r="H56">
        <v>69</v>
      </c>
      <c r="I56">
        <v>16</v>
      </c>
      <c r="K56" s="1">
        <f t="shared" si="0"/>
        <v>0.17777777777777778</v>
      </c>
      <c r="L56" s="1">
        <f t="shared" si="1"/>
        <v>1.834862385321101E-2</v>
      </c>
      <c r="M56" s="1">
        <f t="shared" si="2"/>
        <v>0.35087719298245612</v>
      </c>
      <c r="N56" s="1">
        <f t="shared" si="3"/>
        <v>4.5871559633027525E-2</v>
      </c>
      <c r="O56" s="1">
        <f t="shared" si="4"/>
        <v>0.2318840579710145</v>
      </c>
      <c r="P56" s="1">
        <f t="shared" si="5"/>
        <v>3.669724770642202E-2</v>
      </c>
    </row>
    <row r="57" spans="1:16" x14ac:dyDescent="0.25">
      <c r="A57" s="8"/>
      <c r="B57" t="s">
        <v>51</v>
      </c>
      <c r="C57" s="5">
        <v>636</v>
      </c>
      <c r="D57" s="5">
        <v>77</v>
      </c>
      <c r="E57" s="5">
        <v>3</v>
      </c>
      <c r="F57" s="5">
        <v>87</v>
      </c>
      <c r="G57">
        <v>15</v>
      </c>
      <c r="H57">
        <v>52</v>
      </c>
      <c r="I57">
        <v>12</v>
      </c>
      <c r="K57" s="1">
        <f t="shared" si="0"/>
        <v>3.896103896103896E-2</v>
      </c>
      <c r="L57" s="1">
        <f t="shared" si="1"/>
        <v>4.7169811320754715E-3</v>
      </c>
      <c r="M57" s="1">
        <f t="shared" si="2"/>
        <v>0.17241379310344829</v>
      </c>
      <c r="N57" s="1">
        <f t="shared" si="3"/>
        <v>2.358490566037736E-2</v>
      </c>
      <c r="O57" s="1">
        <f t="shared" si="4"/>
        <v>0.23076923076923078</v>
      </c>
      <c r="P57" s="1">
        <f t="shared" si="5"/>
        <v>1.8867924528301886E-2</v>
      </c>
    </row>
    <row r="58" spans="1:16" x14ac:dyDescent="0.25">
      <c r="A58" s="8" t="s">
        <v>64</v>
      </c>
      <c r="B58" t="s">
        <v>47</v>
      </c>
      <c r="C58" s="5">
        <v>667</v>
      </c>
      <c r="D58" s="5">
        <v>103</v>
      </c>
      <c r="E58" s="5">
        <v>16</v>
      </c>
      <c r="F58" s="5">
        <v>102</v>
      </c>
      <c r="G58">
        <v>30</v>
      </c>
      <c r="H58">
        <v>89</v>
      </c>
      <c r="I58">
        <v>28</v>
      </c>
      <c r="K58" s="1">
        <f t="shared" si="0"/>
        <v>0.1553398058252427</v>
      </c>
      <c r="L58" s="1">
        <f t="shared" si="1"/>
        <v>2.3988005997001498E-2</v>
      </c>
      <c r="M58" s="1">
        <f t="shared" si="2"/>
        <v>0.29411764705882354</v>
      </c>
      <c r="N58" s="1">
        <f t="shared" si="3"/>
        <v>4.4977511244377814E-2</v>
      </c>
      <c r="O58" s="1">
        <f t="shared" si="4"/>
        <v>0.3146067415730337</v>
      </c>
      <c r="P58" s="1">
        <f t="shared" si="5"/>
        <v>4.1979010494752625E-2</v>
      </c>
    </row>
    <row r="59" spans="1:16" x14ac:dyDescent="0.25">
      <c r="A59" s="8"/>
      <c r="B59" t="s">
        <v>48</v>
      </c>
      <c r="C59" s="5">
        <v>790</v>
      </c>
      <c r="D59" s="5">
        <v>109</v>
      </c>
      <c r="E59" s="5">
        <v>17</v>
      </c>
      <c r="F59" s="5">
        <v>99</v>
      </c>
      <c r="G59">
        <v>20</v>
      </c>
      <c r="H59">
        <v>91</v>
      </c>
      <c r="I59">
        <v>43</v>
      </c>
      <c r="K59" s="1">
        <f t="shared" si="0"/>
        <v>0.15596330275229359</v>
      </c>
      <c r="L59" s="1">
        <f t="shared" si="1"/>
        <v>2.1518987341772152E-2</v>
      </c>
      <c r="M59" s="1">
        <f t="shared" si="2"/>
        <v>0.20202020202020202</v>
      </c>
      <c r="N59" s="1">
        <f t="shared" si="3"/>
        <v>2.5316455696202531E-2</v>
      </c>
      <c r="O59" s="1">
        <f t="shared" si="4"/>
        <v>0.47252747252747251</v>
      </c>
      <c r="P59" s="1">
        <f t="shared" si="5"/>
        <v>5.4430379746835442E-2</v>
      </c>
    </row>
    <row r="60" spans="1:16" x14ac:dyDescent="0.25">
      <c r="A60" s="8"/>
      <c r="B60" t="s">
        <v>49</v>
      </c>
      <c r="C60" s="5">
        <v>172</v>
      </c>
      <c r="D60" s="5">
        <v>23</v>
      </c>
      <c r="E60" s="5">
        <v>7</v>
      </c>
      <c r="F60" s="5">
        <v>26</v>
      </c>
      <c r="G60">
        <v>9</v>
      </c>
      <c r="H60">
        <v>8</v>
      </c>
      <c r="I60">
        <v>5</v>
      </c>
      <c r="K60" s="1">
        <f t="shared" si="0"/>
        <v>0.30434782608695654</v>
      </c>
      <c r="L60" s="1">
        <f t="shared" si="1"/>
        <v>4.0697674418604654E-2</v>
      </c>
      <c r="M60" s="1">
        <f t="shared" si="2"/>
        <v>0.34615384615384615</v>
      </c>
      <c r="N60" s="1">
        <f t="shared" si="3"/>
        <v>5.232558139534884E-2</v>
      </c>
      <c r="O60" s="1">
        <f t="shared" si="4"/>
        <v>0.625</v>
      </c>
      <c r="P60" s="1">
        <f t="shared" si="5"/>
        <v>2.9069767441860465E-2</v>
      </c>
    </row>
    <row r="61" spans="1:16" x14ac:dyDescent="0.25">
      <c r="A61" s="8"/>
      <c r="B61" t="s">
        <v>50</v>
      </c>
      <c r="C61" s="5">
        <v>446</v>
      </c>
      <c r="D61" s="5">
        <v>56</v>
      </c>
      <c r="E61" s="5">
        <v>9</v>
      </c>
      <c r="F61" s="5">
        <v>41</v>
      </c>
      <c r="G61">
        <v>13</v>
      </c>
      <c r="H61">
        <v>48</v>
      </c>
      <c r="I61">
        <v>11</v>
      </c>
      <c r="K61" s="1">
        <f t="shared" si="0"/>
        <v>0.16071428571428573</v>
      </c>
      <c r="L61" s="1">
        <f t="shared" si="1"/>
        <v>2.0179372197309416E-2</v>
      </c>
      <c r="M61" s="1">
        <f t="shared" si="2"/>
        <v>0.31707317073170732</v>
      </c>
      <c r="N61" s="1">
        <f t="shared" si="3"/>
        <v>2.914798206278027E-2</v>
      </c>
      <c r="O61" s="1">
        <f t="shared" si="4"/>
        <v>0.22916666666666666</v>
      </c>
      <c r="P61" s="1">
        <f t="shared" si="5"/>
        <v>2.4663677130044841E-2</v>
      </c>
    </row>
    <row r="62" spans="1:16" x14ac:dyDescent="0.25">
      <c r="A62" s="8"/>
      <c r="B62" t="s">
        <v>51</v>
      </c>
      <c r="C62" s="5">
        <v>644</v>
      </c>
      <c r="D62" s="5">
        <v>118</v>
      </c>
      <c r="E62" s="5">
        <v>12</v>
      </c>
      <c r="F62" s="5">
        <v>92</v>
      </c>
      <c r="G62">
        <v>10</v>
      </c>
      <c r="H62">
        <v>52</v>
      </c>
      <c r="I62">
        <v>12</v>
      </c>
      <c r="K62" s="1">
        <f t="shared" si="0"/>
        <v>0.10169491525423729</v>
      </c>
      <c r="L62" s="1">
        <f t="shared" si="1"/>
        <v>1.8633540372670808E-2</v>
      </c>
      <c r="M62" s="1">
        <f t="shared" si="2"/>
        <v>0.10869565217391304</v>
      </c>
      <c r="N62" s="1">
        <f t="shared" si="3"/>
        <v>1.5527950310559006E-2</v>
      </c>
      <c r="O62" s="1">
        <f t="shared" si="4"/>
        <v>0.23076923076923078</v>
      </c>
      <c r="P62" s="1">
        <f t="shared" si="5"/>
        <v>1.8633540372670808E-2</v>
      </c>
    </row>
    <row r="63" spans="1:16" x14ac:dyDescent="0.25">
      <c r="A63" s="8" t="s">
        <v>65</v>
      </c>
      <c r="B63" t="s">
        <v>52</v>
      </c>
      <c r="C63" s="5">
        <v>583</v>
      </c>
      <c r="D63" s="5">
        <v>85</v>
      </c>
      <c r="E63" s="5">
        <v>13</v>
      </c>
      <c r="F63" s="5">
        <v>70</v>
      </c>
      <c r="G63">
        <v>13</v>
      </c>
      <c r="H63">
        <v>61</v>
      </c>
      <c r="I63">
        <v>22</v>
      </c>
      <c r="K63" s="1">
        <f t="shared" si="0"/>
        <v>0.15294117647058825</v>
      </c>
      <c r="L63" s="1">
        <f t="shared" si="1"/>
        <v>2.2298456260720412E-2</v>
      </c>
      <c r="M63" s="1">
        <f t="shared" si="2"/>
        <v>0.18571428571428572</v>
      </c>
      <c r="N63" s="1">
        <f t="shared" si="3"/>
        <v>2.2298456260720412E-2</v>
      </c>
      <c r="O63" s="1">
        <f t="shared" si="4"/>
        <v>0.36065573770491804</v>
      </c>
      <c r="P63" s="1">
        <f t="shared" si="5"/>
        <v>3.7735849056603772E-2</v>
      </c>
    </row>
    <row r="64" spans="1:16" x14ac:dyDescent="0.25">
      <c r="A64" s="8"/>
      <c r="B64" t="s">
        <v>53</v>
      </c>
      <c r="C64" s="5">
        <v>583</v>
      </c>
      <c r="D64" s="5">
        <v>74</v>
      </c>
      <c r="E64" s="5">
        <v>10</v>
      </c>
      <c r="F64" s="5">
        <v>70</v>
      </c>
      <c r="G64">
        <v>21</v>
      </c>
      <c r="H64">
        <v>37</v>
      </c>
      <c r="I64">
        <v>22</v>
      </c>
      <c r="K64" s="1">
        <f t="shared" si="0"/>
        <v>0.13513513513513514</v>
      </c>
      <c r="L64" s="1">
        <f t="shared" si="1"/>
        <v>1.7152658662092625E-2</v>
      </c>
      <c r="M64" s="1">
        <f t="shared" si="2"/>
        <v>0.3</v>
      </c>
      <c r="N64" s="1">
        <f t="shared" si="3"/>
        <v>3.6020583190394515E-2</v>
      </c>
      <c r="O64" s="1">
        <f t="shared" si="4"/>
        <v>0.59459459459459463</v>
      </c>
      <c r="P64" s="1">
        <f t="shared" si="5"/>
        <v>3.7735849056603772E-2</v>
      </c>
    </row>
    <row r="65" spans="1:17" x14ac:dyDescent="0.25">
      <c r="A65" s="8"/>
      <c r="B65" t="s">
        <v>54</v>
      </c>
      <c r="C65" s="5">
        <v>583</v>
      </c>
      <c r="D65" s="5">
        <v>109</v>
      </c>
      <c r="E65" s="5">
        <v>37</v>
      </c>
      <c r="F65" s="5">
        <v>93</v>
      </c>
      <c r="G65">
        <v>43</v>
      </c>
      <c r="H65">
        <v>86</v>
      </c>
      <c r="I65">
        <v>35</v>
      </c>
      <c r="K65" s="1">
        <f t="shared" si="0"/>
        <v>0.33944954128440369</v>
      </c>
      <c r="L65" s="1">
        <f t="shared" si="1"/>
        <v>6.3464837049742706E-2</v>
      </c>
      <c r="M65" s="1">
        <f t="shared" si="2"/>
        <v>0.46236559139784944</v>
      </c>
      <c r="N65" s="1">
        <f t="shared" si="3"/>
        <v>7.375643224699828E-2</v>
      </c>
      <c r="O65" s="1">
        <f t="shared" si="4"/>
        <v>0.40697674418604651</v>
      </c>
      <c r="P65" s="1">
        <f t="shared" si="5"/>
        <v>6.0034305317324184E-2</v>
      </c>
    </row>
    <row r="66" spans="1:17" x14ac:dyDescent="0.25">
      <c r="A66" s="8"/>
      <c r="B66" t="s">
        <v>55</v>
      </c>
      <c r="C66" s="5">
        <v>583</v>
      </c>
      <c r="D66" s="5">
        <v>69</v>
      </c>
      <c r="E66" s="5">
        <v>13</v>
      </c>
      <c r="F66" s="5">
        <v>84</v>
      </c>
      <c r="G66">
        <v>24</v>
      </c>
      <c r="H66">
        <v>102</v>
      </c>
      <c r="I66">
        <v>32</v>
      </c>
      <c r="K66" s="1">
        <f t="shared" si="0"/>
        <v>0.18840579710144928</v>
      </c>
      <c r="L66" s="1">
        <f t="shared" si="1"/>
        <v>2.2298456260720412E-2</v>
      </c>
      <c r="M66" s="1">
        <f t="shared" si="2"/>
        <v>0.2857142857142857</v>
      </c>
      <c r="N66" s="1">
        <f t="shared" si="3"/>
        <v>4.1166380789022301E-2</v>
      </c>
      <c r="O66" s="1">
        <f t="shared" si="4"/>
        <v>0.31372549019607843</v>
      </c>
      <c r="P66" s="1">
        <f t="shared" si="5"/>
        <v>5.4888507718696397E-2</v>
      </c>
    </row>
    <row r="67" spans="1:17" x14ac:dyDescent="0.25">
      <c r="A67" s="8"/>
      <c r="B67" t="s">
        <v>56</v>
      </c>
      <c r="C67" s="5">
        <v>583</v>
      </c>
      <c r="D67" s="5">
        <v>74</v>
      </c>
      <c r="E67" s="5">
        <v>15</v>
      </c>
      <c r="F67" s="5">
        <v>86</v>
      </c>
      <c r="G67">
        <v>31</v>
      </c>
      <c r="H67">
        <v>67</v>
      </c>
      <c r="I67">
        <v>23</v>
      </c>
      <c r="K67" s="1">
        <f t="shared" si="0"/>
        <v>0.20270270270270271</v>
      </c>
      <c r="L67" s="1">
        <f t="shared" si="1"/>
        <v>2.5728987993138937E-2</v>
      </c>
      <c r="M67" s="1">
        <f t="shared" si="2"/>
        <v>0.36046511627906974</v>
      </c>
      <c r="N67" s="1">
        <f t="shared" si="3"/>
        <v>5.3173241852487133E-2</v>
      </c>
      <c r="O67" s="1">
        <f t="shared" si="4"/>
        <v>0.34328358208955223</v>
      </c>
      <c r="P67" s="1">
        <f t="shared" si="5"/>
        <v>3.9451114922813037E-2</v>
      </c>
    </row>
    <row r="68" spans="1:17" x14ac:dyDescent="0.25">
      <c r="A68" s="8"/>
      <c r="B68" t="s">
        <v>57</v>
      </c>
      <c r="C68" s="5">
        <v>583</v>
      </c>
      <c r="D68" s="5">
        <v>81</v>
      </c>
      <c r="E68" s="5">
        <v>27</v>
      </c>
      <c r="F68" s="5">
        <v>70</v>
      </c>
      <c r="G68">
        <v>16</v>
      </c>
      <c r="H68">
        <v>68</v>
      </c>
      <c r="I68">
        <v>18</v>
      </c>
      <c r="K68" s="1">
        <f t="shared" ref="K68:K76" si="6">E68/D68</f>
        <v>0.33333333333333331</v>
      </c>
      <c r="L68" s="1">
        <f t="shared" ref="L68:L76" si="7">E68/$C68</f>
        <v>4.6312178387650088E-2</v>
      </c>
      <c r="M68" s="1">
        <f t="shared" ref="M68:M76" si="8">G68/F68</f>
        <v>0.22857142857142856</v>
      </c>
      <c r="N68" s="1">
        <f t="shared" ref="N68:N76" si="9">G68/$C68</f>
        <v>2.7444253859348199E-2</v>
      </c>
      <c r="O68" s="1">
        <f t="shared" ref="O68:O76" si="10">I68/H68</f>
        <v>0.26470588235294118</v>
      </c>
      <c r="P68" s="1">
        <f t="shared" ref="P68:P76" si="11">I68/$C68</f>
        <v>3.0874785591766724E-2</v>
      </c>
    </row>
    <row r="69" spans="1:17" x14ac:dyDescent="0.25">
      <c r="A69" s="8"/>
      <c r="B69" t="s">
        <v>58</v>
      </c>
      <c r="C69" s="5">
        <v>583</v>
      </c>
      <c r="D69" s="5">
        <v>105</v>
      </c>
      <c r="E69" s="5">
        <v>13</v>
      </c>
      <c r="F69" s="5">
        <v>89</v>
      </c>
      <c r="G69">
        <v>36</v>
      </c>
      <c r="H69">
        <v>50</v>
      </c>
      <c r="I69">
        <v>19</v>
      </c>
      <c r="K69" s="1">
        <f t="shared" si="6"/>
        <v>0.12380952380952381</v>
      </c>
      <c r="L69" s="1">
        <f t="shared" si="7"/>
        <v>2.2298456260720412E-2</v>
      </c>
      <c r="M69" s="1">
        <f t="shared" si="8"/>
        <v>0.4044943820224719</v>
      </c>
      <c r="N69" s="1">
        <f t="shared" si="9"/>
        <v>6.1749571183533448E-2</v>
      </c>
      <c r="O69" s="1">
        <f t="shared" si="10"/>
        <v>0.38</v>
      </c>
      <c r="P69" s="1">
        <f t="shared" si="11"/>
        <v>3.2590051457975985E-2</v>
      </c>
    </row>
    <row r="70" spans="1:17" x14ac:dyDescent="0.25">
      <c r="A70" s="8" t="s">
        <v>68</v>
      </c>
      <c r="B70" t="s">
        <v>52</v>
      </c>
      <c r="C70" s="5">
        <v>583</v>
      </c>
      <c r="D70" s="5">
        <v>62</v>
      </c>
      <c r="E70" s="5">
        <v>12</v>
      </c>
      <c r="F70" s="5">
        <v>70</v>
      </c>
      <c r="G70">
        <v>14</v>
      </c>
      <c r="H70">
        <v>60</v>
      </c>
      <c r="I70">
        <v>16</v>
      </c>
      <c r="K70" s="1">
        <f t="shared" si="6"/>
        <v>0.19354838709677419</v>
      </c>
      <c r="L70" s="1">
        <f t="shared" si="7"/>
        <v>2.0583190394511151E-2</v>
      </c>
      <c r="M70" s="1">
        <f t="shared" si="8"/>
        <v>0.2</v>
      </c>
      <c r="N70" s="1">
        <f t="shared" si="9"/>
        <v>2.4013722126929673E-2</v>
      </c>
      <c r="O70" s="1">
        <f t="shared" si="10"/>
        <v>0.26666666666666666</v>
      </c>
      <c r="P70" s="1">
        <f t="shared" si="11"/>
        <v>2.7444253859348199E-2</v>
      </c>
    </row>
    <row r="71" spans="1:17" x14ac:dyDescent="0.25">
      <c r="A71" s="8"/>
      <c r="B71" t="s">
        <v>53</v>
      </c>
      <c r="C71" s="5">
        <v>583</v>
      </c>
      <c r="D71" s="5">
        <v>70</v>
      </c>
      <c r="E71" s="5">
        <v>13</v>
      </c>
      <c r="F71" s="5">
        <v>72</v>
      </c>
      <c r="G71">
        <v>26</v>
      </c>
      <c r="H71">
        <v>33</v>
      </c>
      <c r="I71">
        <v>21</v>
      </c>
      <c r="K71" s="1">
        <f t="shared" si="6"/>
        <v>0.18571428571428572</v>
      </c>
      <c r="L71" s="1">
        <f t="shared" si="7"/>
        <v>2.2298456260720412E-2</v>
      </c>
      <c r="M71" s="1">
        <f t="shared" si="8"/>
        <v>0.3611111111111111</v>
      </c>
      <c r="N71" s="1">
        <f t="shared" si="9"/>
        <v>4.4596912521440824E-2</v>
      </c>
      <c r="O71" s="1">
        <f t="shared" si="10"/>
        <v>0.63636363636363635</v>
      </c>
      <c r="P71" s="1">
        <f t="shared" si="11"/>
        <v>3.6020583190394515E-2</v>
      </c>
    </row>
    <row r="72" spans="1:17" x14ac:dyDescent="0.25">
      <c r="A72" s="8"/>
      <c r="B72" t="s">
        <v>54</v>
      </c>
      <c r="C72" s="5">
        <v>583</v>
      </c>
      <c r="D72" s="5">
        <v>75</v>
      </c>
      <c r="E72" s="5">
        <v>21</v>
      </c>
      <c r="F72" s="5">
        <v>89</v>
      </c>
      <c r="G72">
        <v>38</v>
      </c>
      <c r="H72">
        <v>77</v>
      </c>
      <c r="I72">
        <v>29</v>
      </c>
      <c r="K72" s="1">
        <f t="shared" si="6"/>
        <v>0.28000000000000003</v>
      </c>
      <c r="L72" s="1">
        <f t="shared" si="7"/>
        <v>3.6020583190394515E-2</v>
      </c>
      <c r="M72" s="1">
        <f t="shared" si="8"/>
        <v>0.42696629213483145</v>
      </c>
      <c r="N72" s="1">
        <f t="shared" si="9"/>
        <v>6.5180102915951971E-2</v>
      </c>
      <c r="O72" s="1">
        <f t="shared" si="10"/>
        <v>0.37662337662337664</v>
      </c>
      <c r="P72" s="1">
        <f t="shared" si="11"/>
        <v>4.974271012006861E-2</v>
      </c>
    </row>
    <row r="73" spans="1:17" x14ac:dyDescent="0.25">
      <c r="A73" s="8"/>
      <c r="B73" t="s">
        <v>55</v>
      </c>
      <c r="C73" s="5">
        <v>583</v>
      </c>
      <c r="D73" s="5">
        <v>50</v>
      </c>
      <c r="E73" s="5">
        <v>10</v>
      </c>
      <c r="F73" s="5">
        <v>85</v>
      </c>
      <c r="G73">
        <v>38</v>
      </c>
      <c r="H73">
        <v>90</v>
      </c>
      <c r="I73">
        <v>24</v>
      </c>
      <c r="K73" s="1">
        <f t="shared" si="6"/>
        <v>0.2</v>
      </c>
      <c r="L73" s="1">
        <f t="shared" si="7"/>
        <v>1.7152658662092625E-2</v>
      </c>
      <c r="M73" s="1">
        <f t="shared" si="8"/>
        <v>0.44705882352941179</v>
      </c>
      <c r="N73" s="1">
        <f t="shared" si="9"/>
        <v>6.5180102915951971E-2</v>
      </c>
      <c r="O73" s="1">
        <f t="shared" si="10"/>
        <v>0.26666666666666666</v>
      </c>
      <c r="P73" s="1">
        <f t="shared" si="11"/>
        <v>4.1166380789022301E-2</v>
      </c>
    </row>
    <row r="74" spans="1:17" x14ac:dyDescent="0.25">
      <c r="A74" s="8"/>
      <c r="B74" t="s">
        <v>56</v>
      </c>
      <c r="C74" s="5">
        <v>583</v>
      </c>
      <c r="D74" s="5">
        <v>64</v>
      </c>
      <c r="E74" s="5">
        <v>7</v>
      </c>
      <c r="F74" s="5">
        <v>87</v>
      </c>
      <c r="G74">
        <v>24</v>
      </c>
      <c r="H74">
        <v>74</v>
      </c>
      <c r="I74">
        <v>15</v>
      </c>
      <c r="K74" s="1">
        <f t="shared" si="6"/>
        <v>0.109375</v>
      </c>
      <c r="L74" s="1">
        <f t="shared" si="7"/>
        <v>1.2006861063464836E-2</v>
      </c>
      <c r="M74" s="1">
        <f t="shared" si="8"/>
        <v>0.27586206896551724</v>
      </c>
      <c r="N74" s="1">
        <f t="shared" si="9"/>
        <v>4.1166380789022301E-2</v>
      </c>
      <c r="O74" s="1">
        <f t="shared" si="10"/>
        <v>0.20270270270270271</v>
      </c>
      <c r="P74" s="1">
        <f t="shared" si="11"/>
        <v>2.5728987993138937E-2</v>
      </c>
    </row>
    <row r="75" spans="1:17" x14ac:dyDescent="0.25">
      <c r="A75" s="8"/>
      <c r="B75" t="s">
        <v>57</v>
      </c>
      <c r="C75" s="5">
        <v>583</v>
      </c>
      <c r="D75" s="5">
        <v>48</v>
      </c>
      <c r="E75" s="5">
        <v>16</v>
      </c>
      <c r="F75" s="5">
        <v>87</v>
      </c>
      <c r="G75">
        <v>28</v>
      </c>
      <c r="H75">
        <v>78</v>
      </c>
      <c r="I75">
        <v>24</v>
      </c>
      <c r="K75" s="1">
        <f t="shared" si="6"/>
        <v>0.33333333333333331</v>
      </c>
      <c r="L75" s="1">
        <f t="shared" si="7"/>
        <v>2.7444253859348199E-2</v>
      </c>
      <c r="M75" s="1">
        <f t="shared" si="8"/>
        <v>0.32183908045977011</v>
      </c>
      <c r="N75" s="1">
        <f t="shared" si="9"/>
        <v>4.8027444253859346E-2</v>
      </c>
      <c r="O75" s="1">
        <f t="shared" si="10"/>
        <v>0.30769230769230771</v>
      </c>
      <c r="P75" s="1">
        <f t="shared" si="11"/>
        <v>4.1166380789022301E-2</v>
      </c>
    </row>
    <row r="76" spans="1:17" x14ac:dyDescent="0.25">
      <c r="A76" s="8"/>
      <c r="B76" t="s">
        <v>58</v>
      </c>
      <c r="C76" s="5">
        <v>583</v>
      </c>
      <c r="D76" s="5">
        <v>86</v>
      </c>
      <c r="E76" s="5">
        <v>14</v>
      </c>
      <c r="F76" s="5">
        <v>70</v>
      </c>
      <c r="G76">
        <v>27</v>
      </c>
      <c r="H76">
        <v>36</v>
      </c>
      <c r="I76">
        <v>17</v>
      </c>
      <c r="K76" s="1">
        <f t="shared" si="6"/>
        <v>0.16279069767441862</v>
      </c>
      <c r="L76" s="1">
        <f t="shared" si="7"/>
        <v>2.4013722126929673E-2</v>
      </c>
      <c r="M76" s="1">
        <f t="shared" si="8"/>
        <v>0.38571428571428573</v>
      </c>
      <c r="N76" s="1">
        <f t="shared" si="9"/>
        <v>4.6312178387650088E-2</v>
      </c>
      <c r="O76" s="1">
        <f t="shared" si="10"/>
        <v>0.47222222222222221</v>
      </c>
      <c r="P76" s="1">
        <f t="shared" si="11"/>
        <v>2.9159519725557463E-2</v>
      </c>
    </row>
    <row r="78" spans="1:17" x14ac:dyDescent="0.25">
      <c r="B78" s="2" t="s">
        <v>2</v>
      </c>
      <c r="C78" s="3">
        <f t="shared" ref="C78:E78" si="12">AVERAGE(C3:C10)</f>
        <v>604.125</v>
      </c>
      <c r="D78" s="3">
        <f t="shared" si="12"/>
        <v>187</v>
      </c>
      <c r="E78" s="3">
        <f t="shared" si="12"/>
        <v>36.875</v>
      </c>
      <c r="F78" s="3">
        <f>AVERAGE(F3:F10)</f>
        <v>90</v>
      </c>
      <c r="G78" s="3">
        <f t="shared" ref="G78:I78" si="13">AVERAGE(G3:G10)</f>
        <v>26.5</v>
      </c>
      <c r="H78" s="3">
        <f t="shared" si="13"/>
        <v>66.5</v>
      </c>
      <c r="I78" s="3">
        <f t="shared" si="13"/>
        <v>24.625</v>
      </c>
      <c r="K78" s="3">
        <f t="shared" ref="K78:P78" si="14">AVERAGE(K3:K10)</f>
        <v>0.2042277774471303</v>
      </c>
      <c r="L78" s="3">
        <f t="shared" si="14"/>
        <v>6.2004282080275697E-2</v>
      </c>
      <c r="M78" s="3">
        <f t="shared" si="14"/>
        <v>0.29492071261856601</v>
      </c>
      <c r="N78" s="3">
        <f t="shared" si="14"/>
        <v>4.4492895401483143E-2</v>
      </c>
      <c r="O78" s="3">
        <f t="shared" si="14"/>
        <v>0.36406921428721195</v>
      </c>
      <c r="P78" s="3">
        <f t="shared" si="14"/>
        <v>3.9822094662389493E-2</v>
      </c>
    </row>
    <row r="79" spans="1:17" x14ac:dyDescent="0.25">
      <c r="B79" s="2" t="s">
        <v>3</v>
      </c>
      <c r="C79" s="3">
        <f t="shared" ref="C79:E79" si="15">AVERAGE(C11:C18)</f>
        <v>667</v>
      </c>
      <c r="D79" s="3">
        <f t="shared" si="15"/>
        <v>136</v>
      </c>
      <c r="E79" s="3">
        <f t="shared" si="15"/>
        <v>22.125</v>
      </c>
      <c r="F79" s="3">
        <f>AVERAGE(F11:F18)</f>
        <v>99.75</v>
      </c>
      <c r="G79" s="3">
        <f t="shared" ref="G79:I79" si="16">AVERAGE(G11:G18)</f>
        <v>28.25</v>
      </c>
      <c r="H79" s="3">
        <f t="shared" si="16"/>
        <v>74.875</v>
      </c>
      <c r="I79" s="3">
        <f t="shared" si="16"/>
        <v>23.25</v>
      </c>
      <c r="J79" s="2"/>
      <c r="K79" s="3">
        <f t="shared" ref="K79:P79" si="17">AVERAGE(K11:K18)</f>
        <v>0.16837615757266713</v>
      </c>
      <c r="L79" s="3">
        <f t="shared" si="17"/>
        <v>3.4259466147833678E-2</v>
      </c>
      <c r="M79" s="3">
        <f t="shared" si="17"/>
        <v>0.28437347844453248</v>
      </c>
      <c r="N79" s="3">
        <f t="shared" si="17"/>
        <v>4.2353689993161109E-2</v>
      </c>
      <c r="O79" s="3">
        <f t="shared" si="17"/>
        <v>0.30340984445479752</v>
      </c>
      <c r="P79" s="3">
        <f t="shared" si="17"/>
        <v>3.350985441178813E-2</v>
      </c>
      <c r="Q79" s="5"/>
    </row>
    <row r="80" spans="1:17" x14ac:dyDescent="0.25">
      <c r="B80" s="2" t="s">
        <v>10</v>
      </c>
      <c r="C80" s="3">
        <f t="shared" ref="C80:E80" si="18">AVERAGE(C19:C26)</f>
        <v>678</v>
      </c>
      <c r="D80" s="3">
        <f t="shared" si="18"/>
        <v>131.75</v>
      </c>
      <c r="E80" s="3">
        <f t="shared" si="18"/>
        <v>23.875</v>
      </c>
      <c r="F80" s="3">
        <f>AVERAGE(F19:F26)</f>
        <v>94.625</v>
      </c>
      <c r="G80" s="3">
        <f t="shared" ref="G80:I80" si="19">AVERAGE(G19:G26)</f>
        <v>25.375</v>
      </c>
      <c r="H80" s="3">
        <f t="shared" si="19"/>
        <v>69.375</v>
      </c>
      <c r="I80" s="3">
        <f t="shared" si="19"/>
        <v>20.5</v>
      </c>
      <c r="J80" s="2"/>
      <c r="K80" s="3">
        <f t="shared" ref="K80:P80" si="20">AVERAGE(K19:K26)</f>
        <v>0.18287483289697626</v>
      </c>
      <c r="L80" s="3">
        <f t="shared" si="20"/>
        <v>3.5878793522788971E-2</v>
      </c>
      <c r="M80" s="3">
        <f t="shared" si="20"/>
        <v>0.27493556044061207</v>
      </c>
      <c r="N80" s="3">
        <f t="shared" si="20"/>
        <v>3.8570572559838166E-2</v>
      </c>
      <c r="O80" s="3">
        <f t="shared" si="20"/>
        <v>0.29749464065604331</v>
      </c>
      <c r="P80" s="3">
        <f t="shared" si="20"/>
        <v>3.0254974279122229E-2</v>
      </c>
      <c r="Q80" s="5"/>
    </row>
    <row r="81" spans="2:16" x14ac:dyDescent="0.25">
      <c r="B81" s="2" t="s">
        <v>0</v>
      </c>
      <c r="C81" s="3">
        <f t="shared" ref="C81:E81" si="21">AVERAGE(C27:C35)</f>
        <v>574.33333333333337</v>
      </c>
      <c r="D81" s="3">
        <f t="shared" si="21"/>
        <v>126</v>
      </c>
      <c r="E81" s="3">
        <f t="shared" si="21"/>
        <v>25.444444444444443</v>
      </c>
      <c r="F81" s="3">
        <f>AVERAGE(F27:F35)</f>
        <v>81.555555555555557</v>
      </c>
      <c r="G81" s="3">
        <f t="shared" ref="G81:I81" si="22">AVERAGE(G27:G35)</f>
        <v>24.888888888888889</v>
      </c>
      <c r="H81" s="3">
        <f t="shared" si="22"/>
        <v>61.222222222222221</v>
      </c>
      <c r="I81" s="3">
        <f t="shared" si="22"/>
        <v>22.333333333333332</v>
      </c>
      <c r="K81" s="3">
        <f t="shared" ref="K81:P81" si="23">AVERAGE(K27:K35)</f>
        <v>0.20339445311479276</v>
      </c>
      <c r="L81" s="3">
        <f t="shared" si="23"/>
        <v>4.6998956932265683E-2</v>
      </c>
      <c r="M81" s="3">
        <f t="shared" si="23"/>
        <v>0.2977628317003857</v>
      </c>
      <c r="N81" s="3">
        <f t="shared" si="23"/>
        <v>4.1773712607185577E-2</v>
      </c>
      <c r="O81" s="3">
        <f t="shared" si="23"/>
        <v>0.38256387415204551</v>
      </c>
      <c r="P81" s="3">
        <f t="shared" si="23"/>
        <v>3.9965386793363603E-2</v>
      </c>
    </row>
    <row r="82" spans="2:16" x14ac:dyDescent="0.25">
      <c r="B82" s="2" t="s">
        <v>1</v>
      </c>
      <c r="C82" s="3">
        <f t="shared" ref="C82:E82" si="24">AVERAGE(C36:C44)</f>
        <v>573</v>
      </c>
      <c r="D82" s="3">
        <f t="shared" si="24"/>
        <v>91.444444444444443</v>
      </c>
      <c r="E82" s="3">
        <f t="shared" si="24"/>
        <v>16.777777777777779</v>
      </c>
      <c r="F82" s="3">
        <f>AVERAGE(F36:F44)</f>
        <v>80.555555555555557</v>
      </c>
      <c r="G82" s="3">
        <f t="shared" ref="G82:I82" si="25">AVERAGE(G36:G44)</f>
        <v>26.222222222222221</v>
      </c>
      <c r="H82" s="3">
        <f t="shared" si="25"/>
        <v>57.555555555555557</v>
      </c>
      <c r="I82" s="3">
        <f t="shared" si="25"/>
        <v>20.222222222222221</v>
      </c>
      <c r="K82" s="3">
        <f t="shared" ref="K82:P82" si="26">AVERAGE(K36:K44)</f>
        <v>0.19532917019616935</v>
      </c>
      <c r="L82" s="3">
        <f t="shared" si="26"/>
        <v>2.998011308822969E-2</v>
      </c>
      <c r="M82" s="3">
        <f t="shared" si="26"/>
        <v>0.32392874386162812</v>
      </c>
      <c r="N82" s="3">
        <f t="shared" si="26"/>
        <v>4.6787175658808404E-2</v>
      </c>
      <c r="O82" s="3">
        <f t="shared" si="26"/>
        <v>0.38491504929377557</v>
      </c>
      <c r="P82" s="3">
        <f t="shared" si="26"/>
        <v>3.7778398308485166E-2</v>
      </c>
    </row>
    <row r="83" spans="2:16" x14ac:dyDescent="0.25">
      <c r="B83" s="2" t="s">
        <v>4</v>
      </c>
      <c r="C83" s="3">
        <f t="shared" ref="C83:E83" si="27">AVERAGE(C45:C52)</f>
        <v>614.625</v>
      </c>
      <c r="D83" s="3">
        <f>AVERAGE(D45:D52)</f>
        <v>114.375</v>
      </c>
      <c r="E83" s="3">
        <f t="shared" si="27"/>
        <v>19</v>
      </c>
      <c r="F83" s="3">
        <f>AVERAGE(F45:F52)</f>
        <v>86.875</v>
      </c>
      <c r="G83" s="3">
        <f t="shared" ref="G83:I83" si="28">AVERAGE(G45:G52)</f>
        <v>25.75</v>
      </c>
      <c r="H83" s="3">
        <f t="shared" si="28"/>
        <v>64.25</v>
      </c>
      <c r="I83" s="3">
        <f t="shared" si="28"/>
        <v>22.625</v>
      </c>
      <c r="K83" s="3">
        <f>AVERAGE(K45:K52)</f>
        <v>0.16444739672970182</v>
      </c>
      <c r="L83" s="3">
        <f t="shared" ref="L83:P83" si="29">AVERAGE(L45:L52)</f>
        <v>2.9412518487552101E-2</v>
      </c>
      <c r="M83" s="3">
        <f t="shared" si="29"/>
        <v>0.31511769546723523</v>
      </c>
      <c r="N83" s="3">
        <f t="shared" si="29"/>
        <v>4.3804910991181674E-2</v>
      </c>
      <c r="O83" s="3">
        <f t="shared" si="29"/>
        <v>0.37315255989136287</v>
      </c>
      <c r="P83" s="3">
        <f t="shared" si="29"/>
        <v>3.4674672539117414E-2</v>
      </c>
    </row>
    <row r="84" spans="2:16" x14ac:dyDescent="0.25">
      <c r="B84" s="2" t="s">
        <v>5</v>
      </c>
      <c r="C84" s="3">
        <f t="shared" ref="C84:E84" si="30">AVERAGE(C53:C57)</f>
        <v>533.20000000000005</v>
      </c>
      <c r="D84" s="3">
        <f>AVERAGE(D53:D57)</f>
        <v>58.2</v>
      </c>
      <c r="E84" s="3">
        <f t="shared" si="30"/>
        <v>8</v>
      </c>
      <c r="F84" s="3">
        <f>AVERAGE(F53:F57)</f>
        <v>69.2</v>
      </c>
      <c r="G84" s="3">
        <f t="shared" ref="G84:I84" si="31">AVERAGE(G53:G57)</f>
        <v>16.8</v>
      </c>
      <c r="H84" s="3">
        <f t="shared" si="31"/>
        <v>59.2</v>
      </c>
      <c r="I84" s="3">
        <f t="shared" si="31"/>
        <v>20.2</v>
      </c>
      <c r="K84" s="3">
        <f t="shared" ref="K84:P84" si="32">AVERAGE(K53:K57)</f>
        <v>0.15469159309401981</v>
      </c>
      <c r="L84" s="3">
        <f t="shared" si="32"/>
        <v>1.5467623859177448E-2</v>
      </c>
      <c r="M84" s="3">
        <f t="shared" si="32"/>
        <v>0.25640993385263844</v>
      </c>
      <c r="N84" s="3">
        <f t="shared" si="32"/>
        <v>3.5271250614990313E-2</v>
      </c>
      <c r="O84" s="3">
        <f t="shared" si="32"/>
        <v>0.37011756318520972</v>
      </c>
      <c r="P84" s="3">
        <f t="shared" si="32"/>
        <v>3.4896762852982613E-2</v>
      </c>
    </row>
    <row r="85" spans="2:16" x14ac:dyDescent="0.25">
      <c r="B85" s="2" t="s">
        <v>11</v>
      </c>
      <c r="C85" s="3">
        <f t="shared" ref="C85:E85" si="33">AVERAGE(C58:C62)</f>
        <v>543.79999999999995</v>
      </c>
      <c r="D85" s="3">
        <f t="shared" si="33"/>
        <v>81.8</v>
      </c>
      <c r="E85" s="3">
        <f t="shared" si="33"/>
        <v>12.2</v>
      </c>
      <c r="F85" s="3">
        <f>AVERAGE(F58:F62)</f>
        <v>72</v>
      </c>
      <c r="G85" s="3">
        <f t="shared" ref="G85:I85" si="34">AVERAGE(G58:G62)</f>
        <v>16.399999999999999</v>
      </c>
      <c r="H85" s="3">
        <f t="shared" si="34"/>
        <v>57.6</v>
      </c>
      <c r="I85" s="3">
        <f t="shared" si="34"/>
        <v>19.8</v>
      </c>
      <c r="K85" s="3">
        <f t="shared" ref="K85:P85" si="35">AVERAGE(K58:K62)</f>
        <v>0.17561202712660315</v>
      </c>
      <c r="L85" s="3">
        <f t="shared" si="35"/>
        <v>2.5003516065471708E-2</v>
      </c>
      <c r="M85" s="3">
        <f t="shared" si="35"/>
        <v>0.25361210362769843</v>
      </c>
      <c r="N85" s="3">
        <f t="shared" si="35"/>
        <v>3.3459096141853696E-2</v>
      </c>
      <c r="O85" s="3">
        <f t="shared" si="35"/>
        <v>0.37441402230728077</v>
      </c>
      <c r="P85" s="3">
        <f t="shared" si="35"/>
        <v>3.3755275037232836E-2</v>
      </c>
    </row>
    <row r="86" spans="2:16" x14ac:dyDescent="0.25">
      <c r="B86" s="2" t="s">
        <v>6</v>
      </c>
      <c r="C86" s="3">
        <f t="shared" ref="C86:E86" si="36">AVERAGE(C63:C69)</f>
        <v>583</v>
      </c>
      <c r="D86" s="3">
        <f>AVERAGE(D63:D69)</f>
        <v>85.285714285714292</v>
      </c>
      <c r="E86" s="3">
        <f t="shared" si="36"/>
        <v>18.285714285714285</v>
      </c>
      <c r="F86" s="3">
        <f>AVERAGE(F63:F69)</f>
        <v>80.285714285714292</v>
      </c>
      <c r="G86" s="3">
        <f t="shared" ref="G86:I86" si="37">AVERAGE(G63:G69)</f>
        <v>26.285714285714285</v>
      </c>
      <c r="H86" s="3">
        <f t="shared" si="37"/>
        <v>67.285714285714292</v>
      </c>
      <c r="I86" s="3">
        <f t="shared" si="37"/>
        <v>24.428571428571427</v>
      </c>
      <c r="K86" s="3">
        <f t="shared" ref="K86:P86" si="38">AVERAGE(K63:K69)</f>
        <v>0.21082531569101942</v>
      </c>
      <c r="L86" s="3">
        <f t="shared" si="38"/>
        <v>3.1364861553540797E-2</v>
      </c>
      <c r="M86" s="3">
        <f t="shared" si="38"/>
        <v>0.31818929852848443</v>
      </c>
      <c r="N86" s="3">
        <f t="shared" si="38"/>
        <v>4.50869884832149E-2</v>
      </c>
      <c r="O86" s="3">
        <f t="shared" si="38"/>
        <v>0.38056314730344726</v>
      </c>
      <c r="P86" s="3">
        <f t="shared" si="38"/>
        <v>4.1901494731683413E-2</v>
      </c>
    </row>
    <row r="87" spans="2:16" x14ac:dyDescent="0.25">
      <c r="B87" s="2" t="s">
        <v>7</v>
      </c>
      <c r="C87" s="3">
        <f t="shared" ref="C87:E87" si="39">AVERAGE(C70:C76)</f>
        <v>583</v>
      </c>
      <c r="D87" s="3">
        <f t="shared" si="39"/>
        <v>65</v>
      </c>
      <c r="E87" s="3">
        <f t="shared" si="39"/>
        <v>13.285714285714286</v>
      </c>
      <c r="F87" s="3">
        <f>AVERAGE(F70:F76)</f>
        <v>80</v>
      </c>
      <c r="G87" s="3">
        <f t="shared" ref="G87:I87" si="40">AVERAGE(G70:G76)</f>
        <v>27.857142857142858</v>
      </c>
      <c r="H87" s="3">
        <f t="shared" si="40"/>
        <v>64</v>
      </c>
      <c r="I87" s="3">
        <f t="shared" si="40"/>
        <v>20.857142857142858</v>
      </c>
      <c r="K87" s="3">
        <f t="shared" ref="K87:P87" si="41">AVERAGE(K70:K76)</f>
        <v>0.20925167197411598</v>
      </c>
      <c r="L87" s="3">
        <f t="shared" si="41"/>
        <v>2.2788532222494488E-2</v>
      </c>
      <c r="M87" s="3">
        <f t="shared" si="41"/>
        <v>0.34550738027356104</v>
      </c>
      <c r="N87" s="3">
        <f t="shared" si="41"/>
        <v>4.7782406272972304E-2</v>
      </c>
      <c r="O87" s="3">
        <f t="shared" si="41"/>
        <v>0.36127679699108267</v>
      </c>
      <c r="P87" s="3">
        <f t="shared" si="41"/>
        <v>3.5775545209507473E-2</v>
      </c>
    </row>
    <row r="89" spans="2:16" x14ac:dyDescent="0.25">
      <c r="B89" s="2" t="s">
        <v>2</v>
      </c>
      <c r="C89">
        <f>D78/C78</f>
        <v>0.30953858886819779</v>
      </c>
    </row>
    <row r="90" spans="2:16" x14ac:dyDescent="0.25">
      <c r="B90" s="2" t="s">
        <v>3</v>
      </c>
      <c r="C90">
        <f t="shared" ref="C90:C98" si="42">D79/C79</f>
        <v>0.20389805097451275</v>
      </c>
    </row>
    <row r="91" spans="2:16" x14ac:dyDescent="0.25">
      <c r="B91" s="2" t="s">
        <v>10</v>
      </c>
      <c r="C91">
        <f t="shared" si="42"/>
        <v>0.19432153392330384</v>
      </c>
      <c r="E91">
        <f>D45/C45</f>
        <v>0.15709969788519637</v>
      </c>
      <c r="F91" t="s">
        <v>39</v>
      </c>
      <c r="I91">
        <f>D63/C63</f>
        <v>0.14579759862778729</v>
      </c>
      <c r="J91" t="s">
        <v>52</v>
      </c>
    </row>
    <row r="92" spans="2:16" x14ac:dyDescent="0.25">
      <c r="B92" s="2" t="s">
        <v>0</v>
      </c>
      <c r="C92">
        <f t="shared" si="42"/>
        <v>0.21938479396401622</v>
      </c>
      <c r="E92">
        <f t="shared" ref="E92:E98" si="43">D46/C46</f>
        <v>0.17964071856287425</v>
      </c>
      <c r="F92" t="s">
        <v>40</v>
      </c>
      <c r="I92">
        <f t="shared" ref="I92:I97" si="44">D64/C64</f>
        <v>0.12692967409948541</v>
      </c>
      <c r="J92" t="s">
        <v>53</v>
      </c>
    </row>
    <row r="93" spans="2:16" x14ac:dyDescent="0.25">
      <c r="B93" s="2" t="s">
        <v>1</v>
      </c>
      <c r="C93">
        <f t="shared" si="42"/>
        <v>0.15958890828000774</v>
      </c>
      <c r="E93">
        <f t="shared" si="43"/>
        <v>0.2013498312710911</v>
      </c>
      <c r="F93" t="s">
        <v>41</v>
      </c>
      <c r="I93">
        <f t="shared" si="44"/>
        <v>0.18696397941680962</v>
      </c>
      <c r="J93" t="s">
        <v>54</v>
      </c>
    </row>
    <row r="94" spans="2:16" x14ac:dyDescent="0.25">
      <c r="B94" s="2" t="s">
        <v>4</v>
      </c>
      <c r="C94">
        <f>D83/C83</f>
        <v>0.18608907870652838</v>
      </c>
      <c r="E94">
        <f t="shared" si="43"/>
        <v>0.15873015873015872</v>
      </c>
      <c r="F94" t="s">
        <v>42</v>
      </c>
      <c r="I94">
        <f t="shared" si="44"/>
        <v>0.1183533447684391</v>
      </c>
      <c r="J94" t="s">
        <v>55</v>
      </c>
    </row>
    <row r="95" spans="2:16" x14ac:dyDescent="0.25">
      <c r="B95" s="2" t="s">
        <v>5</v>
      </c>
      <c r="C95">
        <f t="shared" si="42"/>
        <v>0.109152288072018</v>
      </c>
      <c r="E95">
        <f t="shared" si="43"/>
        <v>0.24378109452736318</v>
      </c>
      <c r="F95" t="s">
        <v>43</v>
      </c>
      <c r="I95">
        <f t="shared" si="44"/>
        <v>0.12692967409948541</v>
      </c>
      <c r="J95" t="s">
        <v>56</v>
      </c>
    </row>
    <row r="96" spans="2:16" x14ac:dyDescent="0.25">
      <c r="B96" s="2" t="s">
        <v>11</v>
      </c>
      <c r="C96">
        <f t="shared" si="42"/>
        <v>0.15042294961382863</v>
      </c>
      <c r="E96">
        <f t="shared" si="43"/>
        <v>0.21666666666666667</v>
      </c>
      <c r="F96" t="s">
        <v>44</v>
      </c>
      <c r="I96">
        <f t="shared" si="44"/>
        <v>0.13893653516295026</v>
      </c>
      <c r="J96" t="s">
        <v>57</v>
      </c>
    </row>
    <row r="97" spans="2:10" x14ac:dyDescent="0.25">
      <c r="B97" s="2" t="s">
        <v>6</v>
      </c>
      <c r="C97">
        <f t="shared" si="42"/>
        <v>0.14628767458956141</v>
      </c>
      <c r="E97">
        <f t="shared" si="43"/>
        <v>0.23958333333333334</v>
      </c>
      <c r="F97" t="s">
        <v>45</v>
      </c>
      <c r="I97">
        <f t="shared" si="44"/>
        <v>0.18010291595197256</v>
      </c>
      <c r="J97" t="s">
        <v>58</v>
      </c>
    </row>
    <row r="98" spans="2:10" x14ac:dyDescent="0.25">
      <c r="B98" s="2" t="s">
        <v>7</v>
      </c>
      <c r="C98">
        <f t="shared" si="42"/>
        <v>0.11149228130360206</v>
      </c>
      <c r="E98">
        <f t="shared" si="43"/>
        <v>6.413301662707839E-2</v>
      </c>
      <c r="F98" t="s">
        <v>46</v>
      </c>
    </row>
    <row r="100" spans="2:10" x14ac:dyDescent="0.25">
      <c r="C100">
        <f>TTEST(D45:D52,D63:D69,2,2)</f>
        <v>0.24394968516602311</v>
      </c>
      <c r="E100">
        <f>TTEST(E91:E98,I91:I97,2,2)</f>
        <v>0.15526716517250899</v>
      </c>
    </row>
  </sheetData>
  <mergeCells count="10">
    <mergeCell ref="A53:A57"/>
    <mergeCell ref="A58:A62"/>
    <mergeCell ref="A63:A69"/>
    <mergeCell ref="A70:A76"/>
    <mergeCell ref="A3:A10"/>
    <mergeCell ref="A11:A18"/>
    <mergeCell ref="A19:A26"/>
    <mergeCell ref="A27:A35"/>
    <mergeCell ref="A36:A44"/>
    <mergeCell ref="A45:A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SlowSpi-750 ms post</vt:lpstr>
      <vt:lpstr>BroadBdSpi-750 ms post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2017-03-28T21:06:59Z</dcterms:modified>
</cp:coreProperties>
</file>