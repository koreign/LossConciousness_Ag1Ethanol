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lowWaves" sheetId="36" r:id="rId1"/>
  </sheets>
  <calcPr calcId="162913"/>
</workbook>
</file>

<file path=xl/calcChain.xml><?xml version="1.0" encoding="utf-8"?>
<calcChain xmlns="http://schemas.openxmlformats.org/spreadsheetml/2006/main">
  <c r="C96" i="36" l="1"/>
  <c r="C89" i="36" l="1"/>
  <c r="L89" i="36" l="1"/>
  <c r="K89" i="36"/>
  <c r="L88" i="36"/>
  <c r="K88" i="36"/>
  <c r="G96" i="36"/>
  <c r="F96" i="36"/>
  <c r="G95" i="36"/>
  <c r="F95" i="36"/>
  <c r="G94" i="36"/>
  <c r="F94" i="36"/>
  <c r="G93" i="36"/>
  <c r="F93" i="36"/>
  <c r="G92" i="36"/>
  <c r="F92" i="36"/>
  <c r="G91" i="36"/>
  <c r="F91" i="36"/>
  <c r="G90" i="36"/>
  <c r="F90" i="36"/>
  <c r="G89" i="36"/>
  <c r="F89" i="36"/>
  <c r="G88" i="36"/>
  <c r="F88" i="36"/>
  <c r="G87" i="36"/>
  <c r="F87" i="36"/>
  <c r="D87" i="36"/>
  <c r="D88" i="36"/>
  <c r="D89" i="36"/>
  <c r="D90" i="36"/>
  <c r="D91" i="36"/>
  <c r="D92" i="36"/>
  <c r="D93" i="36"/>
  <c r="D94" i="36"/>
  <c r="D95" i="36"/>
  <c r="D96" i="36"/>
  <c r="C95" i="36"/>
  <c r="C94" i="36"/>
  <c r="C93" i="36"/>
  <c r="C92" i="36"/>
  <c r="C91" i="36"/>
  <c r="C90" i="36"/>
  <c r="C88" i="36"/>
  <c r="C87" i="36"/>
</calcChain>
</file>

<file path=xl/sharedStrings.xml><?xml version="1.0" encoding="utf-8"?>
<sst xmlns="http://schemas.openxmlformats.org/spreadsheetml/2006/main" count="120" uniqueCount="78">
  <si>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</si>
  <si>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</si>
  <si>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</si>
  <si>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</si>
  <si>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</si>
  <si>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</si>
  <si>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</si>
  <si>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</si>
  <si>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</si>
  <si>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</si>
  <si>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</si>
  <si>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</si>
  <si>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</si>
  <si>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</si>
  <si>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</si>
  <si>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</si>
  <si>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</si>
  <si>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</si>
  <si>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</si>
  <si>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</si>
  <si>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FOR</t>
  </si>
  <si>
    <t>Num</t>
  </si>
  <si>
    <t>Immediate</t>
  </si>
  <si>
    <t>Late</t>
  </si>
  <si>
    <t>0 to 500 ms</t>
  </si>
  <si>
    <t>1500 to 2000 ms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</si>
  <si>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</si>
  <si>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</si>
  <si>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</si>
  <si>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</si>
  <si>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</si>
  <si>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</si>
  <si>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</si>
  <si>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</si>
  <si>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</si>
  <si>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</si>
  <si>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</si>
  <si>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</si>
  <si>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</si>
  <si>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</si>
  <si>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</si>
  <si>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</si>
  <si>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</si>
  <si>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</si>
  <si>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</si>
  <si>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</si>
  <si>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</si>
  <si>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</si>
  <si>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</si>
  <si>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</si>
  <si>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</si>
  <si>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</si>
  <si>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</si>
  <si>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</si>
  <si>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</si>
  <si>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</si>
  <si>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</si>
  <si>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</si>
  <si>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</si>
  <si>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</si>
  <si>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</si>
  <si>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</si>
  <si>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</si>
  <si>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</si>
  <si>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</si>
  <si>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</si>
  <si>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</si>
  <si>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</si>
  <si>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</si>
  <si>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</si>
  <si>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</si>
  <si>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</si>
  <si>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</si>
  <si>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</si>
  <si>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7-10 Hz</t>
  </si>
  <si>
    <t>NoStim-OUT-ARC</t>
  </si>
  <si>
    <t>Num-FC-Stim</t>
  </si>
  <si>
    <t>Num-ARC-Stim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</si>
</sst>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8"/>
  <sheetViews>
    <sheetView tabSelected="1" topLeftCell="A85" workbookViewId="0">
      <selection activeCell="C97" sqref="C97"/>
    </sheetView>
  </sheetViews>
  <sheetFormatPr baseColWidth="10" defaultColWidth="9.140625" defaultRowHeight="15" x14ac:dyDescent="0.25"/>
  <cols>
    <col min="2" max="2" width="24.140625" bestFit="1" customWidth="1"/>
    <col min="10" max="10" width="14.42578125" bestFit="1" customWidth="1"/>
  </cols>
  <sheetData>
    <row r="1" spans="1:11" x14ac:dyDescent="0.25">
      <c r="C1" s="7" t="s">
        <v>22</v>
      </c>
      <c r="D1" s="7"/>
      <c r="E1" s="7"/>
      <c r="F1" s="7" t="s">
        <v>23</v>
      </c>
      <c r="G1" s="7"/>
      <c r="H1" s="7"/>
      <c r="J1" t="s">
        <v>74</v>
      </c>
    </row>
    <row r="2" spans="1:11" x14ac:dyDescent="0.25">
      <c r="C2" t="s">
        <v>20</v>
      </c>
      <c r="D2" t="s">
        <v>8</v>
      </c>
      <c r="E2" t="s">
        <v>21</v>
      </c>
      <c r="F2" t="s">
        <v>20</v>
      </c>
      <c r="G2" t="s">
        <v>8</v>
      </c>
      <c r="H2" t="s">
        <v>21</v>
      </c>
      <c r="J2" t="s">
        <v>22</v>
      </c>
      <c r="K2" t="s">
        <v>24</v>
      </c>
    </row>
    <row r="3" spans="1:11" x14ac:dyDescent="0.25">
      <c r="A3" s="6" t="s">
        <v>67</v>
      </c>
      <c r="B3" t="s">
        <v>11</v>
      </c>
      <c r="C3" s="1">
        <v>0.25443786982248501</v>
      </c>
      <c r="D3" s="1">
        <v>0.195266272189349</v>
      </c>
      <c r="E3">
        <v>169</v>
      </c>
      <c r="F3" s="1">
        <v>0.273809523809524</v>
      </c>
      <c r="G3" s="1">
        <v>0.375</v>
      </c>
      <c r="H3">
        <v>168</v>
      </c>
      <c r="J3" t="s">
        <v>23</v>
      </c>
      <c r="K3" t="s">
        <v>25</v>
      </c>
    </row>
    <row r="4" spans="1:11" x14ac:dyDescent="0.25">
      <c r="A4" s="6"/>
      <c r="B4" t="s">
        <v>12</v>
      </c>
      <c r="C4" s="1">
        <v>0.243670886075949</v>
      </c>
      <c r="D4" s="1">
        <v>0.319620253164557</v>
      </c>
      <c r="E4">
        <v>316</v>
      </c>
      <c r="F4" s="1">
        <v>0.34493670886076</v>
      </c>
      <c r="G4" s="1">
        <v>0.322784810126582</v>
      </c>
      <c r="H4">
        <v>316</v>
      </c>
    </row>
    <row r="5" spans="1:11" x14ac:dyDescent="0.25">
      <c r="A5" s="6"/>
      <c r="B5" t="s">
        <v>13</v>
      </c>
      <c r="C5" s="1">
        <v>0.26409903713892702</v>
      </c>
      <c r="D5" s="1">
        <v>0.29023383768913302</v>
      </c>
      <c r="E5">
        <v>727</v>
      </c>
      <c r="F5" s="1">
        <v>0.31911966987620399</v>
      </c>
      <c r="G5" s="1">
        <v>0.36588720770288902</v>
      </c>
      <c r="H5">
        <v>727</v>
      </c>
    </row>
    <row r="6" spans="1:11" x14ac:dyDescent="0.25">
      <c r="A6" s="6"/>
      <c r="B6" t="s">
        <v>14</v>
      </c>
      <c r="C6" s="1">
        <v>0.22461538461538499</v>
      </c>
      <c r="D6" s="1">
        <v>0.27230769230769197</v>
      </c>
      <c r="E6">
        <v>650</v>
      </c>
      <c r="F6" s="1">
        <v>0.33846153846153898</v>
      </c>
      <c r="G6" s="1">
        <v>0.350769230769231</v>
      </c>
      <c r="H6">
        <v>650</v>
      </c>
    </row>
    <row r="7" spans="1:11" x14ac:dyDescent="0.25">
      <c r="A7" s="6"/>
      <c r="B7" t="s">
        <v>15</v>
      </c>
      <c r="C7" s="1">
        <v>0.22</v>
      </c>
      <c r="D7" s="1">
        <v>0.221428571428571</v>
      </c>
      <c r="E7">
        <v>700</v>
      </c>
      <c r="F7" s="1">
        <v>0.30428571428571399</v>
      </c>
      <c r="G7" s="1">
        <v>0.31</v>
      </c>
      <c r="H7">
        <v>700</v>
      </c>
    </row>
    <row r="8" spans="1:11" x14ac:dyDescent="0.25">
      <c r="A8" s="6"/>
      <c r="B8" t="s">
        <v>16</v>
      </c>
      <c r="C8" s="1">
        <v>0.26156069364161899</v>
      </c>
      <c r="D8" s="1">
        <v>0.31791907514450901</v>
      </c>
      <c r="E8">
        <v>692</v>
      </c>
      <c r="F8" s="1">
        <v>0.33526011560693603</v>
      </c>
      <c r="G8" s="1">
        <v>0.29479768786127197</v>
      </c>
      <c r="H8">
        <v>692</v>
      </c>
    </row>
    <row r="9" spans="1:11" x14ac:dyDescent="0.25">
      <c r="A9" s="6"/>
      <c r="B9" t="s">
        <v>17</v>
      </c>
      <c r="C9" s="1">
        <v>0.25380710659898498</v>
      </c>
      <c r="D9" s="1">
        <v>0.269035532994924</v>
      </c>
      <c r="E9">
        <v>591</v>
      </c>
      <c r="F9" s="1">
        <v>0.33671742808798599</v>
      </c>
      <c r="G9" s="1">
        <v>0.28257191201353599</v>
      </c>
      <c r="H9">
        <v>591</v>
      </c>
    </row>
    <row r="10" spans="1:11" x14ac:dyDescent="0.25">
      <c r="A10" s="6"/>
      <c r="B10" t="s">
        <v>18</v>
      </c>
      <c r="C10" s="1">
        <v>0.18711276332094201</v>
      </c>
      <c r="D10" s="1">
        <v>0.25154894671623301</v>
      </c>
      <c r="E10">
        <v>807</v>
      </c>
      <c r="F10" s="1">
        <v>0.340768277571252</v>
      </c>
      <c r="G10" s="1">
        <v>0.30978934324659202</v>
      </c>
      <c r="H10">
        <v>807</v>
      </c>
    </row>
    <row r="11" spans="1:11" x14ac:dyDescent="0.25">
      <c r="A11" s="6"/>
      <c r="B11" t="s">
        <v>19</v>
      </c>
      <c r="C11" s="1">
        <v>0.259931895573212</v>
      </c>
      <c r="D11" s="1">
        <v>0.25652667423382502</v>
      </c>
      <c r="E11">
        <v>881</v>
      </c>
      <c r="F11" s="1">
        <v>0.25425652667423398</v>
      </c>
      <c r="G11" s="1">
        <v>0.300794551645857</v>
      </c>
      <c r="H11">
        <v>881</v>
      </c>
    </row>
    <row r="12" spans="1:11" x14ac:dyDescent="0.25">
      <c r="A12" s="6" t="s">
        <v>68</v>
      </c>
      <c r="B12" t="s">
        <v>26</v>
      </c>
      <c r="C12" s="1">
        <v>0.36499999999999999</v>
      </c>
      <c r="D12" s="1">
        <v>0.30166666666666703</v>
      </c>
      <c r="E12">
        <v>600</v>
      </c>
      <c r="F12" s="1">
        <v>0.33833333333333299</v>
      </c>
      <c r="G12" s="1">
        <v>0.271666666666667</v>
      </c>
      <c r="H12">
        <v>600</v>
      </c>
    </row>
    <row r="13" spans="1:11" x14ac:dyDescent="0.25">
      <c r="A13" s="6"/>
      <c r="B13" t="s">
        <v>27</v>
      </c>
      <c r="C13" s="1">
        <v>0.40026595744680898</v>
      </c>
      <c r="D13" s="1">
        <v>0.46941489361702099</v>
      </c>
      <c r="E13">
        <v>752</v>
      </c>
      <c r="F13" s="1">
        <v>0.33111702127659598</v>
      </c>
      <c r="G13" s="1">
        <v>0.36702127659574502</v>
      </c>
      <c r="H13">
        <v>752</v>
      </c>
    </row>
    <row r="14" spans="1:11" x14ac:dyDescent="0.25">
      <c r="A14" s="6"/>
      <c r="B14" t="s">
        <v>28</v>
      </c>
      <c r="C14" s="1">
        <v>0.44036697247706402</v>
      </c>
      <c r="D14" s="1">
        <v>0.4</v>
      </c>
      <c r="E14">
        <v>545</v>
      </c>
      <c r="F14" s="1">
        <v>0.35045871559633002</v>
      </c>
      <c r="G14" s="1">
        <v>0.35596330275229399</v>
      </c>
      <c r="H14">
        <v>545</v>
      </c>
    </row>
    <row r="15" spans="1:11" x14ac:dyDescent="0.25">
      <c r="A15" s="6"/>
      <c r="B15" t="s">
        <v>29</v>
      </c>
      <c r="C15" s="1">
        <v>0.44961240310077499</v>
      </c>
      <c r="D15" s="1">
        <v>0.41528239202657802</v>
      </c>
      <c r="E15">
        <v>903</v>
      </c>
      <c r="F15" s="1">
        <v>0.33111849390919201</v>
      </c>
      <c r="G15" s="1">
        <v>0.35880398671096397</v>
      </c>
      <c r="H15">
        <v>903</v>
      </c>
    </row>
    <row r="16" spans="1:11" x14ac:dyDescent="0.25">
      <c r="A16" s="6"/>
      <c r="B16" t="s">
        <v>30</v>
      </c>
      <c r="C16" s="1">
        <v>0.425757575757576</v>
      </c>
      <c r="D16" s="1">
        <v>0.36666666666666697</v>
      </c>
      <c r="E16">
        <v>660</v>
      </c>
      <c r="F16" s="1">
        <v>0.35909090909090902</v>
      </c>
      <c r="G16" s="1">
        <v>0.321212121212121</v>
      </c>
      <c r="H16">
        <v>660</v>
      </c>
    </row>
    <row r="17" spans="1:8" x14ac:dyDescent="0.25">
      <c r="A17" s="6"/>
      <c r="B17" t="s">
        <v>31</v>
      </c>
      <c r="C17" s="1">
        <v>0.35830618892508098</v>
      </c>
      <c r="D17" s="1">
        <v>0.350162866449511</v>
      </c>
      <c r="E17">
        <v>614</v>
      </c>
      <c r="F17" s="1">
        <v>0.31107491856677499</v>
      </c>
      <c r="G17" s="1">
        <v>0.31921824104234497</v>
      </c>
      <c r="H17">
        <v>614</v>
      </c>
    </row>
    <row r="18" spans="1:8" x14ac:dyDescent="0.25">
      <c r="A18" s="6"/>
      <c r="B18" t="s">
        <v>32</v>
      </c>
      <c r="C18" s="1">
        <v>0.50211864406779705</v>
      </c>
      <c r="D18" s="1">
        <v>0.47457627118644102</v>
      </c>
      <c r="E18">
        <v>472</v>
      </c>
      <c r="F18" s="1">
        <v>0.32415254237288099</v>
      </c>
      <c r="G18" s="1">
        <v>0.32415254237288099</v>
      </c>
      <c r="H18">
        <v>472</v>
      </c>
    </row>
    <row r="19" spans="1:8" x14ac:dyDescent="0.25">
      <c r="A19" s="6"/>
      <c r="B19" t="s">
        <v>33</v>
      </c>
      <c r="C19" s="1">
        <v>0.35584415584415602</v>
      </c>
      <c r="D19" s="1">
        <v>0.381818181818182</v>
      </c>
      <c r="E19">
        <v>770</v>
      </c>
      <c r="F19" s="1">
        <v>0.30779220779220801</v>
      </c>
      <c r="G19" s="1">
        <v>0.348051948051948</v>
      </c>
      <c r="H19">
        <v>770</v>
      </c>
    </row>
    <row r="20" spans="1:8" x14ac:dyDescent="0.25">
      <c r="A20" s="6"/>
      <c r="B20" t="s">
        <v>34</v>
      </c>
      <c r="C20" s="1">
        <v>0.42151898734177201</v>
      </c>
      <c r="D20" s="1">
        <v>0.34936708860759502</v>
      </c>
      <c r="E20">
        <v>790</v>
      </c>
      <c r="F20" s="1">
        <v>0.34936708860759502</v>
      </c>
      <c r="G20" s="1">
        <v>0.29367088607594899</v>
      </c>
      <c r="H20">
        <v>790</v>
      </c>
    </row>
    <row r="21" spans="1:8" x14ac:dyDescent="0.25">
      <c r="A21" s="6" t="s">
        <v>69</v>
      </c>
      <c r="B21" t="s">
        <v>26</v>
      </c>
      <c r="C21" s="1">
        <v>0.21911037891268501</v>
      </c>
      <c r="D21" s="1">
        <v>0.31466227347611198</v>
      </c>
      <c r="E21">
        <v>607</v>
      </c>
      <c r="F21" s="1">
        <v>0.28171334431631001</v>
      </c>
      <c r="G21" s="1">
        <v>0.35749588138385502</v>
      </c>
      <c r="H21">
        <v>607</v>
      </c>
    </row>
    <row r="22" spans="1:8" x14ac:dyDescent="0.25">
      <c r="A22" s="6"/>
      <c r="B22" t="s">
        <v>27</v>
      </c>
      <c r="C22" s="1">
        <v>0.15768725361366601</v>
      </c>
      <c r="D22" s="1">
        <v>0.19053876478317999</v>
      </c>
      <c r="E22">
        <v>761</v>
      </c>
      <c r="F22" s="1">
        <v>0.312746386333771</v>
      </c>
      <c r="G22" s="1">
        <v>0.362680683311432</v>
      </c>
      <c r="H22">
        <v>761</v>
      </c>
    </row>
    <row r="23" spans="1:8" x14ac:dyDescent="0.25">
      <c r="A23" s="6"/>
      <c r="B23" t="s">
        <v>28</v>
      </c>
      <c r="C23" s="1">
        <v>0.14768683274021399</v>
      </c>
      <c r="D23" s="1">
        <v>0.151245551601424</v>
      </c>
      <c r="E23">
        <v>562</v>
      </c>
      <c r="F23" s="1">
        <v>0.34341637010676201</v>
      </c>
      <c r="G23" s="1">
        <v>0.30960854092526702</v>
      </c>
      <c r="H23">
        <v>562</v>
      </c>
    </row>
    <row r="24" spans="1:8" x14ac:dyDescent="0.25">
      <c r="A24" s="6"/>
      <c r="B24" t="s">
        <v>29</v>
      </c>
      <c r="C24" s="1">
        <v>0.15587266739846301</v>
      </c>
      <c r="D24" s="1">
        <v>0.21624588364434699</v>
      </c>
      <c r="E24">
        <v>911</v>
      </c>
      <c r="F24" s="1">
        <v>0.29308452250274403</v>
      </c>
      <c r="G24" s="1">
        <v>0.30735455543358903</v>
      </c>
      <c r="H24">
        <v>911</v>
      </c>
    </row>
    <row r="25" spans="1:8" x14ac:dyDescent="0.25">
      <c r="A25" s="6"/>
      <c r="B25" t="s">
        <v>30</v>
      </c>
      <c r="C25" s="1">
        <v>0.134328358208955</v>
      </c>
      <c r="D25" s="1">
        <v>0.23134328358209</v>
      </c>
      <c r="E25">
        <v>670</v>
      </c>
      <c r="F25" s="1">
        <v>0.35373134328358202</v>
      </c>
      <c r="G25" s="1">
        <v>0.28656716417910499</v>
      </c>
      <c r="H25">
        <v>670</v>
      </c>
    </row>
    <row r="26" spans="1:8" x14ac:dyDescent="0.25">
      <c r="A26" s="6"/>
      <c r="B26" t="s">
        <v>31</v>
      </c>
      <c r="C26" s="1">
        <v>0.14879999999999999</v>
      </c>
      <c r="D26" s="1">
        <v>0.24160000000000001</v>
      </c>
      <c r="E26">
        <v>625</v>
      </c>
      <c r="F26" s="1">
        <v>0.32800000000000001</v>
      </c>
      <c r="G26" s="1">
        <v>0.33600000000000002</v>
      </c>
      <c r="H26">
        <v>625</v>
      </c>
    </row>
    <row r="27" spans="1:8" x14ac:dyDescent="0.25">
      <c r="A27" s="6"/>
      <c r="B27" t="s">
        <v>32</v>
      </c>
      <c r="C27" s="1">
        <v>0.14315352697095399</v>
      </c>
      <c r="D27" s="1">
        <v>0.157676348547718</v>
      </c>
      <c r="E27">
        <v>482</v>
      </c>
      <c r="F27" s="1">
        <v>0.33817427385892102</v>
      </c>
      <c r="G27" s="1">
        <v>0.28423236514522798</v>
      </c>
      <c r="H27">
        <v>482</v>
      </c>
    </row>
    <row r="28" spans="1:8" x14ac:dyDescent="0.25">
      <c r="A28" s="6"/>
      <c r="B28" t="s">
        <v>33</v>
      </c>
      <c r="C28" s="1">
        <v>0.15769230769230799</v>
      </c>
      <c r="D28" s="1">
        <v>0.251282051282051</v>
      </c>
      <c r="E28">
        <v>780</v>
      </c>
      <c r="F28" s="1">
        <v>0.3</v>
      </c>
      <c r="G28" s="1">
        <v>0.29230769230769199</v>
      </c>
      <c r="H28">
        <v>780</v>
      </c>
    </row>
    <row r="29" spans="1:8" x14ac:dyDescent="0.25">
      <c r="A29" s="6"/>
      <c r="B29" t="s">
        <v>34</v>
      </c>
      <c r="C29" s="1">
        <v>0.146401985111663</v>
      </c>
      <c r="D29" s="1">
        <v>0.24689826302729501</v>
      </c>
      <c r="E29">
        <v>806</v>
      </c>
      <c r="F29" s="1">
        <v>0.31513647642679898</v>
      </c>
      <c r="G29" s="1">
        <v>0.30024813895781599</v>
      </c>
      <c r="H29">
        <v>806</v>
      </c>
    </row>
    <row r="30" spans="1:8" x14ac:dyDescent="0.25">
      <c r="A30" s="6" t="s">
        <v>0</v>
      </c>
      <c r="B30" t="s">
        <v>35</v>
      </c>
      <c r="C30" s="1">
        <v>0.23338485316846999</v>
      </c>
      <c r="D30" s="1">
        <v>0.37712519319938198</v>
      </c>
      <c r="E30">
        <v>647</v>
      </c>
      <c r="F30" s="1">
        <v>0.273570324574961</v>
      </c>
      <c r="G30" s="1">
        <v>0.33075734157650699</v>
      </c>
      <c r="H30">
        <v>647</v>
      </c>
    </row>
    <row r="31" spans="1:8" x14ac:dyDescent="0.25">
      <c r="A31" s="6"/>
      <c r="B31" t="s">
        <v>36</v>
      </c>
      <c r="C31" s="1">
        <v>0.153013910355487</v>
      </c>
      <c r="D31" s="1">
        <v>0.30448222565687799</v>
      </c>
      <c r="E31">
        <v>647</v>
      </c>
      <c r="F31" s="1">
        <v>0.35857805255023201</v>
      </c>
      <c r="G31" s="1">
        <v>0.31221020092735702</v>
      </c>
      <c r="H31">
        <v>647</v>
      </c>
    </row>
    <row r="32" spans="1:8" x14ac:dyDescent="0.25">
      <c r="A32" s="6"/>
      <c r="B32" t="s">
        <v>37</v>
      </c>
      <c r="C32" s="1">
        <v>0.213292117465224</v>
      </c>
      <c r="D32" s="1">
        <v>0.32766615146831501</v>
      </c>
      <c r="E32">
        <v>647</v>
      </c>
      <c r="F32" s="1">
        <v>0.321483771251932</v>
      </c>
      <c r="G32" s="1">
        <v>0.32921174652241098</v>
      </c>
      <c r="H32">
        <v>647</v>
      </c>
    </row>
    <row r="33" spans="1:8" x14ac:dyDescent="0.25">
      <c r="A33" s="6"/>
      <c r="B33" t="s">
        <v>38</v>
      </c>
      <c r="C33" s="1">
        <v>0.149922720247295</v>
      </c>
      <c r="D33" s="1">
        <v>0.179289026275116</v>
      </c>
      <c r="E33">
        <v>647</v>
      </c>
      <c r="F33" s="1">
        <v>0.33384853168469902</v>
      </c>
      <c r="G33" s="1">
        <v>0.31221020092735702</v>
      </c>
      <c r="H33">
        <v>647</v>
      </c>
    </row>
    <row r="34" spans="1:8" x14ac:dyDescent="0.25">
      <c r="A34" s="6"/>
      <c r="B34" t="s">
        <v>39</v>
      </c>
      <c r="C34" s="1">
        <v>0.179289026275116</v>
      </c>
      <c r="D34" s="1">
        <v>0.19165378670788299</v>
      </c>
      <c r="E34">
        <v>647</v>
      </c>
      <c r="F34" s="1">
        <v>0.35548686244203997</v>
      </c>
      <c r="G34" s="1">
        <v>0.34930448222565702</v>
      </c>
      <c r="H34">
        <v>647</v>
      </c>
    </row>
    <row r="35" spans="1:8" x14ac:dyDescent="0.25">
      <c r="A35" s="6"/>
      <c r="B35" t="s">
        <v>40</v>
      </c>
      <c r="C35" s="1">
        <v>0.19319938176197801</v>
      </c>
      <c r="D35" s="1">
        <v>0.19010819165378701</v>
      </c>
      <c r="E35">
        <v>647</v>
      </c>
      <c r="F35" s="1">
        <v>0.34003091190108198</v>
      </c>
      <c r="G35" s="1">
        <v>0.30602782071097401</v>
      </c>
      <c r="H35">
        <v>647</v>
      </c>
    </row>
    <row r="36" spans="1:8" x14ac:dyDescent="0.25">
      <c r="A36" s="6"/>
      <c r="B36" t="s">
        <v>41</v>
      </c>
      <c r="C36" s="1">
        <v>0.17465224111282801</v>
      </c>
      <c r="D36" s="1">
        <v>0.24420401854714099</v>
      </c>
      <c r="E36">
        <v>647</v>
      </c>
      <c r="F36" s="1">
        <v>0.28129829984544003</v>
      </c>
      <c r="G36" s="1">
        <v>0.34003091190108198</v>
      </c>
      <c r="H36">
        <v>647</v>
      </c>
    </row>
    <row r="37" spans="1:8" x14ac:dyDescent="0.25">
      <c r="A37" s="6"/>
      <c r="B37" t="s">
        <v>42</v>
      </c>
      <c r="C37" s="1">
        <v>0.16163410301953801</v>
      </c>
      <c r="D37" s="1">
        <v>0.22912966252220299</v>
      </c>
      <c r="E37">
        <v>563</v>
      </c>
      <c r="F37" s="1">
        <v>0.37655417406749597</v>
      </c>
      <c r="G37" s="1">
        <v>0.33747779751332102</v>
      </c>
      <c r="H37">
        <v>563</v>
      </c>
    </row>
    <row r="38" spans="1:8" x14ac:dyDescent="0.25">
      <c r="A38" s="6"/>
      <c r="B38" t="s">
        <v>43</v>
      </c>
      <c r="C38" s="1">
        <v>0.27922077922077898</v>
      </c>
      <c r="D38" s="1">
        <v>0.25974025974025999</v>
      </c>
      <c r="E38">
        <v>154</v>
      </c>
      <c r="F38" s="1">
        <v>0.32467532467532501</v>
      </c>
      <c r="G38" s="1">
        <v>0.40259740259740301</v>
      </c>
      <c r="H38">
        <v>154</v>
      </c>
    </row>
    <row r="39" spans="1:8" x14ac:dyDescent="0.25">
      <c r="A39" s="6"/>
      <c r="B39" t="s">
        <v>44</v>
      </c>
      <c r="C39" s="1">
        <v>0.15919629057187001</v>
      </c>
      <c r="D39" s="1">
        <v>0.21947449768160701</v>
      </c>
      <c r="E39">
        <v>647</v>
      </c>
      <c r="F39" s="1">
        <v>0.37712519319938198</v>
      </c>
      <c r="G39" s="1">
        <v>0.37712519319938198</v>
      </c>
      <c r="H39">
        <v>647</v>
      </c>
    </row>
    <row r="40" spans="1:8" x14ac:dyDescent="0.25">
      <c r="A40" s="6"/>
      <c r="B40" t="s">
        <v>45</v>
      </c>
      <c r="C40" s="1">
        <v>0.194744976816074</v>
      </c>
      <c r="D40" s="1">
        <v>0.31684698608964501</v>
      </c>
      <c r="E40">
        <v>647</v>
      </c>
      <c r="F40" s="1">
        <v>0.28593508500772802</v>
      </c>
      <c r="G40" s="1">
        <v>0.32766615146831501</v>
      </c>
      <c r="H40">
        <v>647</v>
      </c>
    </row>
    <row r="41" spans="1:8" x14ac:dyDescent="0.25">
      <c r="A41" s="6" t="s">
        <v>1</v>
      </c>
      <c r="B41" t="s">
        <v>35</v>
      </c>
      <c r="C41" s="1">
        <v>0.284389489953632</v>
      </c>
      <c r="D41" s="1">
        <v>0.321483771251932</v>
      </c>
      <c r="E41">
        <v>647</v>
      </c>
      <c r="F41" s="1">
        <v>0.32302936630602802</v>
      </c>
      <c r="G41" s="1">
        <v>0.29211746522411097</v>
      </c>
      <c r="H41">
        <v>647</v>
      </c>
    </row>
    <row r="42" spans="1:8" x14ac:dyDescent="0.25">
      <c r="A42" s="6"/>
      <c r="B42" t="s">
        <v>36</v>
      </c>
      <c r="C42" s="1">
        <v>0.34312210200927401</v>
      </c>
      <c r="D42" s="1">
        <v>0.30602782071097401</v>
      </c>
      <c r="E42">
        <v>647</v>
      </c>
      <c r="F42" s="1">
        <v>0.35857805255023201</v>
      </c>
      <c r="G42" s="1">
        <v>0.31684698608964501</v>
      </c>
      <c r="H42">
        <v>647</v>
      </c>
    </row>
    <row r="43" spans="1:8" x14ac:dyDescent="0.25">
      <c r="A43" s="6"/>
      <c r="B43" t="s">
        <v>37</v>
      </c>
      <c r="C43" s="1">
        <v>0.32612055641422</v>
      </c>
      <c r="D43" s="1">
        <v>0.31375579598145298</v>
      </c>
      <c r="E43">
        <v>647</v>
      </c>
      <c r="F43" s="1">
        <v>0.35085007727975298</v>
      </c>
      <c r="G43" s="1">
        <v>0.32921174652241098</v>
      </c>
      <c r="H43">
        <v>647</v>
      </c>
    </row>
    <row r="44" spans="1:8" x14ac:dyDescent="0.25">
      <c r="A44" s="6"/>
      <c r="B44" t="s">
        <v>38</v>
      </c>
      <c r="C44" s="1">
        <v>0.347758887171561</v>
      </c>
      <c r="D44" s="1">
        <v>0.33075734157650699</v>
      </c>
      <c r="E44">
        <v>647</v>
      </c>
      <c r="F44" s="1">
        <v>0.321483771251932</v>
      </c>
      <c r="G44" s="1">
        <v>0.31684698608964501</v>
      </c>
      <c r="H44">
        <v>647</v>
      </c>
    </row>
    <row r="45" spans="1:8" x14ac:dyDescent="0.25">
      <c r="A45" s="6"/>
      <c r="B45" t="s">
        <v>39</v>
      </c>
      <c r="C45" s="1">
        <v>0.37094281298299803</v>
      </c>
      <c r="D45" s="1">
        <v>0.352395672333849</v>
      </c>
      <c r="E45">
        <v>647</v>
      </c>
      <c r="F45" s="1">
        <v>0.36476043276661502</v>
      </c>
      <c r="G45" s="1">
        <v>0.31684698608964501</v>
      </c>
      <c r="H45">
        <v>647</v>
      </c>
    </row>
    <row r="46" spans="1:8" x14ac:dyDescent="0.25">
      <c r="A46" s="6"/>
      <c r="B46" t="s">
        <v>40</v>
      </c>
      <c r="C46" s="1">
        <v>0.30757341576507002</v>
      </c>
      <c r="D46" s="1">
        <v>0.27820710973724899</v>
      </c>
      <c r="E46">
        <v>647</v>
      </c>
      <c r="F46" s="1">
        <v>0.36785162287480699</v>
      </c>
      <c r="G46" s="1">
        <v>0.30448222565687799</v>
      </c>
      <c r="H46">
        <v>647</v>
      </c>
    </row>
    <row r="47" spans="1:8" x14ac:dyDescent="0.25">
      <c r="A47" s="6"/>
      <c r="B47" t="s">
        <v>41</v>
      </c>
      <c r="C47" s="1">
        <v>0.29211746522411097</v>
      </c>
      <c r="D47" s="1">
        <v>0.352395672333849</v>
      </c>
      <c r="E47">
        <v>647</v>
      </c>
      <c r="F47" s="1">
        <v>0.27047913446677002</v>
      </c>
      <c r="G47" s="1">
        <v>0.30911901081916499</v>
      </c>
      <c r="H47">
        <v>647</v>
      </c>
    </row>
    <row r="48" spans="1:8" x14ac:dyDescent="0.25">
      <c r="A48" s="6"/>
      <c r="B48" t="s">
        <v>42</v>
      </c>
      <c r="C48" s="1">
        <v>0.30018083182640098</v>
      </c>
      <c r="D48" s="1">
        <v>0.341772151898734</v>
      </c>
      <c r="E48">
        <v>553</v>
      </c>
      <c r="F48" s="1">
        <v>0.35081374321880698</v>
      </c>
      <c r="G48" s="1">
        <v>0.31103074141048798</v>
      </c>
      <c r="H48">
        <v>553</v>
      </c>
    </row>
    <row r="49" spans="1:8" x14ac:dyDescent="0.25">
      <c r="A49" s="6"/>
      <c r="B49" t="s">
        <v>43</v>
      </c>
      <c r="C49" s="1">
        <v>0.33552631578947401</v>
      </c>
      <c r="D49" s="1">
        <v>0.355263157894737</v>
      </c>
      <c r="E49">
        <v>152</v>
      </c>
      <c r="F49" s="1">
        <v>0.375</v>
      </c>
      <c r="G49" s="1">
        <v>0.36842105263157898</v>
      </c>
      <c r="H49">
        <v>152</v>
      </c>
    </row>
    <row r="50" spans="1:8" x14ac:dyDescent="0.25">
      <c r="A50" s="6"/>
      <c r="B50" t="s">
        <v>44</v>
      </c>
      <c r="C50" s="1">
        <v>0.38021638330757301</v>
      </c>
      <c r="D50" s="1">
        <v>0.39258114374033998</v>
      </c>
      <c r="E50">
        <v>647</v>
      </c>
      <c r="F50" s="1">
        <v>0.36012364760432802</v>
      </c>
      <c r="G50" s="1">
        <v>0.34003091190108198</v>
      </c>
      <c r="H50">
        <v>647</v>
      </c>
    </row>
    <row r="51" spans="1:8" x14ac:dyDescent="0.25">
      <c r="A51" s="6"/>
      <c r="B51" t="s">
        <v>45</v>
      </c>
      <c r="C51" s="1">
        <v>0.29057187017001501</v>
      </c>
      <c r="D51" s="1">
        <v>0.32457496136012398</v>
      </c>
      <c r="E51">
        <v>647</v>
      </c>
      <c r="F51" s="1">
        <v>0.26584234930448197</v>
      </c>
      <c r="G51" s="1">
        <v>0.28748068006182398</v>
      </c>
      <c r="H51">
        <v>647</v>
      </c>
    </row>
    <row r="52" spans="1:8" x14ac:dyDescent="0.25">
      <c r="A52" s="6" t="s">
        <v>70</v>
      </c>
      <c r="B52" t="s">
        <v>46</v>
      </c>
      <c r="C52" s="1">
        <v>0.16314199395770401</v>
      </c>
      <c r="D52" s="1">
        <v>0.31268882175226598</v>
      </c>
      <c r="E52">
        <v>662</v>
      </c>
      <c r="F52" s="1">
        <v>0.34743202416918401</v>
      </c>
      <c r="G52" s="1">
        <v>0.35951661631419901</v>
      </c>
      <c r="H52">
        <v>662</v>
      </c>
    </row>
    <row r="53" spans="1:8" x14ac:dyDescent="0.25">
      <c r="A53" s="6"/>
      <c r="B53" t="s">
        <v>47</v>
      </c>
      <c r="C53" s="1">
        <v>0.13173652694610799</v>
      </c>
      <c r="D53" s="1">
        <v>0.23502994011976</v>
      </c>
      <c r="E53">
        <v>668</v>
      </c>
      <c r="F53" s="1">
        <v>0.37574850299401202</v>
      </c>
      <c r="G53" s="1">
        <v>0.32185628742514999</v>
      </c>
      <c r="H53">
        <v>668</v>
      </c>
    </row>
    <row r="54" spans="1:8" x14ac:dyDescent="0.25">
      <c r="A54" s="6"/>
      <c r="B54" t="s">
        <v>48</v>
      </c>
      <c r="C54" s="1">
        <v>0.17210348706411699</v>
      </c>
      <c r="D54" s="1">
        <v>0.14960629921259799</v>
      </c>
      <c r="E54">
        <v>889</v>
      </c>
      <c r="F54" s="1">
        <v>0.35472972972972999</v>
      </c>
      <c r="G54" s="1">
        <v>0.38851351351351399</v>
      </c>
      <c r="H54">
        <v>888</v>
      </c>
    </row>
    <row r="55" spans="1:8" x14ac:dyDescent="0.25">
      <c r="A55" s="6"/>
      <c r="B55" t="s">
        <v>49</v>
      </c>
      <c r="C55" s="1">
        <v>0.14285714285714299</v>
      </c>
      <c r="D55" s="1">
        <v>0.18849206349206399</v>
      </c>
      <c r="E55">
        <v>504</v>
      </c>
      <c r="F55" s="1">
        <v>0.35317460317460297</v>
      </c>
      <c r="G55" s="1">
        <v>0.30952380952380998</v>
      </c>
      <c r="H55">
        <v>504</v>
      </c>
    </row>
    <row r="56" spans="1:8" x14ac:dyDescent="0.25">
      <c r="A56" s="6"/>
      <c r="B56" t="s">
        <v>50</v>
      </c>
      <c r="C56" s="1">
        <v>0.12935323383084599</v>
      </c>
      <c r="D56" s="1">
        <v>0.134328358208955</v>
      </c>
      <c r="E56">
        <v>201</v>
      </c>
      <c r="F56" s="1">
        <v>0.308457711442786</v>
      </c>
      <c r="G56" s="1">
        <v>0.33830845771144302</v>
      </c>
      <c r="H56">
        <v>201</v>
      </c>
    </row>
    <row r="57" spans="1:8" x14ac:dyDescent="0.25">
      <c r="A57" s="6"/>
      <c r="B57" t="s">
        <v>51</v>
      </c>
      <c r="C57" s="1">
        <v>0.13444444444444401</v>
      </c>
      <c r="D57" s="1">
        <v>0.26555555555555599</v>
      </c>
      <c r="E57">
        <v>900</v>
      </c>
      <c r="F57" s="1">
        <v>0.38</v>
      </c>
      <c r="G57" s="1">
        <v>0.35777777777777803</v>
      </c>
      <c r="H57">
        <v>900</v>
      </c>
    </row>
    <row r="58" spans="1:8" x14ac:dyDescent="0.25">
      <c r="A58" s="6"/>
      <c r="B58" t="s">
        <v>52</v>
      </c>
      <c r="C58" s="1">
        <v>0.120535714285714</v>
      </c>
      <c r="D58" s="1">
        <v>0.17410714285714299</v>
      </c>
      <c r="E58">
        <v>672</v>
      </c>
      <c r="F58" s="1">
        <v>0.34821428571428598</v>
      </c>
      <c r="G58" s="1">
        <v>0.319940476190476</v>
      </c>
      <c r="H58">
        <v>672</v>
      </c>
    </row>
    <row r="59" spans="1:8" x14ac:dyDescent="0.25">
      <c r="A59" s="6"/>
      <c r="B59" t="s">
        <v>53</v>
      </c>
      <c r="C59" s="1">
        <v>0.22090261282660301</v>
      </c>
      <c r="D59" s="1">
        <v>0.27078384798099803</v>
      </c>
      <c r="E59">
        <v>421</v>
      </c>
      <c r="F59" s="1">
        <v>0.29691211401425199</v>
      </c>
      <c r="G59" s="1">
        <v>0.304038004750594</v>
      </c>
      <c r="H59">
        <v>421</v>
      </c>
    </row>
    <row r="60" spans="1:8" x14ac:dyDescent="0.25">
      <c r="A60" s="6" t="s">
        <v>71</v>
      </c>
      <c r="B60" t="s">
        <v>54</v>
      </c>
      <c r="C60" s="1">
        <v>0.34408602150537598</v>
      </c>
      <c r="D60" s="1">
        <v>0.31950844854070698</v>
      </c>
      <c r="E60">
        <v>651</v>
      </c>
      <c r="F60" s="1">
        <v>0.33486943164362498</v>
      </c>
      <c r="G60" s="1">
        <v>0.36712749615975399</v>
      </c>
      <c r="H60">
        <v>651</v>
      </c>
    </row>
    <row r="61" spans="1:8" x14ac:dyDescent="0.25">
      <c r="A61" s="6"/>
      <c r="B61" t="s">
        <v>55</v>
      </c>
      <c r="C61" s="1">
        <v>0.31007751937984501</v>
      </c>
      <c r="D61" s="1">
        <v>0.34754521963824297</v>
      </c>
      <c r="E61">
        <v>774</v>
      </c>
      <c r="F61" s="1">
        <v>0.32687338501292001</v>
      </c>
      <c r="G61" s="1">
        <v>0.34625322997416003</v>
      </c>
      <c r="H61">
        <v>774</v>
      </c>
    </row>
    <row r="62" spans="1:8" x14ac:dyDescent="0.25">
      <c r="A62" s="6"/>
      <c r="B62" t="s">
        <v>56</v>
      </c>
      <c r="C62" s="1">
        <v>0.218934911242604</v>
      </c>
      <c r="D62" s="1">
        <v>0.24260355029585801</v>
      </c>
      <c r="E62">
        <v>169</v>
      </c>
      <c r="F62" s="1">
        <v>0.31360946745562102</v>
      </c>
      <c r="G62" s="1">
        <v>0.26627218934911201</v>
      </c>
      <c r="H62">
        <v>169</v>
      </c>
    </row>
    <row r="63" spans="1:8" x14ac:dyDescent="0.25">
      <c r="A63" s="6"/>
      <c r="B63" t="s">
        <v>57</v>
      </c>
      <c r="C63" s="1">
        <v>0.32568807339449501</v>
      </c>
      <c r="D63" s="1">
        <v>0.41055045871559598</v>
      </c>
      <c r="E63">
        <v>436</v>
      </c>
      <c r="F63" s="1">
        <v>0.28440366972477099</v>
      </c>
      <c r="G63" s="1">
        <v>0.40137614678899097</v>
      </c>
      <c r="H63">
        <v>436</v>
      </c>
    </row>
    <row r="64" spans="1:8" x14ac:dyDescent="0.25">
      <c r="A64" s="6"/>
      <c r="B64" t="s">
        <v>58</v>
      </c>
      <c r="C64" s="1">
        <v>0.26415094339622602</v>
      </c>
      <c r="D64" s="1">
        <v>0.35849056603773599</v>
      </c>
      <c r="E64">
        <v>636</v>
      </c>
      <c r="F64" s="1">
        <v>0.27830188679245299</v>
      </c>
      <c r="G64" s="1">
        <v>0.34748427672956</v>
      </c>
      <c r="H64">
        <v>636</v>
      </c>
    </row>
    <row r="65" spans="1:8" x14ac:dyDescent="0.25">
      <c r="A65" s="6" t="s">
        <v>72</v>
      </c>
      <c r="B65" t="s">
        <v>54</v>
      </c>
      <c r="C65" s="1">
        <v>0.16191904047976</v>
      </c>
      <c r="D65" s="1">
        <v>0.27736131934032998</v>
      </c>
      <c r="E65">
        <v>667</v>
      </c>
      <c r="F65" s="1">
        <v>0.34032983508245901</v>
      </c>
      <c r="G65" s="1">
        <v>0.32983508245877102</v>
      </c>
      <c r="H65">
        <v>667</v>
      </c>
    </row>
    <row r="66" spans="1:8" x14ac:dyDescent="0.25">
      <c r="A66" s="6"/>
      <c r="B66" t="s">
        <v>55</v>
      </c>
      <c r="C66" s="1">
        <v>0.17848101265822799</v>
      </c>
      <c r="D66" s="1">
        <v>0.46329113924050602</v>
      </c>
      <c r="E66">
        <v>790</v>
      </c>
      <c r="F66" s="1">
        <v>0.322784810126582</v>
      </c>
      <c r="G66" s="1">
        <v>0.329113924050633</v>
      </c>
      <c r="H66">
        <v>790</v>
      </c>
    </row>
    <row r="67" spans="1:8" x14ac:dyDescent="0.25">
      <c r="A67" s="6"/>
      <c r="B67" t="s">
        <v>56</v>
      </c>
      <c r="C67" s="1">
        <v>0.226744186046512</v>
      </c>
      <c r="D67" s="1">
        <v>0.21511627906976699</v>
      </c>
      <c r="E67">
        <v>172</v>
      </c>
      <c r="F67" s="1">
        <v>0.31976744186046502</v>
      </c>
      <c r="G67" s="1">
        <v>0.29651162790697699</v>
      </c>
      <c r="H67">
        <v>172</v>
      </c>
    </row>
    <row r="68" spans="1:8" x14ac:dyDescent="0.25">
      <c r="A68" s="6"/>
      <c r="B68" t="s">
        <v>57</v>
      </c>
      <c r="C68" s="1">
        <v>0.20627802690583</v>
      </c>
      <c r="D68" s="1">
        <v>0.28923766816143498</v>
      </c>
      <c r="E68">
        <v>446</v>
      </c>
      <c r="F68" s="1">
        <v>0.318385650224215</v>
      </c>
      <c r="G68" s="1">
        <v>0.42152466367712998</v>
      </c>
      <c r="H68">
        <v>446</v>
      </c>
    </row>
    <row r="69" spans="1:8" x14ac:dyDescent="0.25">
      <c r="A69" s="6"/>
      <c r="B69" t="s">
        <v>58</v>
      </c>
      <c r="C69" s="1">
        <v>0.19565217391304399</v>
      </c>
      <c r="D69" s="1">
        <v>0.256211180124224</v>
      </c>
      <c r="E69">
        <v>644</v>
      </c>
      <c r="F69" s="1">
        <v>0.32763975155279501</v>
      </c>
      <c r="G69" s="1">
        <v>0.33074534161490698</v>
      </c>
      <c r="H69">
        <v>644</v>
      </c>
    </row>
    <row r="70" spans="1:8" x14ac:dyDescent="0.25">
      <c r="A70" s="6" t="s">
        <v>73</v>
      </c>
      <c r="B70" t="s">
        <v>59</v>
      </c>
      <c r="C70" s="1">
        <v>0.20754716981132099</v>
      </c>
      <c r="D70" s="1">
        <v>0.29845626072041198</v>
      </c>
      <c r="E70">
        <v>583</v>
      </c>
      <c r="F70" s="1">
        <v>0.339622641509434</v>
      </c>
      <c r="G70" s="1">
        <v>0.33447684391080601</v>
      </c>
      <c r="H70">
        <v>583</v>
      </c>
    </row>
    <row r="71" spans="1:8" x14ac:dyDescent="0.25">
      <c r="A71" s="6"/>
      <c r="B71" t="s">
        <v>60</v>
      </c>
      <c r="C71" s="1">
        <v>0.23156089193825</v>
      </c>
      <c r="D71" s="1">
        <v>0.27101200686106303</v>
      </c>
      <c r="E71">
        <v>583</v>
      </c>
      <c r="F71" s="1">
        <v>0.35162950257289899</v>
      </c>
      <c r="G71" s="1">
        <v>0.33619210977701502</v>
      </c>
      <c r="H71">
        <v>583</v>
      </c>
    </row>
    <row r="72" spans="1:8" x14ac:dyDescent="0.25">
      <c r="A72" s="6"/>
      <c r="B72" t="s">
        <v>61</v>
      </c>
      <c r="C72" s="1">
        <v>0.202401372212693</v>
      </c>
      <c r="D72" s="1">
        <v>0.28301886792452802</v>
      </c>
      <c r="E72">
        <v>583</v>
      </c>
      <c r="F72" s="1">
        <v>0.31732418524871397</v>
      </c>
      <c r="G72" s="1">
        <v>0.307032590051458</v>
      </c>
      <c r="H72">
        <v>583</v>
      </c>
    </row>
    <row r="73" spans="1:8" x14ac:dyDescent="0.25">
      <c r="A73" s="6"/>
      <c r="B73" t="s">
        <v>62</v>
      </c>
      <c r="C73" s="1">
        <v>0.20068610634648401</v>
      </c>
      <c r="D73" s="1">
        <v>0.27787307032590097</v>
      </c>
      <c r="E73">
        <v>583</v>
      </c>
      <c r="F73" s="1">
        <v>0.313893653516295</v>
      </c>
      <c r="G73" s="1">
        <v>0.267581475128645</v>
      </c>
      <c r="H73">
        <v>583</v>
      </c>
    </row>
    <row r="74" spans="1:8" x14ac:dyDescent="0.25">
      <c r="A74" s="6"/>
      <c r="B74" t="s">
        <v>63</v>
      </c>
      <c r="C74" s="1">
        <v>0.21097770154373899</v>
      </c>
      <c r="D74" s="1">
        <v>0.26586620926243598</v>
      </c>
      <c r="E74">
        <v>583</v>
      </c>
      <c r="F74" s="1">
        <v>0.27615780445969101</v>
      </c>
      <c r="G74" s="1">
        <v>0.35162950257289899</v>
      </c>
      <c r="H74">
        <v>583</v>
      </c>
    </row>
    <row r="75" spans="1:8" x14ac:dyDescent="0.25">
      <c r="A75" s="6"/>
      <c r="B75" t="s">
        <v>64</v>
      </c>
      <c r="C75" s="1">
        <v>0.267581475128645</v>
      </c>
      <c r="D75" s="1">
        <v>0.307032590051458</v>
      </c>
      <c r="E75">
        <v>583</v>
      </c>
      <c r="F75" s="1">
        <v>0.36020583190394501</v>
      </c>
      <c r="G75" s="1">
        <v>0.32933104631217802</v>
      </c>
      <c r="H75">
        <v>583</v>
      </c>
    </row>
    <row r="76" spans="1:8" x14ac:dyDescent="0.25">
      <c r="A76" s="6"/>
      <c r="B76" t="s">
        <v>65</v>
      </c>
      <c r="C76" s="1">
        <v>0.19382504288164701</v>
      </c>
      <c r="D76" s="1">
        <v>0.248713550600343</v>
      </c>
      <c r="E76">
        <v>583</v>
      </c>
      <c r="F76" s="1">
        <v>0.37735849056603799</v>
      </c>
      <c r="G76" s="1">
        <v>0.36535162950257299</v>
      </c>
      <c r="H76">
        <v>583</v>
      </c>
    </row>
    <row r="77" spans="1:8" x14ac:dyDescent="0.25">
      <c r="A77" s="6"/>
      <c r="B77" t="s">
        <v>66</v>
      </c>
      <c r="C77" s="1">
        <v>0.219554030874786</v>
      </c>
      <c r="D77" s="1">
        <v>0.30188679245283001</v>
      </c>
      <c r="E77">
        <v>583</v>
      </c>
      <c r="F77" s="1">
        <v>0.30874785591766701</v>
      </c>
      <c r="G77" s="1">
        <v>0.33447684391080601</v>
      </c>
      <c r="H77">
        <v>583</v>
      </c>
    </row>
    <row r="78" spans="1:8" x14ac:dyDescent="0.25">
      <c r="A78" s="6" t="s">
        <v>75</v>
      </c>
      <c r="B78" t="s">
        <v>59</v>
      </c>
      <c r="C78" s="1">
        <v>0.38936535162950298</v>
      </c>
      <c r="D78" s="1">
        <v>0.39451114922813002</v>
      </c>
      <c r="E78">
        <v>583</v>
      </c>
      <c r="F78" s="1">
        <v>0.35506003430531702</v>
      </c>
      <c r="G78" s="1">
        <v>0.35162950257289899</v>
      </c>
      <c r="H78">
        <v>583</v>
      </c>
    </row>
    <row r="79" spans="1:8" x14ac:dyDescent="0.25">
      <c r="A79" s="6"/>
      <c r="B79" t="s">
        <v>60</v>
      </c>
      <c r="C79" s="1">
        <v>0.38936535162950298</v>
      </c>
      <c r="D79" s="1">
        <v>0.36363636363636398</v>
      </c>
      <c r="E79">
        <v>583</v>
      </c>
      <c r="F79" s="1">
        <v>0.37392795883361901</v>
      </c>
      <c r="G79" s="1">
        <v>0.36878216123499102</v>
      </c>
      <c r="H79">
        <v>583</v>
      </c>
    </row>
    <row r="80" spans="1:8" x14ac:dyDescent="0.25">
      <c r="A80" s="6"/>
      <c r="B80" t="s">
        <v>61</v>
      </c>
      <c r="C80" s="1">
        <v>0.31046312178387703</v>
      </c>
      <c r="D80" s="1">
        <v>0.34819897084048002</v>
      </c>
      <c r="E80">
        <v>583</v>
      </c>
      <c r="F80" s="1">
        <v>0.29845626072041198</v>
      </c>
      <c r="G80" s="1">
        <v>0.32246998284734102</v>
      </c>
      <c r="H80">
        <v>583</v>
      </c>
    </row>
    <row r="81" spans="1:12" x14ac:dyDescent="0.25">
      <c r="A81" s="6"/>
      <c r="B81" t="s">
        <v>62</v>
      </c>
      <c r="C81" s="1">
        <v>0.31217838765008599</v>
      </c>
      <c r="D81" s="1">
        <v>0.28987993138936502</v>
      </c>
      <c r="E81">
        <v>583</v>
      </c>
      <c r="F81" s="1">
        <v>0.30874785591766701</v>
      </c>
      <c r="G81" s="1">
        <v>0.36192109777015402</v>
      </c>
      <c r="H81">
        <v>583</v>
      </c>
    </row>
    <row r="82" spans="1:12" x14ac:dyDescent="0.25">
      <c r="A82" s="6"/>
      <c r="B82" t="s">
        <v>63</v>
      </c>
      <c r="C82" s="1">
        <v>0.26072041166380799</v>
      </c>
      <c r="D82" s="1">
        <v>0.35849056603773599</v>
      </c>
      <c r="E82">
        <v>583</v>
      </c>
      <c r="F82" s="1">
        <v>0.274442538593482</v>
      </c>
      <c r="G82" s="1">
        <v>0.32590051457975999</v>
      </c>
      <c r="H82">
        <v>583</v>
      </c>
    </row>
    <row r="83" spans="1:12" x14ac:dyDescent="0.25">
      <c r="A83" s="6"/>
      <c r="B83" t="s">
        <v>64</v>
      </c>
      <c r="C83" s="1">
        <v>0.36535162950257299</v>
      </c>
      <c r="D83" s="1">
        <v>0.39451114922813002</v>
      </c>
      <c r="E83">
        <v>583</v>
      </c>
      <c r="F83" s="1">
        <v>0.39622641509433998</v>
      </c>
      <c r="G83" s="1">
        <v>0.39794168096054899</v>
      </c>
      <c r="H83">
        <v>583</v>
      </c>
    </row>
    <row r="84" spans="1:12" x14ac:dyDescent="0.25">
      <c r="A84" s="6"/>
      <c r="B84" t="s">
        <v>65</v>
      </c>
      <c r="C84" s="1">
        <v>0.39279588336192101</v>
      </c>
      <c r="D84" s="1">
        <v>0.379073756432247</v>
      </c>
      <c r="E84">
        <v>583</v>
      </c>
      <c r="F84" s="1">
        <v>0.39451114922813002</v>
      </c>
      <c r="G84" s="1">
        <v>0.39279588336192101</v>
      </c>
      <c r="H84">
        <v>583</v>
      </c>
    </row>
    <row r="85" spans="1:12" x14ac:dyDescent="0.25">
      <c r="A85" s="6"/>
      <c r="B85" t="s">
        <v>66</v>
      </c>
      <c r="C85" s="1">
        <v>0.32761578044596901</v>
      </c>
      <c r="D85" s="1">
        <v>0.307032590051458</v>
      </c>
      <c r="E85">
        <v>583</v>
      </c>
      <c r="F85" s="1">
        <v>0.30188679245283001</v>
      </c>
      <c r="G85" s="1">
        <v>0.36878216123499102</v>
      </c>
      <c r="H85">
        <v>583</v>
      </c>
    </row>
    <row r="87" spans="1:12" x14ac:dyDescent="0.25">
      <c r="B87" s="2" t="s">
        <v>2</v>
      </c>
      <c r="C87" s="3">
        <f>AVERAGE(C3:C11)*100</f>
        <v>24.102618186527824</v>
      </c>
      <c r="D87" s="3">
        <f t="shared" ref="D87" si="0">AVERAGE(D3:D11)*100</f>
        <v>26.598742842986589</v>
      </c>
      <c r="E87" s="4"/>
      <c r="F87" s="3">
        <f>AVERAGE(F3:F11)*100</f>
        <v>31.640172258157207</v>
      </c>
      <c r="G87" s="3">
        <f t="shared" ref="G87" si="1">AVERAGE(G3:G11)*100</f>
        <v>32.359941592955096</v>
      </c>
      <c r="H87" s="4"/>
      <c r="I87" s="4"/>
      <c r="K87" t="s">
        <v>22</v>
      </c>
      <c r="L87" t="s">
        <v>23</v>
      </c>
    </row>
    <row r="88" spans="1:12" x14ac:dyDescent="0.25">
      <c r="B88" s="2" t="s">
        <v>3</v>
      </c>
      <c r="C88" s="3">
        <f>AVERAGE(C12:C20)*100</f>
        <v>41.319898721789237</v>
      </c>
      <c r="D88" s="3">
        <f t="shared" ref="D88" si="2">AVERAGE(D12:D20)*100</f>
        <v>38.988389189318461</v>
      </c>
      <c r="E88" s="4"/>
      <c r="F88" s="3">
        <f>AVERAGE(F12:F20)*100</f>
        <v>33.361169228286883</v>
      </c>
      <c r="G88" s="3">
        <f t="shared" ref="G88" si="3">AVERAGE(G12:G20)*100</f>
        <v>32.886233016454604</v>
      </c>
      <c r="H88" s="4"/>
      <c r="I88" s="4"/>
      <c r="J88" s="2" t="s">
        <v>76</v>
      </c>
      <c r="K88" s="5">
        <f>AVERAGE(E3:E20)</f>
        <v>646.61111111111109</v>
      </c>
      <c r="L88" s="5">
        <f>AVERAGE(H3:H20)</f>
        <v>646.55555555555554</v>
      </c>
    </row>
    <row r="89" spans="1:12" x14ac:dyDescent="0.25">
      <c r="B89" s="2" t="s">
        <v>9</v>
      </c>
      <c r="C89" s="3">
        <f>AVERAGE(C21:C29)*100</f>
        <v>15.674814562765643</v>
      </c>
      <c r="D89" s="3">
        <f t="shared" ref="D89" si="4">AVERAGE(D21:D29)*100</f>
        <v>22.238804666046853</v>
      </c>
      <c r="E89" s="4"/>
      <c r="F89" s="3">
        <f>AVERAGE(F21:F29)*100</f>
        <v>31.844474631432096</v>
      </c>
      <c r="G89" s="3">
        <f t="shared" ref="G89" si="5">AVERAGE(G21:G29)*100</f>
        <v>31.516611351599828</v>
      </c>
      <c r="H89" s="4"/>
      <c r="I89" s="4"/>
      <c r="J89" s="2" t="s">
        <v>77</v>
      </c>
      <c r="K89" s="5">
        <f>AVERAGE(E52:E64)</f>
        <v>583.30769230769226</v>
      </c>
      <c r="L89" s="5">
        <f>AVERAGE(H52:H64)</f>
        <v>583.23076923076928</v>
      </c>
    </row>
    <row r="90" spans="1:12" x14ac:dyDescent="0.25">
      <c r="B90" s="2" t="s">
        <v>0</v>
      </c>
      <c r="C90" s="3">
        <f>AVERAGE(C30:C40)*100</f>
        <v>19.01409454558781</v>
      </c>
      <c r="D90" s="3">
        <f t="shared" ref="D90" si="6">AVERAGE(D30:D40)*100</f>
        <v>25.815636359474698</v>
      </c>
      <c r="E90" s="4"/>
      <c r="F90" s="3">
        <f>AVERAGE(F30:F40)*100</f>
        <v>32.987150283639245</v>
      </c>
      <c r="G90" s="3">
        <f t="shared" ref="G90" si="7">AVERAGE(G30:G40)*100</f>
        <v>33.86017499608878</v>
      </c>
      <c r="H90" s="4"/>
      <c r="I90" s="4"/>
      <c r="J90" s="4"/>
      <c r="K90" s="4"/>
    </row>
    <row r="91" spans="1:12" x14ac:dyDescent="0.25">
      <c r="B91" s="2" t="s">
        <v>1</v>
      </c>
      <c r="C91" s="3">
        <f>AVERAGE(C41:C51)*100</f>
        <v>32.53200118740299</v>
      </c>
      <c r="D91" s="3">
        <f t="shared" ref="D91" si="8">AVERAGE(D41:D51)*100</f>
        <v>33.356496352906802</v>
      </c>
      <c r="E91" s="4"/>
      <c r="F91" s="3">
        <f>AVERAGE(F41:F51)*100</f>
        <v>33.716474523852312</v>
      </c>
      <c r="G91" s="3">
        <f t="shared" ref="G91" si="9">AVERAGE(G41:G51)*100</f>
        <v>31.749407204513385</v>
      </c>
      <c r="H91" s="4"/>
      <c r="I91" s="4"/>
      <c r="J91" s="4"/>
      <c r="K91" s="4"/>
    </row>
    <row r="92" spans="1:12" x14ac:dyDescent="0.25">
      <c r="B92" s="2" t="s">
        <v>4</v>
      </c>
      <c r="C92" s="3">
        <f>AVERAGE(C52:C59)*100</f>
        <v>15.188439452658486</v>
      </c>
      <c r="D92" s="3">
        <f t="shared" ref="D92" si="10">AVERAGE(D52:D59)*100</f>
        <v>21.632400364741748</v>
      </c>
      <c r="E92" s="4"/>
      <c r="F92" s="3">
        <f>AVERAGE(F52:F59)*100</f>
        <v>34.558362140485663</v>
      </c>
      <c r="G92" s="3">
        <f t="shared" ref="G92" si="11">AVERAGE(G52:G59)*100</f>
        <v>33.743436790087053</v>
      </c>
      <c r="H92" s="4"/>
      <c r="I92" s="4"/>
      <c r="J92" s="4"/>
      <c r="K92" s="4"/>
    </row>
    <row r="93" spans="1:12" x14ac:dyDescent="0.25">
      <c r="B93" s="2" t="s">
        <v>5</v>
      </c>
      <c r="C93" s="3">
        <f>AVERAGE(C60:C64)*100</f>
        <v>29.258749378370918</v>
      </c>
      <c r="D93" s="3">
        <f t="shared" ref="D93" si="12">AVERAGE(D60:D64)*100</f>
        <v>33.573964864562797</v>
      </c>
      <c r="E93" s="4"/>
      <c r="F93" s="3">
        <f>AVERAGE(F60:F64)*100</f>
        <v>30.761156812587799</v>
      </c>
      <c r="G93" s="3">
        <f t="shared" ref="G93" si="13">AVERAGE(G60:G64)*100</f>
        <v>34.570266780031538</v>
      </c>
      <c r="H93" s="4"/>
      <c r="I93" s="4"/>
      <c r="J93" s="4"/>
      <c r="K93" s="4"/>
    </row>
    <row r="94" spans="1:12" x14ac:dyDescent="0.25">
      <c r="B94" s="2" t="s">
        <v>10</v>
      </c>
      <c r="C94" s="3">
        <f>AVERAGE(C65:C69)*100</f>
        <v>19.38148880006748</v>
      </c>
      <c r="D94" s="3">
        <f t="shared" ref="D94" si="14">AVERAGE(D65:D69)*100</f>
        <v>30.024351718725239</v>
      </c>
      <c r="E94" s="4"/>
      <c r="F94" s="3">
        <f>AVERAGE(F65:F69)*100</f>
        <v>32.578149776930317</v>
      </c>
      <c r="G94" s="3">
        <f t="shared" ref="G94" si="15">AVERAGE(G65:G69)*100</f>
        <v>34.154612794168358</v>
      </c>
      <c r="H94" s="4"/>
      <c r="I94" s="4"/>
      <c r="J94" s="4"/>
      <c r="K94" s="4"/>
    </row>
    <row r="95" spans="1:12" x14ac:dyDescent="0.25">
      <c r="B95" s="2" t="s">
        <v>6</v>
      </c>
      <c r="C95" s="3">
        <f>AVERAGE(C70:C77)*100</f>
        <v>21.676672384219565</v>
      </c>
      <c r="D95" s="3">
        <f t="shared" ref="D95" si="16">AVERAGE(D70:D77)*100</f>
        <v>28.173241852487141</v>
      </c>
      <c r="E95" s="4"/>
      <c r="F95" s="3">
        <f>AVERAGE(F70:F77)*100</f>
        <v>33.061749571183533</v>
      </c>
      <c r="G95" s="3">
        <f t="shared" ref="G95" si="17">AVERAGE(G70:G77)*100</f>
        <v>32.82590051457975</v>
      </c>
      <c r="H95" s="4"/>
      <c r="I95" s="4"/>
      <c r="J95" s="4"/>
      <c r="K95" s="4"/>
    </row>
    <row r="96" spans="1:12" x14ac:dyDescent="0.25">
      <c r="B96" s="2" t="s">
        <v>7</v>
      </c>
      <c r="C96" s="3">
        <f>AVERAGE(C78:C85)*100</f>
        <v>34.3481989708405</v>
      </c>
      <c r="D96" s="3">
        <f t="shared" ref="D96" si="18">AVERAGE(D78:D85)*100</f>
        <v>35.441680960548879</v>
      </c>
      <c r="E96" s="4"/>
      <c r="F96" s="3">
        <f>AVERAGE(F78:F85)*100</f>
        <v>33.790737564322463</v>
      </c>
      <c r="G96" s="3">
        <f t="shared" ref="G96" si="19">AVERAGE(G78:G85)*100</f>
        <v>36.127787307032577</v>
      </c>
      <c r="H96" s="4"/>
      <c r="I96" s="4"/>
      <c r="J96" s="4"/>
      <c r="K96" s="4"/>
    </row>
    <row r="97" spans="3:11" x14ac:dyDescent="0.25">
      <c r="C97" s="4"/>
      <c r="D97" s="4"/>
      <c r="E97" s="4"/>
      <c r="F97" s="4"/>
      <c r="G97" s="4"/>
      <c r="H97" s="4"/>
      <c r="I97" s="4"/>
      <c r="J97" s="4"/>
      <c r="K97" s="4"/>
    </row>
    <row r="98" spans="3:11" x14ac:dyDescent="0.25">
      <c r="C98" s="4"/>
      <c r="D98" s="4"/>
      <c r="E98" s="4"/>
      <c r="F98" s="4"/>
      <c r="G98" s="4"/>
      <c r="H98" s="4"/>
      <c r="I98" s="4"/>
      <c r="J98" s="4"/>
      <c r="K98" s="4"/>
    </row>
  </sheetData>
  <mergeCells count="12">
    <mergeCell ref="A78:A85"/>
    <mergeCell ref="C1:E1"/>
    <mergeCell ref="F1:H1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SlowWaves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2017-03-26T20:03:58Z</dcterms:modified>
</cp:coreProperties>
</file>