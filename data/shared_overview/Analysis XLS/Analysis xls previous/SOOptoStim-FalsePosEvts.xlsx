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30"/>
  <workbookPr filterPrivacy="1" codeName="ThisWorkbook"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Avg Traces and peak plot per mice/"/>
    </mc:Choice>
  </mc:AlternateContent>
  <bookViews>
    <workbookView xWindow="1320" yWindow="900" windowWidth="17360" windowHeight="15940"/>
  </bookViews>
  <sheets>
    <sheet name="SlowSpi-FOR" sheetId="23" r:id="rId1"/>
    <sheet name="Ripples" sheetId="22" r:id="rId2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89" i="22" l="1"/>
  <c r="K90" i="22"/>
  <c r="K91" i="22"/>
  <c r="G89" i="22"/>
  <c r="G90" i="22"/>
  <c r="G91" i="22"/>
  <c r="G5" i="22"/>
  <c r="G6" i="22"/>
  <c r="G7" i="22"/>
  <c r="G9" i="22"/>
  <c r="G10" i="22"/>
  <c r="G11" i="22"/>
  <c r="G12" i="22"/>
  <c r="G13" i="22"/>
  <c r="G14" i="22"/>
  <c r="G15" i="22"/>
  <c r="G16" i="22"/>
  <c r="G17" i="22"/>
  <c r="G18" i="22"/>
  <c r="G19" i="22"/>
  <c r="G21" i="22"/>
  <c r="G22" i="22"/>
  <c r="G26" i="22"/>
  <c r="G4" i="22"/>
  <c r="K89" i="23"/>
  <c r="K90" i="23"/>
  <c r="K91" i="23"/>
  <c r="G90" i="23"/>
  <c r="G89" i="23"/>
  <c r="G91" i="23"/>
  <c r="G13" i="23"/>
  <c r="G14" i="23"/>
  <c r="G15" i="23"/>
  <c r="G22" i="23"/>
  <c r="G23" i="23"/>
  <c r="G24" i="23"/>
  <c r="G5" i="23"/>
  <c r="G6" i="23"/>
  <c r="G7" i="23"/>
  <c r="G8" i="23"/>
  <c r="G9" i="23"/>
  <c r="G10" i="23"/>
  <c r="G4" i="23"/>
  <c r="H89" i="23"/>
  <c r="F24" i="23"/>
  <c r="F23" i="23"/>
  <c r="F5" i="23"/>
  <c r="F6" i="23"/>
  <c r="F7" i="23"/>
  <c r="F8" i="23"/>
  <c r="F9" i="23"/>
  <c r="F10" i="23"/>
  <c r="I91" i="23"/>
  <c r="H91" i="23"/>
  <c r="E91" i="23"/>
  <c r="D91" i="23"/>
  <c r="C91" i="23"/>
  <c r="I90" i="23"/>
  <c r="H90" i="23"/>
  <c r="E90" i="23"/>
  <c r="D90" i="23"/>
  <c r="C90" i="23"/>
  <c r="I89" i="23"/>
  <c r="E89" i="23"/>
  <c r="D89" i="23"/>
  <c r="C89" i="23"/>
  <c r="F22" i="23"/>
  <c r="J91" i="23"/>
  <c r="F15" i="23"/>
  <c r="F14" i="23"/>
  <c r="F13" i="23"/>
  <c r="F4" i="23"/>
  <c r="F89" i="23"/>
  <c r="F90" i="23"/>
  <c r="J90" i="23"/>
  <c r="F91" i="23"/>
  <c r="J89" i="23"/>
  <c r="F5" i="22"/>
  <c r="F6" i="22"/>
  <c r="F7" i="22"/>
  <c r="F9" i="22"/>
  <c r="F10" i="22"/>
  <c r="F11" i="22"/>
  <c r="F12" i="22"/>
  <c r="F13" i="22"/>
  <c r="F14" i="22"/>
  <c r="F15" i="22"/>
  <c r="F16" i="22"/>
  <c r="F17" i="22"/>
  <c r="F18" i="22"/>
  <c r="F19" i="22"/>
  <c r="F21" i="22"/>
  <c r="F22" i="22"/>
  <c r="F26" i="22"/>
  <c r="F4" i="22"/>
  <c r="D91" i="22"/>
  <c r="C91" i="22"/>
  <c r="C90" i="22"/>
  <c r="C89" i="22"/>
  <c r="I89" i="22"/>
  <c r="J89" i="22"/>
  <c r="I90" i="22"/>
  <c r="J90" i="22"/>
  <c r="I91" i="22"/>
  <c r="J91" i="22"/>
  <c r="H91" i="22"/>
  <c r="H90" i="22"/>
  <c r="H89" i="22"/>
  <c r="E89" i="22"/>
  <c r="F89" i="22"/>
  <c r="E90" i="22"/>
  <c r="F90" i="22"/>
  <c r="E91" i="22"/>
  <c r="F91" i="22"/>
  <c r="D90" i="22"/>
  <c r="D89" i="22"/>
</calcChain>
</file>

<file path=xl/sharedStrings.xml><?xml version="1.0" encoding="utf-8"?>
<sst xmlns="http://schemas.openxmlformats.org/spreadsheetml/2006/main" count="218" uniqueCount="104">
  <si>
    <t>Mouse</t>
  </si>
  <si>
    <t>IN-FC-OS46</t>
  </si>
  <si>
    <t>IN-FC-OS47</t>
  </si>
  <si>
    <t>IN-FC-OS49</t>
  </si>
  <si>
    <t>IN-FC-OS59</t>
  </si>
  <si>
    <t>IN-FC-OS62</t>
  </si>
  <si>
    <t>IN-FC-OS65</t>
  </si>
  <si>
    <t>IN-FC-OS83</t>
  </si>
  <si>
    <t>IN-FC-OS86</t>
  </si>
  <si>
    <t>IN-FC-OS88</t>
  </si>
  <si>
    <t>OUT-FC-OS45</t>
  </si>
  <si>
    <t>OUT-FC-OS50</t>
  </si>
  <si>
    <t>OUT-FC-OS54</t>
  </si>
  <si>
    <t>OUT-FC-OS57</t>
  </si>
  <si>
    <t>OUT-FC-OS58</t>
  </si>
  <si>
    <t>OUT-FC-OS61</t>
  </si>
  <si>
    <t>OUT-FC-OS64</t>
  </si>
  <si>
    <t>OUT-FC-OS84</t>
  </si>
  <si>
    <t>OUT-FC-OS89</t>
  </si>
  <si>
    <t>NOSTIM-FC-OS41</t>
  </si>
  <si>
    <t>NOSTIM-FC-OS44</t>
  </si>
  <si>
    <t>NOSTIM-FC-OS51</t>
  </si>
  <si>
    <t>NOSTIM-FC-OS52</t>
  </si>
  <si>
    <t>NOSTIM-FC-OS56</t>
  </si>
  <si>
    <t>NOSTIM-FC-OS60</t>
  </si>
  <si>
    <t>NOSTIM-FC-OS63</t>
  </si>
  <si>
    <t>NOSTIM-FC-OS66</t>
  </si>
  <si>
    <t>NOSTIM-FC-OS81</t>
  </si>
  <si>
    <t>NOSTIM-FC-OS85</t>
  </si>
  <si>
    <t>NOSTIM-FC-OS87</t>
  </si>
  <si>
    <t>IN-OIcreARC1</t>
  </si>
  <si>
    <t>IN-OIcreARC2</t>
  </si>
  <si>
    <t>IN-OIcreARC3</t>
  </si>
  <si>
    <t>IN-OIcreARC4</t>
  </si>
  <si>
    <t>IN-OIcreARC5</t>
  </si>
  <si>
    <t>IN-OIcreARC6</t>
  </si>
  <si>
    <t>IN-OIcreARC7</t>
  </si>
  <si>
    <t>IN-OIcreARC16</t>
  </si>
  <si>
    <t>IN-OIcreCH1</t>
  </si>
  <si>
    <t>IN-OIcreCH3</t>
  </si>
  <si>
    <t>IN-OIcreCH6</t>
  </si>
  <si>
    <t>IN-OIcreCH8</t>
  </si>
  <si>
    <t>IN-OIcreCH30</t>
  </si>
  <si>
    <t>IN-OIcreCH31</t>
  </si>
  <si>
    <t>IN-OIcreCH32</t>
  </si>
  <si>
    <t>OUT-OIcreARC15</t>
  </si>
  <si>
    <t>OUT-OIcreARC16</t>
  </si>
  <si>
    <t>OUT-OIcreARC17</t>
  </si>
  <si>
    <t>OUT-OIcreARC18</t>
  </si>
  <si>
    <t>OUT-OIcreARC19</t>
  </si>
  <si>
    <t>NOSTIM-OIcreNO1</t>
  </si>
  <si>
    <t>NOSTIM-OIcreNO2</t>
  </si>
  <si>
    <t>NOSTIM-OIcreNO4</t>
  </si>
  <si>
    <t>NOSTIM-OIcreNO5</t>
  </si>
  <si>
    <t>NOSTIM-OIcreNO6</t>
  </si>
  <si>
    <t>NOSTIM-OIcreNO7ARC11</t>
  </si>
  <si>
    <t>NOSTIM-OIcreNO8ARC12</t>
  </si>
  <si>
    <t>NOSTIM-OIcreNOARC4</t>
  </si>
  <si>
    <t>IN-OPR-1639</t>
  </si>
  <si>
    <t>IN-OPR-2002</t>
  </si>
  <si>
    <t>IN-OPR-2335</t>
  </si>
  <si>
    <t>IN-OPR-2824</t>
  </si>
  <si>
    <t>IN-OPR-3022</t>
  </si>
  <si>
    <t>IN-OPR-3131</t>
  </si>
  <si>
    <t>IN-OPR-7095</t>
  </si>
  <si>
    <t>IN-OPR-68112</t>
  </si>
  <si>
    <t>OUT-OPR-1742</t>
  </si>
  <si>
    <t>OUT-OPR-1843</t>
  </si>
  <si>
    <t>OUT-OPR-3435</t>
  </si>
  <si>
    <t>OUT-OPR-3527</t>
  </si>
  <si>
    <t>OUT-OPR-5011</t>
  </si>
  <si>
    <t>OUT-OPR-5112</t>
  </si>
  <si>
    <t>OUT-OPR-69115</t>
  </si>
  <si>
    <t>NOSTIM-OPR-0449</t>
  </si>
  <si>
    <t>NOSTIM-OPR-0715</t>
  </si>
  <si>
    <t>NOSTIM-OPR-1254</t>
  </si>
  <si>
    <t>NOSTIM-OPR-1347</t>
  </si>
  <si>
    <t>NOSTIM-OPR-1541</t>
  </si>
  <si>
    <t>NOSTIM-OPR-2401</t>
  </si>
  <si>
    <t>NOSTIM-OPR-2728</t>
  </si>
  <si>
    <t>NOSTIM-OPR-2930</t>
  </si>
  <si>
    <t>NOSTIM-OPR-3326</t>
  </si>
  <si>
    <t>IN</t>
  </si>
  <si>
    <t>IN-FC</t>
  </si>
  <si>
    <t>OUT-FC</t>
  </si>
  <si>
    <t>IN-creARC</t>
  </si>
  <si>
    <t>IN-creCH</t>
  </si>
  <si>
    <t>OUT-creARC</t>
  </si>
  <si>
    <t>IN-OPR</t>
  </si>
  <si>
    <t>OUT-OPR</t>
  </si>
  <si>
    <t>FRO</t>
  </si>
  <si>
    <t>PAR</t>
  </si>
  <si>
    <t>CA1</t>
  </si>
  <si>
    <t>NoStim-OPR-IN</t>
  </si>
  <si>
    <t>Number</t>
  </si>
  <si>
    <t>Mean</t>
  </si>
  <si>
    <t>SEM</t>
  </si>
  <si>
    <t>Any</t>
  </si>
  <si>
    <t>All</t>
  </si>
  <si>
    <t>Absolute</t>
  </si>
  <si>
    <t>Percentage</t>
  </si>
  <si>
    <t>BadEvts</t>
  </si>
  <si>
    <t>NoStim-FC</t>
  </si>
  <si>
    <t>NoSTIM-creARC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</si>
</sst>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/>
    </xf>
    <xf numFmtId="2" fontId="0" fillId="2" borderId="0" xfId="0" applyNumberFormat="1" applyFill="1"/>
    <xf numFmtId="2" fontId="0" fillId="0" borderId="0" xfId="0" applyNumberFormat="1" applyFill="1"/>
    <xf numFmtId="0" fontId="1" fillId="2" borderId="0" xfId="0" applyFont="1" applyFill="1"/>
    <xf numFmtId="164" fontId="0" fillId="0" borderId="0" xfId="0" applyNumberFormat="1"/>
    <xf numFmtId="1" fontId="0" fillId="0" borderId="0" xfId="0" applyNumberFormat="1"/>
    <xf numFmtId="1" fontId="0" fillId="0" borderId="0" xfId="0" applyNumberFormat="1" applyFill="1"/>
    <xf numFmtId="0" fontId="0" fillId="0" borderId="0" xfId="0" applyFill="1"/>
    <xf numFmtId="0" fontId="0" fillId="0" borderId="0" xfId="0" applyAlignment="1">
      <alignment horizontal="right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"/>
          <c:y val="0.0514005540974045"/>
          <c:w val="0.843109361329834"/>
          <c:h val="0.832619568387285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'SlowSpi-FOR'!$H$89:$J$89</c:f>
                <c:numCache>
                  <c:formatCode>General</c:formatCode>
                  <c:ptCount val="3"/>
                  <c:pt idx="0">
                    <c:v>177.4597012795618</c:v>
                  </c:pt>
                  <c:pt idx="1">
                    <c:v>6.967368060255954</c:v>
                  </c:pt>
                  <c:pt idx="2">
                    <c:v>0.857310412347447</c:v>
                  </c:pt>
                </c:numCache>
              </c:numRef>
            </c:plus>
            <c:minus>
              <c:numRef>
                <c:f>'SlowSpi-FOR'!$H$89:$J$89</c:f>
                <c:numCache>
                  <c:formatCode>General</c:formatCode>
                  <c:ptCount val="3"/>
                  <c:pt idx="0">
                    <c:v>177.4597012795618</c:v>
                  </c:pt>
                  <c:pt idx="1">
                    <c:v>6.967368060255954</c:v>
                  </c:pt>
                  <c:pt idx="2">
                    <c:v>0.857310412347447</c:v>
                  </c:pt>
                </c:numCache>
              </c:numRef>
            </c:minus>
          </c:errBars>
          <c:cat>
            <c:strRef>
              <c:f>'SlowSpi-FOR'!$D$88:$F$88</c:f>
              <c:strCache>
                <c:ptCount val="3"/>
                <c:pt idx="0">
                  <c:v>All</c:v>
                </c:pt>
                <c:pt idx="1">
                  <c:v>BadEvts</c:v>
                </c:pt>
                <c:pt idx="2">
                  <c:v>Percentage</c:v>
                </c:pt>
              </c:strCache>
            </c:strRef>
          </c:cat>
          <c:val>
            <c:numRef>
              <c:f>'SlowSpi-FOR'!$D$89:$F$89</c:f>
              <c:numCache>
                <c:formatCode>0.00</c:formatCode>
                <c:ptCount val="3"/>
                <c:pt idx="0">
                  <c:v>1062.571428571429</c:v>
                </c:pt>
                <c:pt idx="1">
                  <c:v>33.14285714285714</c:v>
                </c:pt>
                <c:pt idx="2">
                  <c:v>3.674362992676486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D0-45C7-B062-5DEF3F858FA0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'SlowSpi-FOR'!$H$90:$J$90</c:f>
                <c:numCache>
                  <c:formatCode>General</c:formatCode>
                  <c:ptCount val="3"/>
                  <c:pt idx="0">
                    <c:v>233.8349370341777</c:v>
                  </c:pt>
                  <c:pt idx="1">
                    <c:v>5.567764362830022</c:v>
                  </c:pt>
                  <c:pt idx="2">
                    <c:v>0.154880617386519</c:v>
                  </c:pt>
                </c:numCache>
              </c:numRef>
            </c:plus>
            <c:minus>
              <c:numRef>
                <c:f>'SlowSpi-FOR'!$H$90:$J$90</c:f>
                <c:numCache>
                  <c:formatCode>General</c:formatCode>
                  <c:ptCount val="3"/>
                  <c:pt idx="0">
                    <c:v>233.8349370341777</c:v>
                  </c:pt>
                  <c:pt idx="1">
                    <c:v>5.567764362830022</c:v>
                  </c:pt>
                  <c:pt idx="2">
                    <c:v>0.154880617386519</c:v>
                  </c:pt>
                </c:numCache>
              </c:numRef>
            </c:minus>
          </c:errBars>
          <c:cat>
            <c:strRef>
              <c:f>'SlowSpi-FOR'!$D$88:$F$88</c:f>
              <c:strCache>
                <c:ptCount val="3"/>
                <c:pt idx="0">
                  <c:v>All</c:v>
                </c:pt>
                <c:pt idx="1">
                  <c:v>BadEvts</c:v>
                </c:pt>
                <c:pt idx="2">
                  <c:v>Percentage</c:v>
                </c:pt>
              </c:strCache>
            </c:strRef>
          </c:cat>
          <c:val>
            <c:numRef>
              <c:f>'SlowSpi-FOR'!$D$90:$F$90</c:f>
              <c:numCache>
                <c:formatCode>0.00</c:formatCode>
                <c:ptCount val="3"/>
                <c:pt idx="0">
                  <c:v>1536.666666666667</c:v>
                </c:pt>
                <c:pt idx="1">
                  <c:v>20.0</c:v>
                </c:pt>
                <c:pt idx="2">
                  <c:v>1.256718893120224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1D0-45C7-B062-5DEF3F858FA0}"/>
            </c:ext>
          </c:extLst>
        </c:ser>
        <c:ser>
          <c:idx val="3"/>
          <c:order val="2"/>
          <c:tx>
            <c:v>NoStim-FC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'SlowSpi-FOR'!$H$91:$J$91</c:f>
                <c:numCache>
                  <c:formatCode>General</c:formatCode>
                  <c:ptCount val="3"/>
                  <c:pt idx="0">
                    <c:v>201.4533306859048</c:v>
                  </c:pt>
                  <c:pt idx="1">
                    <c:v>3.179797338056485</c:v>
                  </c:pt>
                  <c:pt idx="2">
                    <c:v>0.084286652976034</c:v>
                  </c:pt>
                </c:numCache>
              </c:numRef>
            </c:plus>
            <c:minus>
              <c:numRef>
                <c:f>'SlowSpi-FOR'!$H$91:$J$91</c:f>
                <c:numCache>
                  <c:formatCode>General</c:formatCode>
                  <c:ptCount val="3"/>
                  <c:pt idx="0">
                    <c:v>201.4533306859048</c:v>
                  </c:pt>
                  <c:pt idx="1">
                    <c:v>3.179797338056485</c:v>
                  </c:pt>
                  <c:pt idx="2">
                    <c:v>0.084286652976034</c:v>
                  </c:pt>
                </c:numCache>
              </c:numRef>
            </c:minus>
          </c:errBars>
          <c:cat>
            <c:strRef>
              <c:f>'SlowSpi-FOR'!$D$88:$F$88</c:f>
              <c:strCache>
                <c:ptCount val="3"/>
                <c:pt idx="0">
                  <c:v>All</c:v>
                </c:pt>
                <c:pt idx="1">
                  <c:v>BadEvts</c:v>
                </c:pt>
                <c:pt idx="2">
                  <c:v>Percentage</c:v>
                </c:pt>
              </c:strCache>
            </c:strRef>
          </c:cat>
          <c:val>
            <c:numRef>
              <c:f>'SlowSpi-FOR'!$D$91:$F$91</c:f>
              <c:numCache>
                <c:formatCode>0.00</c:formatCode>
                <c:ptCount val="3"/>
                <c:pt idx="0">
                  <c:v>1396.333333333333</c:v>
                </c:pt>
                <c:pt idx="1">
                  <c:v>14.66666666666667</c:v>
                </c:pt>
                <c:pt idx="2">
                  <c:v>1.0338085104238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1D0-45C7-B062-5DEF3F858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23436080"/>
        <c:axId val="-2022997872"/>
      </c:barChart>
      <c:catAx>
        <c:axId val="-2023436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22997872"/>
        <c:crosses val="autoZero"/>
        <c:auto val="1"/>
        <c:lblAlgn val="ctr"/>
        <c:lblOffset val="100"/>
        <c:noMultiLvlLbl val="0"/>
      </c:catAx>
      <c:valAx>
        <c:axId val="-202299787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2343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09066414141414"/>
          <c:y val="0.00366980169145523"/>
          <c:w val="0.688155808080808"/>
          <c:h val="0.259650925925926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"/>
          <c:y val="0.0514005540974045"/>
          <c:w val="0.843109361329834"/>
          <c:h val="0.832619568387285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Ripples!$H$89:$J$89</c:f>
                <c:numCache>
                  <c:formatCode>General</c:formatCode>
                  <c:ptCount val="3"/>
                  <c:pt idx="0">
                    <c:v>407.7005614024306</c:v>
                  </c:pt>
                  <c:pt idx="1">
                    <c:v>32.82896695646348</c:v>
                  </c:pt>
                  <c:pt idx="2">
                    <c:v>0.652078646826858</c:v>
                  </c:pt>
                </c:numCache>
              </c:numRef>
            </c:plus>
            <c:minus>
              <c:numRef>
                <c:f>Ripples!$H$89:$J$89</c:f>
                <c:numCache>
                  <c:formatCode>General</c:formatCode>
                  <c:ptCount val="3"/>
                  <c:pt idx="0">
                    <c:v>407.7005614024306</c:v>
                  </c:pt>
                  <c:pt idx="1">
                    <c:v>32.82896695646348</c:v>
                  </c:pt>
                  <c:pt idx="2">
                    <c:v>0.652078646826858</c:v>
                  </c:pt>
                </c:numCache>
              </c:numRef>
            </c:minus>
          </c:errBars>
          <c:cat>
            <c:strRef>
              <c:f>Ripples!$D$88:$F$88</c:f>
              <c:strCache>
                <c:ptCount val="3"/>
                <c:pt idx="0">
                  <c:v>All</c:v>
                </c:pt>
                <c:pt idx="1">
                  <c:v>BadEvts</c:v>
                </c:pt>
                <c:pt idx="2">
                  <c:v>Percentage</c:v>
                </c:pt>
              </c:strCache>
            </c:strRef>
          </c:cat>
          <c:val>
            <c:numRef>
              <c:f>Ripples!$D$89:$F$89</c:f>
              <c:numCache>
                <c:formatCode>0.00</c:formatCode>
                <c:ptCount val="3"/>
                <c:pt idx="0">
                  <c:v>2586.625</c:v>
                </c:pt>
                <c:pt idx="1">
                  <c:v>133.25</c:v>
                </c:pt>
                <c:pt idx="2">
                  <c:v>5.041668349443495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D0-45C7-B062-5DEF3F858FA0}"/>
            </c:ext>
          </c:extLst>
        </c:ser>
        <c:ser>
          <c:idx val="1"/>
          <c:order val="1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Ripples!$H$90:$J$90</c:f>
                <c:numCache>
                  <c:formatCode>General</c:formatCode>
                  <c:ptCount val="3"/>
                  <c:pt idx="0">
                    <c:v>225.1280538382544</c:v>
                  </c:pt>
                  <c:pt idx="1">
                    <c:v>51.16637340927283</c:v>
                  </c:pt>
                  <c:pt idx="2">
                    <c:v>1.425041092581488</c:v>
                  </c:pt>
                </c:numCache>
              </c:numRef>
            </c:plus>
            <c:minus>
              <c:numRef>
                <c:f>Ripples!$H$90:$J$90</c:f>
                <c:numCache>
                  <c:formatCode>General</c:formatCode>
                  <c:ptCount val="3"/>
                  <c:pt idx="0">
                    <c:v>225.1280538382544</c:v>
                  </c:pt>
                  <c:pt idx="1">
                    <c:v>51.16637340927283</c:v>
                  </c:pt>
                  <c:pt idx="2">
                    <c:v>1.425041092581488</c:v>
                  </c:pt>
                </c:numCache>
              </c:numRef>
            </c:minus>
          </c:errBars>
          <c:cat>
            <c:strRef>
              <c:f>Ripples!$D$88:$F$88</c:f>
              <c:strCache>
                <c:ptCount val="3"/>
                <c:pt idx="0">
                  <c:v>All</c:v>
                </c:pt>
                <c:pt idx="1">
                  <c:v>BadEvts</c:v>
                </c:pt>
                <c:pt idx="2">
                  <c:v>Percentage</c:v>
                </c:pt>
              </c:strCache>
            </c:strRef>
          </c:cat>
          <c:val>
            <c:numRef>
              <c:f>Ripples!$D$90:$F$90</c:f>
              <c:numCache>
                <c:formatCode>0.00</c:formatCode>
                <c:ptCount val="3"/>
                <c:pt idx="0">
                  <c:v>3051.625</c:v>
                </c:pt>
                <c:pt idx="1">
                  <c:v>182.375</c:v>
                </c:pt>
                <c:pt idx="2">
                  <c:v>5.70097999471566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1D0-45C7-B062-5DEF3F858FA0}"/>
            </c:ext>
          </c:extLst>
        </c:ser>
        <c:ser>
          <c:idx val="3"/>
          <c:order val="2"/>
          <c:tx>
            <c:v>NoStim-FC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Ripples!$H$91:$J$91</c:f>
                <c:numCache>
                  <c:formatCode>General</c:formatCode>
                  <c:ptCount val="3"/>
                  <c:pt idx="0">
                    <c:v>415.824615807086</c:v>
                  </c:pt>
                  <c:pt idx="1">
                    <c:v>123.0</c:v>
                  </c:pt>
                  <c:pt idx="2">
                    <c:v>2.388467844770733</c:v>
                  </c:pt>
                </c:numCache>
              </c:numRef>
            </c:plus>
            <c:minus>
              <c:numRef>
                <c:f>Ripples!$H$91:$J$91</c:f>
                <c:numCache>
                  <c:formatCode>General</c:formatCode>
                  <c:ptCount val="3"/>
                  <c:pt idx="0">
                    <c:v>415.824615807086</c:v>
                  </c:pt>
                  <c:pt idx="1">
                    <c:v>123.0</c:v>
                  </c:pt>
                  <c:pt idx="2">
                    <c:v>2.388467844770733</c:v>
                  </c:pt>
                </c:numCache>
              </c:numRef>
            </c:minus>
          </c:errBars>
          <c:cat>
            <c:strRef>
              <c:f>Ripples!$D$88:$F$88</c:f>
              <c:strCache>
                <c:ptCount val="3"/>
                <c:pt idx="0">
                  <c:v>All</c:v>
                </c:pt>
                <c:pt idx="1">
                  <c:v>BadEvts</c:v>
                </c:pt>
                <c:pt idx="2">
                  <c:v>Percentage</c:v>
                </c:pt>
              </c:strCache>
            </c:strRef>
          </c:cat>
          <c:val>
            <c:numRef>
              <c:f>Ripples!$D$91:$F$91</c:f>
              <c:numCache>
                <c:formatCode>0.00</c:formatCode>
                <c:ptCount val="3"/>
                <c:pt idx="0">
                  <c:v>3582.666666666667</c:v>
                </c:pt>
                <c:pt idx="1">
                  <c:v>259.0</c:v>
                </c:pt>
                <c:pt idx="2">
                  <c:v>6.356953400650512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1D0-45C7-B062-5DEF3F858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77843952"/>
        <c:axId val="-2060665648"/>
      </c:barChart>
      <c:catAx>
        <c:axId val="-2077843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60665648"/>
        <c:crosses val="autoZero"/>
        <c:auto val="1"/>
        <c:lblAlgn val="ctr"/>
        <c:lblOffset val="100"/>
        <c:noMultiLvlLbl val="0"/>
      </c:catAx>
      <c:valAx>
        <c:axId val="-2060665648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-207784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09066414141414"/>
          <c:y val="0.00366980169145523"/>
          <c:w val="0.688155808080808"/>
          <c:h val="0.259650925925926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101</xdr:row>
      <xdr:rowOff>0</xdr:rowOff>
    </xdr:from>
    <xdr:to>
      <xdr:col>9</xdr:col>
      <xdr:colOff>302400</xdr:colOff>
      <xdr:row>112</xdr:row>
      <xdr:rowOff>64500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101</xdr:row>
      <xdr:rowOff>0</xdr:rowOff>
    </xdr:from>
    <xdr:to>
      <xdr:col>9</xdr:col>
      <xdr:colOff>302400</xdr:colOff>
      <xdr:row>112</xdr:row>
      <xdr:rowOff>64500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02"/>
  <sheetViews>
    <sheetView tabSelected="1" zoomScale="101" workbookViewId="0">
      <selection activeCell="G4" sqref="G4:G24"/>
    </sheetView>
  </sheetViews>
  <sheetFormatPr baseColWidth="10" defaultColWidth="9.1640625" defaultRowHeight="15" x14ac:dyDescent="0.2"/>
  <cols>
    <col min="2" max="2" width="23.5" bestFit="1" customWidth="1"/>
    <col min="6" max="6" width="11" bestFit="1" customWidth="1"/>
    <col min="7" max="7" width="8.83203125" customWidth="1"/>
    <col min="8" max="8" width="10.1640625" customWidth="1"/>
    <col min="9" max="9" width="12" customWidth="1"/>
  </cols>
  <sheetData>
    <row r="1" spans="2:9" s="1" customFormat="1" x14ac:dyDescent="0.2">
      <c r="D1" s="19" t="s">
        <v>82</v>
      </c>
      <c r="E1" s="19"/>
      <c r="F1" s="19"/>
      <c r="G1" s="19"/>
      <c r="H1" s="19"/>
      <c r="I1" s="19"/>
    </row>
    <row r="2" spans="2:9" s="1" customFormat="1" x14ac:dyDescent="0.2">
      <c r="D2" s="20" t="s">
        <v>99</v>
      </c>
      <c r="E2" s="20"/>
      <c r="F2" s="20"/>
    </row>
    <row r="3" spans="2:9" s="1" customFormat="1" ht="15" customHeight="1" x14ac:dyDescent="0.2">
      <c r="B3" s="1" t="s">
        <v>0</v>
      </c>
      <c r="D3" s="1" t="s">
        <v>98</v>
      </c>
      <c r="E3" s="1" t="s">
        <v>101</v>
      </c>
      <c r="F3" s="1" t="s">
        <v>100</v>
      </c>
    </row>
    <row r="4" spans="2:9" x14ac:dyDescent="0.2">
      <c r="B4" s="2" t="s">
        <v>1</v>
      </c>
      <c r="D4" s="15">
        <v>335</v>
      </c>
      <c r="E4" s="15">
        <v>26</v>
      </c>
      <c r="F4" s="15">
        <f>(E4/D4)*100</f>
        <v>7.7611940298507456</v>
      </c>
      <c r="G4">
        <f>100*(D4-E4)/D4</f>
        <v>92.238805970149258</v>
      </c>
    </row>
    <row r="5" spans="2:9" x14ac:dyDescent="0.2">
      <c r="B5" s="2" t="s">
        <v>2</v>
      </c>
      <c r="D5" s="15">
        <v>598</v>
      </c>
      <c r="E5" s="16">
        <v>31</v>
      </c>
      <c r="F5" s="15">
        <f t="shared" ref="F5:F10" si="0">(E5/D5)*100</f>
        <v>5.183946488294314</v>
      </c>
      <c r="G5">
        <f t="shared" ref="G5:G24" si="1">100*(D5-E5)/D5</f>
        <v>94.81605351170569</v>
      </c>
    </row>
    <row r="6" spans="2:9" x14ac:dyDescent="0.2">
      <c r="B6" s="2" t="s">
        <v>3</v>
      </c>
      <c r="D6" s="15">
        <v>1573</v>
      </c>
      <c r="E6" s="16">
        <v>72</v>
      </c>
      <c r="F6" s="15">
        <f t="shared" si="0"/>
        <v>4.5772409408773047</v>
      </c>
      <c r="G6">
        <f t="shared" si="1"/>
        <v>95.422759059122697</v>
      </c>
    </row>
    <row r="7" spans="2:9" x14ac:dyDescent="0.2">
      <c r="B7" s="2" t="s">
        <v>4</v>
      </c>
      <c r="D7" s="15">
        <v>1479</v>
      </c>
      <c r="E7" s="16">
        <v>37</v>
      </c>
      <c r="F7" s="15">
        <f t="shared" si="0"/>
        <v>2.5016903313049359</v>
      </c>
      <c r="G7">
        <f t="shared" si="1"/>
        <v>97.498309668695057</v>
      </c>
    </row>
    <row r="8" spans="2:9" x14ac:dyDescent="0.2">
      <c r="B8" s="2" t="s">
        <v>5</v>
      </c>
      <c r="D8" s="15">
        <v>1432</v>
      </c>
      <c r="E8" s="16">
        <v>28</v>
      </c>
      <c r="F8" s="15">
        <f t="shared" si="0"/>
        <v>1.9553072625698324</v>
      </c>
      <c r="G8">
        <f t="shared" si="1"/>
        <v>98.044692737430168</v>
      </c>
    </row>
    <row r="9" spans="2:9" x14ac:dyDescent="0.2">
      <c r="B9" s="2" t="s">
        <v>6</v>
      </c>
      <c r="D9" s="15">
        <v>1039</v>
      </c>
      <c r="E9" s="16">
        <v>23</v>
      </c>
      <c r="F9" s="15">
        <f t="shared" si="0"/>
        <v>2.2136669874879691</v>
      </c>
      <c r="G9">
        <f t="shared" si="1"/>
        <v>97.786333012512031</v>
      </c>
    </row>
    <row r="10" spans="2:9" x14ac:dyDescent="0.2">
      <c r="B10" s="2" t="s">
        <v>7</v>
      </c>
      <c r="D10" s="15">
        <v>982</v>
      </c>
      <c r="E10" s="16">
        <v>15</v>
      </c>
      <c r="F10" s="15">
        <f t="shared" si="0"/>
        <v>1.5274949083503055</v>
      </c>
      <c r="G10">
        <f t="shared" si="1"/>
        <v>98.472505091649694</v>
      </c>
    </row>
    <row r="11" spans="2:9" x14ac:dyDescent="0.2">
      <c r="B11" s="2" t="s">
        <v>8</v>
      </c>
      <c r="D11" s="15"/>
      <c r="E11" s="16"/>
      <c r="F11" s="15"/>
    </row>
    <row r="12" spans="2:9" x14ac:dyDescent="0.2">
      <c r="B12" s="2" t="s">
        <v>9</v>
      </c>
      <c r="D12" s="15"/>
      <c r="E12" s="16"/>
      <c r="F12" s="15"/>
    </row>
    <row r="13" spans="2:9" x14ac:dyDescent="0.2">
      <c r="B13" s="3" t="s">
        <v>10</v>
      </c>
      <c r="D13" s="16">
        <v>1979</v>
      </c>
      <c r="E13" s="16">
        <v>31</v>
      </c>
      <c r="F13" s="15">
        <f t="shared" ref="F13:F24" si="2">(E13/D13)*100</f>
        <v>1.5664477008590199</v>
      </c>
      <c r="G13">
        <f t="shared" si="1"/>
        <v>98.433552299140985</v>
      </c>
    </row>
    <row r="14" spans="2:9" x14ac:dyDescent="0.2">
      <c r="B14" s="3" t="s">
        <v>11</v>
      </c>
      <c r="D14" s="16">
        <v>1447</v>
      </c>
      <c r="E14" s="16">
        <v>16</v>
      </c>
      <c r="F14" s="15">
        <f t="shared" si="2"/>
        <v>1.10573600552868</v>
      </c>
      <c r="G14">
        <f t="shared" si="1"/>
        <v>98.894263994471316</v>
      </c>
    </row>
    <row r="15" spans="2:9" x14ac:dyDescent="0.2">
      <c r="B15" s="3" t="s">
        <v>12</v>
      </c>
      <c r="D15" s="16">
        <v>1184</v>
      </c>
      <c r="E15" s="16">
        <v>13</v>
      </c>
      <c r="F15" s="15">
        <f t="shared" si="2"/>
        <v>1.097972972972973</v>
      </c>
      <c r="G15">
        <f t="shared" si="1"/>
        <v>98.902027027027032</v>
      </c>
    </row>
    <row r="16" spans="2:9" x14ac:dyDescent="0.2">
      <c r="B16" s="3" t="s">
        <v>13</v>
      </c>
      <c r="D16" s="16"/>
      <c r="E16" s="16"/>
      <c r="F16" s="15"/>
    </row>
    <row r="17" spans="2:7" x14ac:dyDescent="0.2">
      <c r="B17" s="3" t="s">
        <v>14</v>
      </c>
      <c r="D17" s="16"/>
      <c r="E17" s="16"/>
      <c r="F17" s="15"/>
    </row>
    <row r="18" spans="2:7" x14ac:dyDescent="0.2">
      <c r="B18" s="3" t="s">
        <v>15</v>
      </c>
      <c r="D18" s="16"/>
      <c r="E18" s="16"/>
      <c r="F18" s="15"/>
    </row>
    <row r="19" spans="2:7" x14ac:dyDescent="0.2">
      <c r="B19" s="3" t="s">
        <v>16</v>
      </c>
      <c r="D19" s="16"/>
      <c r="E19" s="16"/>
      <c r="F19" s="15"/>
    </row>
    <row r="20" spans="2:7" x14ac:dyDescent="0.2">
      <c r="B20" s="3" t="s">
        <v>17</v>
      </c>
      <c r="D20" s="16"/>
      <c r="E20" s="16"/>
      <c r="F20" s="15"/>
    </row>
    <row r="21" spans="2:7" x14ac:dyDescent="0.2">
      <c r="B21" s="3" t="s">
        <v>18</v>
      </c>
      <c r="D21" s="16"/>
      <c r="E21" s="16"/>
      <c r="F21" s="15"/>
    </row>
    <row r="22" spans="2:7" x14ac:dyDescent="0.2">
      <c r="B22" s="4" t="s">
        <v>19</v>
      </c>
      <c r="D22" s="16">
        <v>1770</v>
      </c>
      <c r="E22" s="16">
        <v>21</v>
      </c>
      <c r="F22" s="15">
        <f t="shared" si="2"/>
        <v>1.1864406779661016</v>
      </c>
      <c r="G22">
        <f t="shared" si="1"/>
        <v>98.813559322033896</v>
      </c>
    </row>
    <row r="23" spans="2:7" x14ac:dyDescent="0.2">
      <c r="B23" s="4" t="s">
        <v>20</v>
      </c>
      <c r="D23" s="16">
        <v>1079</v>
      </c>
      <c r="E23" s="16">
        <v>11</v>
      </c>
      <c r="F23" s="15">
        <f t="shared" si="2"/>
        <v>1.0194624652455977</v>
      </c>
      <c r="G23">
        <f t="shared" si="1"/>
        <v>98.980537534754404</v>
      </c>
    </row>
    <row r="24" spans="2:7" x14ac:dyDescent="0.2">
      <c r="B24" s="4" t="s">
        <v>21</v>
      </c>
      <c r="D24" s="16">
        <v>1340</v>
      </c>
      <c r="E24" s="16">
        <v>12</v>
      </c>
      <c r="F24" s="15">
        <f t="shared" si="2"/>
        <v>0.89552238805970152</v>
      </c>
      <c r="G24">
        <f t="shared" si="1"/>
        <v>99.104477611940297</v>
      </c>
    </row>
    <row r="25" spans="2:7" x14ac:dyDescent="0.2">
      <c r="B25" s="4" t="s">
        <v>22</v>
      </c>
      <c r="D25" s="16"/>
      <c r="E25" s="16"/>
      <c r="F25" s="15"/>
      <c r="G25" s="17"/>
    </row>
    <row r="26" spans="2:7" x14ac:dyDescent="0.2">
      <c r="B26" s="4" t="s">
        <v>23</v>
      </c>
      <c r="D26" s="16"/>
      <c r="E26" s="16"/>
      <c r="F26" s="15"/>
      <c r="G26" s="17"/>
    </row>
    <row r="27" spans="2:7" x14ac:dyDescent="0.2">
      <c r="B27" s="4" t="s">
        <v>24</v>
      </c>
      <c r="D27" s="12"/>
      <c r="E27" s="12"/>
      <c r="F27" s="15"/>
      <c r="G27" s="17"/>
    </row>
    <row r="28" spans="2:7" x14ac:dyDescent="0.2">
      <c r="B28" s="4" t="s">
        <v>25</v>
      </c>
      <c r="D28" s="12"/>
      <c r="E28" s="12"/>
      <c r="F28" s="15"/>
      <c r="G28" s="17"/>
    </row>
    <row r="29" spans="2:7" x14ac:dyDescent="0.2">
      <c r="B29" s="4" t="s">
        <v>26</v>
      </c>
      <c r="D29" s="12"/>
      <c r="E29" s="12"/>
      <c r="F29" s="15"/>
      <c r="G29" s="17"/>
    </row>
    <row r="30" spans="2:7" x14ac:dyDescent="0.2">
      <c r="B30" s="4" t="s">
        <v>27</v>
      </c>
      <c r="D30" s="12"/>
      <c r="E30" s="12"/>
      <c r="F30" s="15"/>
      <c r="G30" s="17"/>
    </row>
    <row r="31" spans="2:7" x14ac:dyDescent="0.2">
      <c r="B31" s="4" t="s">
        <v>28</v>
      </c>
      <c r="D31" s="12"/>
      <c r="E31" s="12"/>
      <c r="F31" s="15"/>
      <c r="G31" s="17"/>
    </row>
    <row r="32" spans="2:7" x14ac:dyDescent="0.2">
      <c r="B32" s="4" t="s">
        <v>29</v>
      </c>
      <c r="D32" s="12"/>
      <c r="E32" s="12"/>
      <c r="F32" s="15"/>
      <c r="G32" s="17"/>
    </row>
    <row r="33" spans="2:10" x14ac:dyDescent="0.2">
      <c r="B33" s="5" t="s">
        <v>30</v>
      </c>
      <c r="D33" s="15"/>
      <c r="E33" s="16"/>
      <c r="F33" s="16"/>
      <c r="G33" s="17"/>
    </row>
    <row r="34" spans="2:10" x14ac:dyDescent="0.2">
      <c r="B34" s="5" t="s">
        <v>31</v>
      </c>
      <c r="D34" s="15"/>
      <c r="E34" s="16"/>
      <c r="F34" s="16"/>
      <c r="G34" s="14"/>
      <c r="H34" s="14"/>
      <c r="I34" s="14"/>
      <c r="J34" s="17"/>
    </row>
    <row r="35" spans="2:10" x14ac:dyDescent="0.2">
      <c r="B35" s="5" t="s">
        <v>32</v>
      </c>
      <c r="C35" s="17"/>
      <c r="D35" s="16"/>
      <c r="E35" s="16"/>
      <c r="F35" s="16"/>
      <c r="G35" s="14"/>
      <c r="H35" s="14"/>
      <c r="I35" s="14"/>
      <c r="J35" s="17"/>
    </row>
    <row r="36" spans="2:10" x14ac:dyDescent="0.2">
      <c r="B36" s="5" t="s">
        <v>33</v>
      </c>
      <c r="C36" s="17"/>
      <c r="D36" s="16"/>
      <c r="E36" s="16"/>
      <c r="F36" s="16"/>
      <c r="G36" s="14"/>
      <c r="H36" s="14"/>
      <c r="I36" s="14"/>
      <c r="J36" s="17"/>
    </row>
    <row r="37" spans="2:10" x14ac:dyDescent="0.2">
      <c r="B37" s="5" t="s">
        <v>34</v>
      </c>
      <c r="C37" s="17"/>
      <c r="D37" s="16"/>
      <c r="E37" s="16"/>
      <c r="F37" s="16"/>
      <c r="G37" s="14"/>
      <c r="H37" s="14"/>
      <c r="I37" s="14"/>
      <c r="J37" s="17"/>
    </row>
    <row r="38" spans="2:10" x14ac:dyDescent="0.2">
      <c r="B38" s="5" t="s">
        <v>35</v>
      </c>
      <c r="C38" s="17"/>
      <c r="D38" s="16"/>
      <c r="E38" s="16"/>
      <c r="F38" s="16"/>
      <c r="G38" s="14"/>
      <c r="H38" s="14"/>
      <c r="I38" s="14"/>
      <c r="J38" s="17"/>
    </row>
    <row r="39" spans="2:10" x14ac:dyDescent="0.2">
      <c r="B39" s="5" t="s">
        <v>36</v>
      </c>
      <c r="C39" s="17"/>
      <c r="D39" s="16"/>
      <c r="E39" s="16"/>
      <c r="F39" s="16"/>
      <c r="G39" s="14"/>
      <c r="H39" s="14"/>
      <c r="I39" s="14"/>
      <c r="J39" s="17"/>
    </row>
    <row r="40" spans="2:10" x14ac:dyDescent="0.2">
      <c r="B40" s="5" t="s">
        <v>37</v>
      </c>
      <c r="C40" s="17"/>
      <c r="D40" s="16"/>
      <c r="E40" s="16"/>
      <c r="F40" s="16"/>
      <c r="G40" s="14"/>
      <c r="H40" s="14"/>
      <c r="I40" s="14"/>
      <c r="J40" s="17"/>
    </row>
    <row r="41" spans="2:10" x14ac:dyDescent="0.2">
      <c r="B41" s="2" t="s">
        <v>38</v>
      </c>
      <c r="C41" s="17"/>
      <c r="D41" s="16"/>
      <c r="E41" s="16"/>
      <c r="F41" s="16"/>
      <c r="G41" s="14"/>
      <c r="H41" s="14"/>
      <c r="I41" s="14"/>
      <c r="J41" s="17"/>
    </row>
    <row r="42" spans="2:10" x14ac:dyDescent="0.2">
      <c r="B42" s="2" t="s">
        <v>39</v>
      </c>
      <c r="C42" s="17"/>
      <c r="D42" s="16"/>
      <c r="E42" s="16"/>
      <c r="F42" s="16"/>
      <c r="G42" s="14"/>
      <c r="H42" s="14"/>
      <c r="I42" s="14"/>
      <c r="J42" s="17"/>
    </row>
    <row r="43" spans="2:10" x14ac:dyDescent="0.2">
      <c r="B43" s="2" t="s">
        <v>40</v>
      </c>
      <c r="C43" s="17"/>
      <c r="D43" s="16"/>
      <c r="E43" s="16"/>
      <c r="F43" s="16"/>
      <c r="G43" s="14"/>
      <c r="H43" s="14"/>
      <c r="I43" s="14"/>
      <c r="J43" s="17"/>
    </row>
    <row r="44" spans="2:10" x14ac:dyDescent="0.2">
      <c r="B44" s="2" t="s">
        <v>41</v>
      </c>
      <c r="C44" s="17"/>
      <c r="D44" s="16"/>
      <c r="E44" s="16"/>
      <c r="F44" s="16"/>
      <c r="G44" s="14"/>
      <c r="H44" s="14"/>
      <c r="I44" s="14"/>
      <c r="J44" s="17"/>
    </row>
    <row r="45" spans="2:10" x14ac:dyDescent="0.2">
      <c r="B45" s="2" t="s">
        <v>42</v>
      </c>
      <c r="C45" s="17"/>
      <c r="D45" s="16"/>
      <c r="E45" s="16"/>
      <c r="F45" s="16"/>
      <c r="G45" s="14"/>
      <c r="H45" s="14"/>
      <c r="I45" s="14"/>
      <c r="J45" s="17"/>
    </row>
    <row r="46" spans="2:10" x14ac:dyDescent="0.2">
      <c r="B46" s="2" t="s">
        <v>43</v>
      </c>
      <c r="C46" s="17"/>
      <c r="D46" s="16"/>
      <c r="E46" s="16"/>
      <c r="F46" s="16"/>
      <c r="G46" s="14"/>
      <c r="H46" s="14"/>
      <c r="I46" s="14"/>
      <c r="J46" s="17"/>
    </row>
    <row r="47" spans="2:10" x14ac:dyDescent="0.2">
      <c r="B47" s="2" t="s">
        <v>44</v>
      </c>
      <c r="C47" s="17"/>
      <c r="D47" s="16"/>
      <c r="E47" s="16"/>
      <c r="F47" s="16"/>
      <c r="G47" s="14"/>
      <c r="H47" s="14"/>
      <c r="I47" s="14"/>
      <c r="J47" s="17"/>
    </row>
    <row r="48" spans="2:10" x14ac:dyDescent="0.2">
      <c r="B48" s="3" t="s">
        <v>45</v>
      </c>
      <c r="C48" s="17"/>
      <c r="D48" s="16"/>
      <c r="E48" s="16"/>
      <c r="F48" s="16"/>
      <c r="G48" s="8"/>
      <c r="H48" s="8"/>
      <c r="I48" s="8"/>
    </row>
    <row r="49" spans="2:9" x14ac:dyDescent="0.2">
      <c r="B49" s="3" t="s">
        <v>46</v>
      </c>
      <c r="C49" s="17"/>
      <c r="D49" s="16"/>
      <c r="E49" s="16"/>
      <c r="F49" s="16"/>
      <c r="G49" s="8"/>
      <c r="H49" s="8"/>
      <c r="I49" s="8"/>
    </row>
    <row r="50" spans="2:9" x14ac:dyDescent="0.2">
      <c r="B50" s="3" t="s">
        <v>47</v>
      </c>
      <c r="C50" s="17"/>
      <c r="D50" s="16"/>
      <c r="E50" s="16"/>
      <c r="F50" s="16"/>
      <c r="G50" s="8"/>
      <c r="H50" s="8"/>
      <c r="I50" s="8"/>
    </row>
    <row r="51" spans="2:9" x14ac:dyDescent="0.2">
      <c r="B51" s="3" t="s">
        <v>48</v>
      </c>
      <c r="C51" s="17"/>
      <c r="D51" s="16"/>
      <c r="E51" s="16"/>
      <c r="F51" s="16"/>
      <c r="G51" s="8"/>
      <c r="H51" s="8"/>
      <c r="I51" s="8"/>
    </row>
    <row r="52" spans="2:9" x14ac:dyDescent="0.2">
      <c r="B52" s="3" t="s">
        <v>49</v>
      </c>
      <c r="C52" s="17"/>
      <c r="D52" s="16"/>
      <c r="E52" s="16"/>
      <c r="F52" s="16"/>
      <c r="G52" s="8"/>
      <c r="H52" s="8"/>
      <c r="I52" s="8"/>
    </row>
    <row r="53" spans="2:9" x14ac:dyDescent="0.2">
      <c r="B53" s="4" t="s">
        <v>50</v>
      </c>
      <c r="C53" s="17"/>
      <c r="D53" s="16"/>
      <c r="E53" s="16"/>
      <c r="F53" s="16"/>
      <c r="G53" s="8"/>
      <c r="H53" s="8"/>
      <c r="I53" s="8"/>
    </row>
    <row r="54" spans="2:9" x14ac:dyDescent="0.2">
      <c r="B54" s="4" t="s">
        <v>51</v>
      </c>
      <c r="C54" s="17"/>
      <c r="D54" s="16"/>
      <c r="E54" s="16"/>
      <c r="F54" s="16"/>
      <c r="G54" s="8"/>
      <c r="H54" s="8"/>
      <c r="I54" s="8"/>
    </row>
    <row r="55" spans="2:9" x14ac:dyDescent="0.2">
      <c r="B55" s="4" t="s">
        <v>52</v>
      </c>
      <c r="C55" s="17"/>
      <c r="D55" s="16"/>
      <c r="E55" s="16"/>
      <c r="F55" s="16"/>
      <c r="G55" s="8"/>
      <c r="H55" s="8"/>
      <c r="I55" s="8"/>
    </row>
    <row r="56" spans="2:9" x14ac:dyDescent="0.2">
      <c r="B56" s="4" t="s">
        <v>53</v>
      </c>
      <c r="D56" s="15"/>
      <c r="E56" s="15"/>
      <c r="F56" s="15"/>
      <c r="G56" s="8"/>
      <c r="H56" s="8"/>
      <c r="I56" s="8"/>
    </row>
    <row r="57" spans="2:9" x14ac:dyDescent="0.2">
      <c r="B57" s="4" t="s">
        <v>54</v>
      </c>
      <c r="D57" s="15"/>
      <c r="E57" s="15"/>
      <c r="F57" s="15"/>
      <c r="G57" s="8"/>
      <c r="H57" s="8"/>
      <c r="I57" s="8"/>
    </row>
    <row r="58" spans="2:9" x14ac:dyDescent="0.2">
      <c r="B58" s="4" t="s">
        <v>55</v>
      </c>
      <c r="D58" s="15"/>
      <c r="E58" s="15"/>
      <c r="F58" s="15"/>
      <c r="G58" s="8"/>
      <c r="H58" s="8"/>
      <c r="I58" s="8"/>
    </row>
    <row r="59" spans="2:9" x14ac:dyDescent="0.2">
      <c r="B59" s="4" t="s">
        <v>56</v>
      </c>
      <c r="D59" s="15"/>
      <c r="E59" s="15"/>
      <c r="F59" s="15"/>
      <c r="G59" s="8"/>
      <c r="H59" s="8"/>
      <c r="I59" s="8"/>
    </row>
    <row r="60" spans="2:9" x14ac:dyDescent="0.2">
      <c r="B60" s="4" t="s">
        <v>57</v>
      </c>
      <c r="D60" s="15"/>
      <c r="E60" s="15"/>
      <c r="F60" s="15"/>
      <c r="G60" s="8"/>
      <c r="H60" s="8"/>
      <c r="I60" s="8"/>
    </row>
    <row r="61" spans="2:9" x14ac:dyDescent="0.2">
      <c r="B61" s="5" t="s">
        <v>58</v>
      </c>
      <c r="D61" s="8"/>
      <c r="E61" s="8"/>
      <c r="F61" s="8"/>
      <c r="G61" s="8"/>
      <c r="H61" s="8"/>
      <c r="I61" s="8"/>
    </row>
    <row r="62" spans="2:9" x14ac:dyDescent="0.2">
      <c r="B62" s="5" t="s">
        <v>59</v>
      </c>
      <c r="D62" s="8"/>
      <c r="E62" s="8"/>
      <c r="F62" s="8"/>
      <c r="G62" s="8"/>
      <c r="H62" s="8"/>
      <c r="I62" s="8"/>
    </row>
    <row r="63" spans="2:9" x14ac:dyDescent="0.2">
      <c r="B63" s="5" t="s">
        <v>60</v>
      </c>
      <c r="D63" s="8"/>
      <c r="E63" s="8"/>
      <c r="F63" s="8"/>
      <c r="G63" s="8"/>
      <c r="H63" s="8"/>
      <c r="I63" s="8"/>
    </row>
    <row r="64" spans="2:9" x14ac:dyDescent="0.2">
      <c r="B64" s="5" t="s">
        <v>61</v>
      </c>
      <c r="D64" s="8"/>
      <c r="E64" s="8"/>
      <c r="F64" s="8"/>
      <c r="G64" s="8"/>
      <c r="H64" s="8"/>
      <c r="I64" s="8"/>
    </row>
    <row r="65" spans="2:10" x14ac:dyDescent="0.2">
      <c r="B65" s="5" t="s">
        <v>62</v>
      </c>
      <c r="D65" s="8"/>
      <c r="E65" s="8"/>
      <c r="F65" s="8"/>
      <c r="G65" s="8"/>
      <c r="H65" s="8"/>
      <c r="I65" s="8"/>
    </row>
    <row r="66" spans="2:10" x14ac:dyDescent="0.2">
      <c r="B66" s="5" t="s">
        <v>63</v>
      </c>
      <c r="D66" s="8"/>
      <c r="E66" s="8"/>
      <c r="F66" s="8"/>
      <c r="G66" s="8"/>
      <c r="H66" s="8"/>
      <c r="I66" s="8"/>
    </row>
    <row r="67" spans="2:10" x14ac:dyDescent="0.2">
      <c r="B67" s="5" t="s">
        <v>64</v>
      </c>
      <c r="D67" s="8"/>
      <c r="E67" s="8"/>
      <c r="F67" s="8"/>
      <c r="G67" s="8"/>
      <c r="H67" s="8"/>
      <c r="I67" s="12"/>
      <c r="J67" s="17"/>
    </row>
    <row r="68" spans="2:10" x14ac:dyDescent="0.2">
      <c r="B68" s="5" t="s">
        <v>65</v>
      </c>
      <c r="D68" s="8"/>
      <c r="E68" s="8"/>
      <c r="F68" s="8"/>
      <c r="G68" s="8"/>
      <c r="H68" s="8"/>
      <c r="I68" s="12"/>
      <c r="J68" s="17"/>
    </row>
    <row r="69" spans="2:10" x14ac:dyDescent="0.2">
      <c r="B69" s="6" t="s">
        <v>66</v>
      </c>
      <c r="D69" s="8"/>
      <c r="E69" s="8"/>
      <c r="F69" s="8"/>
      <c r="G69" s="8"/>
      <c r="H69" s="8"/>
      <c r="I69" s="12"/>
      <c r="J69" s="17"/>
    </row>
    <row r="70" spans="2:10" x14ac:dyDescent="0.2">
      <c r="B70" s="6" t="s">
        <v>67</v>
      </c>
      <c r="D70" s="8"/>
      <c r="E70" s="8"/>
      <c r="F70" s="8"/>
      <c r="G70" s="8"/>
      <c r="H70" s="8"/>
      <c r="I70" s="12"/>
      <c r="J70" s="17"/>
    </row>
    <row r="71" spans="2:10" x14ac:dyDescent="0.2">
      <c r="B71" s="6" t="s">
        <v>68</v>
      </c>
      <c r="D71" s="8"/>
      <c r="E71" s="8"/>
      <c r="F71" s="8"/>
      <c r="G71" s="8"/>
      <c r="H71" s="8"/>
      <c r="I71" s="12"/>
      <c r="J71" s="17"/>
    </row>
    <row r="72" spans="2:10" x14ac:dyDescent="0.2">
      <c r="B72" s="6" t="s">
        <v>69</v>
      </c>
      <c r="D72" s="8"/>
      <c r="E72" s="8"/>
      <c r="F72" s="8"/>
      <c r="G72" s="8"/>
      <c r="H72" s="8"/>
      <c r="I72" s="12"/>
      <c r="J72" s="17"/>
    </row>
    <row r="73" spans="2:10" x14ac:dyDescent="0.2">
      <c r="B73" s="6" t="s">
        <v>70</v>
      </c>
      <c r="D73" s="8"/>
      <c r="E73" s="8"/>
      <c r="F73" s="8"/>
      <c r="G73" s="8"/>
      <c r="H73" s="8"/>
      <c r="I73" s="12"/>
      <c r="J73" s="17"/>
    </row>
    <row r="74" spans="2:10" x14ac:dyDescent="0.2">
      <c r="B74" s="6" t="s">
        <v>71</v>
      </c>
      <c r="D74" s="8"/>
      <c r="E74" s="8"/>
      <c r="F74" s="8"/>
      <c r="G74" s="8"/>
      <c r="H74" s="8"/>
      <c r="I74" s="12"/>
      <c r="J74" s="17"/>
    </row>
    <row r="75" spans="2:10" x14ac:dyDescent="0.2">
      <c r="B75" s="6" t="s">
        <v>72</v>
      </c>
      <c r="D75" s="8"/>
      <c r="E75" s="8"/>
      <c r="F75" s="8"/>
      <c r="G75" s="8"/>
      <c r="H75" s="8"/>
      <c r="I75" s="12"/>
      <c r="J75" s="17"/>
    </row>
    <row r="76" spans="2:10" x14ac:dyDescent="0.2">
      <c r="B76" s="7" t="s">
        <v>73</v>
      </c>
      <c r="D76" s="8"/>
      <c r="E76" s="8"/>
      <c r="F76" s="8"/>
      <c r="G76" s="8"/>
      <c r="H76" s="8"/>
      <c r="I76" s="12"/>
      <c r="J76" s="17"/>
    </row>
    <row r="77" spans="2:10" x14ac:dyDescent="0.2">
      <c r="B77" s="7" t="s">
        <v>74</v>
      </c>
      <c r="D77" s="8"/>
      <c r="E77" s="8"/>
      <c r="F77" s="8"/>
      <c r="G77" s="8"/>
      <c r="H77" s="8"/>
      <c r="I77" s="12"/>
      <c r="J77" s="17"/>
    </row>
    <row r="78" spans="2:10" x14ac:dyDescent="0.2">
      <c r="B78" s="7" t="s">
        <v>75</v>
      </c>
      <c r="D78" s="8"/>
      <c r="E78" s="8"/>
      <c r="F78" s="8"/>
      <c r="G78" s="8"/>
      <c r="H78" s="8"/>
      <c r="I78" s="8"/>
    </row>
    <row r="79" spans="2:10" x14ac:dyDescent="0.2">
      <c r="B79" s="7" t="s">
        <v>76</v>
      </c>
      <c r="D79" s="8"/>
      <c r="E79" s="8"/>
      <c r="F79" s="8"/>
      <c r="G79" s="8"/>
      <c r="H79" s="8"/>
      <c r="I79" s="8"/>
    </row>
    <row r="80" spans="2:10" x14ac:dyDescent="0.2">
      <c r="B80" s="7" t="s">
        <v>77</v>
      </c>
      <c r="D80" s="8"/>
      <c r="E80" s="8"/>
      <c r="F80" s="8"/>
      <c r="G80" s="8"/>
      <c r="H80" s="8"/>
      <c r="I80" s="8"/>
    </row>
    <row r="81" spans="2:37" x14ac:dyDescent="0.2">
      <c r="B81" s="7" t="s">
        <v>78</v>
      </c>
      <c r="D81" s="8"/>
      <c r="E81" s="8"/>
      <c r="F81" s="8"/>
      <c r="G81" s="8"/>
      <c r="H81" s="8"/>
      <c r="I81" s="8"/>
    </row>
    <row r="82" spans="2:37" x14ac:dyDescent="0.2">
      <c r="B82" s="7" t="s">
        <v>79</v>
      </c>
      <c r="D82" s="8"/>
      <c r="E82" s="8"/>
      <c r="F82" s="8"/>
      <c r="G82" s="8"/>
      <c r="H82" s="8"/>
      <c r="I82" s="8"/>
    </row>
    <row r="83" spans="2:37" x14ac:dyDescent="0.2">
      <c r="B83" s="7" t="s">
        <v>80</v>
      </c>
      <c r="D83" s="8"/>
      <c r="E83" s="8"/>
      <c r="F83" s="8"/>
      <c r="G83" s="8"/>
      <c r="H83" s="8"/>
      <c r="I83" s="8"/>
    </row>
    <row r="84" spans="2:37" x14ac:dyDescent="0.2">
      <c r="B84" s="7" t="s">
        <v>81</v>
      </c>
      <c r="D84" s="8"/>
      <c r="E84" s="8"/>
      <c r="F84" s="8"/>
      <c r="G84" s="8"/>
      <c r="H84" s="8"/>
      <c r="I84" s="8"/>
      <c r="K84" s="8"/>
      <c r="L84" s="8"/>
      <c r="M84" s="8"/>
      <c r="N84" s="8"/>
      <c r="O84" s="8"/>
      <c r="P84" s="8"/>
      <c r="R84" s="8"/>
      <c r="S84" s="8"/>
      <c r="T84" s="8"/>
      <c r="U84" s="8"/>
      <c r="V84" s="8"/>
      <c r="W84" s="8"/>
      <c r="Y84" s="8"/>
      <c r="Z84" s="8"/>
      <c r="AA84" s="8"/>
      <c r="AB84" s="8"/>
      <c r="AC84" s="8"/>
      <c r="AD84" s="8"/>
      <c r="AF84" s="8"/>
      <c r="AG84" s="8"/>
      <c r="AH84" s="8"/>
      <c r="AI84" s="8"/>
      <c r="AJ84" s="8"/>
      <c r="AK84" s="8"/>
    </row>
    <row r="86" spans="2:37" x14ac:dyDescent="0.2">
      <c r="C86" s="1"/>
      <c r="D86" s="19" t="s">
        <v>95</v>
      </c>
      <c r="E86" s="19"/>
      <c r="F86" s="19"/>
      <c r="G86" s="1"/>
      <c r="H86" s="19" t="s">
        <v>96</v>
      </c>
      <c r="I86" s="19"/>
      <c r="J86" s="19"/>
    </row>
    <row r="87" spans="2:37" x14ac:dyDescent="0.2">
      <c r="C87" s="1"/>
      <c r="D87" s="20" t="s">
        <v>99</v>
      </c>
      <c r="E87" s="20"/>
      <c r="F87" s="20"/>
      <c r="G87" s="1"/>
      <c r="H87" s="21" t="s">
        <v>97</v>
      </c>
      <c r="I87" s="21"/>
      <c r="J87" s="21"/>
    </row>
    <row r="88" spans="2:37" ht="15" customHeight="1" x14ac:dyDescent="0.2">
      <c r="C88" s="1" t="s">
        <v>94</v>
      </c>
      <c r="D88" s="1" t="s">
        <v>98</v>
      </c>
      <c r="E88" s="1" t="s">
        <v>101</v>
      </c>
      <c r="F88" s="1" t="s">
        <v>100</v>
      </c>
      <c r="G88" s="1"/>
      <c r="H88" s="13" t="s">
        <v>90</v>
      </c>
      <c r="I88" s="13" t="s">
        <v>91</v>
      </c>
      <c r="J88" s="13" t="s">
        <v>92</v>
      </c>
    </row>
    <row r="89" spans="2:37" x14ac:dyDescent="0.2">
      <c r="B89" s="10" t="s">
        <v>83</v>
      </c>
      <c r="C89" s="18">
        <f>COUNT(D4:D12)</f>
        <v>7</v>
      </c>
      <c r="D89" s="11">
        <f>AVERAGE(D4:D12)</f>
        <v>1062.5714285714287</v>
      </c>
      <c r="E89" s="11">
        <f t="shared" ref="E89:F89" si="3">AVERAGE(E4:E12)</f>
        <v>33.142857142857146</v>
      </c>
      <c r="F89" s="11">
        <f t="shared" si="3"/>
        <v>3.6743629926764863</v>
      </c>
      <c r="G89" s="11">
        <f>AVERAGE(G4:G10)</f>
        <v>96.325637007323522</v>
      </c>
      <c r="H89" s="11">
        <f>STDEV(D4:D12)/SQRT(COUNT(D4:D12))</f>
        <v>177.45970127956176</v>
      </c>
      <c r="I89" s="11">
        <f t="shared" ref="I89:K89" si="4">STDEV(E4:E12)/SQRT(COUNT(E4:E12))</f>
        <v>6.9673680602559545</v>
      </c>
      <c r="J89" s="11">
        <f t="shared" si="4"/>
        <v>0.85731041234744743</v>
      </c>
      <c r="K89" s="11">
        <f>STDEV(G4:G12)/SQRT(COUNT(G4:G12))</f>
        <v>0.85731041234744654</v>
      </c>
    </row>
    <row r="90" spans="2:37" x14ac:dyDescent="0.2">
      <c r="B90" s="10" t="s">
        <v>84</v>
      </c>
      <c r="C90" s="18">
        <f>COUNT(D13:D21)</f>
        <v>3</v>
      </c>
      <c r="D90" s="11">
        <f>AVERAGE(D13:D21)</f>
        <v>1536.6666666666667</v>
      </c>
      <c r="E90" s="11">
        <f>AVERAGE(E13:E21)</f>
        <v>20</v>
      </c>
      <c r="F90" s="11">
        <f>AVERAGE(F13:F21)</f>
        <v>1.2567188931202242</v>
      </c>
      <c r="G90" s="11">
        <f>AVERAGE(G13:G21)</f>
        <v>98.743281106879792</v>
      </c>
      <c r="H90" s="11">
        <f>STDEV(D13:D21)/SQRT(COUNT(D13:D21))</f>
        <v>233.83493703417767</v>
      </c>
      <c r="I90" s="11">
        <f>STDEV(E13:E21)/SQRT(COUNT(E13:E21))</f>
        <v>5.5677643628300224</v>
      </c>
      <c r="J90" s="11">
        <f>STDEV(F13:F21)/SQRT(COUNT(F13:F21))</f>
        <v>0.15488061738651865</v>
      </c>
      <c r="K90" s="11">
        <f>STDEV(G13:G21)/SQRT(COUNT(G13:G21))</f>
        <v>0.1548806173865169</v>
      </c>
    </row>
    <row r="91" spans="2:37" x14ac:dyDescent="0.2">
      <c r="B91" s="10" t="s">
        <v>102</v>
      </c>
      <c r="C91" s="18">
        <f>COUNT(D22:D32)</f>
        <v>3</v>
      </c>
      <c r="D91" s="11">
        <f>AVERAGE(D22:D32)</f>
        <v>1396.3333333333333</v>
      </c>
      <c r="E91" s="11">
        <f>AVERAGE(E22:E32)</f>
        <v>14.666666666666666</v>
      </c>
      <c r="F91" s="11">
        <f>AVERAGE(F22:F32)</f>
        <v>1.0338085104238004</v>
      </c>
      <c r="G91" s="11">
        <f>AVERAGE(G22:G32)</f>
        <v>98.966191489576204</v>
      </c>
      <c r="H91" s="11">
        <f>STDEV(D22:D32)/SQRT(COUNT(D22:D32))</f>
        <v>201.45333068590477</v>
      </c>
      <c r="I91" s="11">
        <f>STDEV(E22:E32)/SQRT(COUNT(E22:E32))</f>
        <v>3.1797973380564848</v>
      </c>
      <c r="J91" s="11">
        <f>STDEV(F22:F32)/SQRT(COUNT(F22:F32))</f>
        <v>8.4286652976034021E-2</v>
      </c>
      <c r="K91" s="11">
        <f>STDEV(G22:G32)/SQRT(COUNT(G22:G32))</f>
        <v>8.4286652976034659E-2</v>
      </c>
    </row>
    <row r="92" spans="2:37" x14ac:dyDescent="0.2">
      <c r="B92" s="10" t="s">
        <v>85</v>
      </c>
      <c r="C92" s="18"/>
      <c r="D92" s="11"/>
      <c r="E92" s="11"/>
      <c r="F92" s="11"/>
      <c r="H92" s="11"/>
      <c r="I92" s="11"/>
      <c r="J92" s="11"/>
    </row>
    <row r="93" spans="2:37" x14ac:dyDescent="0.2">
      <c r="B93" s="10" t="s">
        <v>86</v>
      </c>
      <c r="C93" s="18"/>
      <c r="D93" s="11"/>
      <c r="E93" s="11"/>
      <c r="F93" s="11"/>
      <c r="H93" s="11"/>
      <c r="I93" s="11"/>
      <c r="J93" s="11"/>
    </row>
    <row r="94" spans="2:37" x14ac:dyDescent="0.2">
      <c r="B94" s="10" t="s">
        <v>87</v>
      </c>
      <c r="C94" s="18"/>
      <c r="D94" s="11"/>
      <c r="E94" s="11"/>
      <c r="F94" s="11"/>
      <c r="H94" s="11"/>
      <c r="I94" s="11"/>
      <c r="J94" s="11"/>
    </row>
    <row r="95" spans="2:37" x14ac:dyDescent="0.2">
      <c r="B95" s="10" t="s">
        <v>103</v>
      </c>
      <c r="C95" s="18"/>
      <c r="D95" s="11"/>
      <c r="E95" s="11"/>
      <c r="F95" s="11"/>
      <c r="H95" s="11"/>
      <c r="I95" s="11"/>
      <c r="J95" s="11"/>
    </row>
    <row r="96" spans="2:37" x14ac:dyDescent="0.2">
      <c r="B96" s="10"/>
      <c r="D96" s="11"/>
      <c r="E96" s="11"/>
      <c r="F96" s="11"/>
      <c r="H96" s="11"/>
      <c r="I96" s="11"/>
      <c r="J96" s="11"/>
    </row>
    <row r="97" spans="2:10" x14ac:dyDescent="0.2">
      <c r="B97" s="10" t="s">
        <v>88</v>
      </c>
      <c r="D97" s="11"/>
      <c r="E97" s="11"/>
      <c r="F97" s="11"/>
      <c r="H97" s="11"/>
      <c r="I97" s="11"/>
      <c r="J97" s="11"/>
    </row>
    <row r="98" spans="2:10" x14ac:dyDescent="0.2">
      <c r="B98" s="10" t="s">
        <v>89</v>
      </c>
      <c r="D98" s="11"/>
      <c r="E98" s="11"/>
      <c r="F98" s="11"/>
      <c r="H98" s="11"/>
      <c r="I98" s="11"/>
      <c r="J98" s="11"/>
    </row>
    <row r="99" spans="2:10" x14ac:dyDescent="0.2">
      <c r="B99" s="10" t="s">
        <v>93</v>
      </c>
      <c r="D99" s="11"/>
      <c r="E99" s="11"/>
      <c r="F99" s="11"/>
      <c r="H99" s="11"/>
      <c r="I99" s="11"/>
      <c r="J99" s="11"/>
    </row>
    <row r="102" spans="2:10" x14ac:dyDescent="0.2">
      <c r="C102" t="s">
        <v>99</v>
      </c>
    </row>
  </sheetData>
  <mergeCells count="3">
    <mergeCell ref="D2:F2"/>
    <mergeCell ref="D87:F87"/>
    <mergeCell ref="H87:J8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B1:AK102"/>
  <sheetViews>
    <sheetView topLeftCell="A3" workbookViewId="0">
      <selection activeCell="D4" sqref="D4:E26"/>
    </sheetView>
  </sheetViews>
  <sheetFormatPr baseColWidth="10" defaultColWidth="9.1640625" defaultRowHeight="15" x14ac:dyDescent="0.2"/>
  <cols>
    <col min="2" max="2" width="23.5" bestFit="1" customWidth="1"/>
    <col min="6" max="6" width="11" bestFit="1" customWidth="1"/>
    <col min="7" max="7" width="8.83203125" customWidth="1"/>
    <col min="8" max="8" width="10.1640625" customWidth="1"/>
    <col min="9" max="9" width="12" customWidth="1"/>
  </cols>
  <sheetData>
    <row r="1" spans="2:9" s="1" customFormat="1" x14ac:dyDescent="0.2">
      <c r="D1" s="19" t="s">
        <v>82</v>
      </c>
      <c r="E1" s="19"/>
      <c r="F1" s="19"/>
      <c r="G1" s="19"/>
      <c r="H1" s="19"/>
      <c r="I1" s="19"/>
    </row>
    <row r="2" spans="2:9" s="1" customFormat="1" x14ac:dyDescent="0.2">
      <c r="D2" s="20" t="s">
        <v>99</v>
      </c>
      <c r="E2" s="20"/>
      <c r="F2" s="20"/>
    </row>
    <row r="3" spans="2:9" s="1" customFormat="1" ht="15" customHeight="1" x14ac:dyDescent="0.2">
      <c r="B3" s="1" t="s">
        <v>0</v>
      </c>
      <c r="D3" s="1" t="s">
        <v>98</v>
      </c>
      <c r="E3" s="1" t="s">
        <v>101</v>
      </c>
      <c r="F3" s="1" t="s">
        <v>100</v>
      </c>
    </row>
    <row r="4" spans="2:9" x14ac:dyDescent="0.2">
      <c r="B4" s="2" t="s">
        <v>1</v>
      </c>
      <c r="D4" s="15">
        <v>821</v>
      </c>
      <c r="E4" s="15">
        <v>56</v>
      </c>
      <c r="F4" s="15">
        <f>(E4/D4)*100</f>
        <v>6.8209500609013398</v>
      </c>
      <c r="G4">
        <f>100*(D4-E4)/D4</f>
        <v>93.179049939098661</v>
      </c>
    </row>
    <row r="5" spans="2:9" x14ac:dyDescent="0.2">
      <c r="B5" s="2" t="s">
        <v>2</v>
      </c>
      <c r="D5" s="15">
        <v>1542</v>
      </c>
      <c r="E5" s="16">
        <v>76</v>
      </c>
      <c r="F5" s="15">
        <f t="shared" ref="F5:F26" si="0">(E5/D5)*100</f>
        <v>4.9286640726329445</v>
      </c>
      <c r="G5">
        <f t="shared" ref="G5:G26" si="1">100*(D5-E5)/D5</f>
        <v>95.071335927367059</v>
      </c>
    </row>
    <row r="6" spans="2:9" x14ac:dyDescent="0.2">
      <c r="B6" s="2" t="s">
        <v>3</v>
      </c>
      <c r="D6" s="15">
        <v>2859</v>
      </c>
      <c r="E6" s="16">
        <v>131</v>
      </c>
      <c r="F6" s="15">
        <f t="shared" si="0"/>
        <v>4.582021685904162</v>
      </c>
      <c r="G6">
        <f t="shared" si="1"/>
        <v>95.417978314095834</v>
      </c>
    </row>
    <row r="7" spans="2:9" x14ac:dyDescent="0.2">
      <c r="B7" s="2" t="s">
        <v>4</v>
      </c>
      <c r="D7" s="15">
        <v>3699</v>
      </c>
      <c r="E7" s="16">
        <v>165</v>
      </c>
      <c r="F7" s="15">
        <f t="shared" si="0"/>
        <v>4.4606650446066505</v>
      </c>
      <c r="G7">
        <f t="shared" si="1"/>
        <v>95.539334955393343</v>
      </c>
    </row>
    <row r="8" spans="2:9" x14ac:dyDescent="0.2">
      <c r="B8" s="2" t="s">
        <v>5</v>
      </c>
      <c r="D8" s="15"/>
      <c r="E8" s="16"/>
      <c r="F8" s="15"/>
    </row>
    <row r="9" spans="2:9" x14ac:dyDescent="0.2">
      <c r="B9" s="2" t="s">
        <v>6</v>
      </c>
      <c r="D9" s="15">
        <v>2045</v>
      </c>
      <c r="E9" s="16">
        <v>74</v>
      </c>
      <c r="F9" s="15">
        <f t="shared" si="0"/>
        <v>3.6185819070904643</v>
      </c>
      <c r="G9">
        <f t="shared" si="1"/>
        <v>96.381418092909541</v>
      </c>
    </row>
    <row r="10" spans="2:9" x14ac:dyDescent="0.2">
      <c r="B10" s="2" t="s">
        <v>7</v>
      </c>
      <c r="D10" s="15">
        <v>2030</v>
      </c>
      <c r="E10" s="16">
        <v>54</v>
      </c>
      <c r="F10" s="15">
        <f t="shared" si="0"/>
        <v>2.6600985221674875</v>
      </c>
      <c r="G10">
        <f t="shared" si="1"/>
        <v>97.339901477832512</v>
      </c>
    </row>
    <row r="11" spans="2:9" x14ac:dyDescent="0.2">
      <c r="B11" s="2" t="s">
        <v>8</v>
      </c>
      <c r="D11" s="15">
        <v>3859</v>
      </c>
      <c r="E11" s="16">
        <v>182</v>
      </c>
      <c r="F11" s="15">
        <f t="shared" si="0"/>
        <v>4.7162477325732057</v>
      </c>
      <c r="G11">
        <f t="shared" si="1"/>
        <v>95.283752267426792</v>
      </c>
    </row>
    <row r="12" spans="2:9" x14ac:dyDescent="0.2">
      <c r="B12" s="2" t="s">
        <v>9</v>
      </c>
      <c r="D12" s="15">
        <v>3838</v>
      </c>
      <c r="E12" s="16">
        <v>328</v>
      </c>
      <c r="F12" s="15">
        <f t="shared" si="0"/>
        <v>8.5461177696717048</v>
      </c>
      <c r="G12">
        <f t="shared" si="1"/>
        <v>91.45388223032829</v>
      </c>
    </row>
    <row r="13" spans="2:9" x14ac:dyDescent="0.2">
      <c r="B13" s="3" t="s">
        <v>10</v>
      </c>
      <c r="D13" s="16">
        <v>3209</v>
      </c>
      <c r="E13" s="16">
        <v>84</v>
      </c>
      <c r="F13" s="15">
        <f t="shared" si="0"/>
        <v>2.6176378934247428</v>
      </c>
      <c r="G13">
        <f t="shared" si="1"/>
        <v>97.382362106575258</v>
      </c>
    </row>
    <row r="14" spans="2:9" x14ac:dyDescent="0.2">
      <c r="B14" s="3" t="s">
        <v>11</v>
      </c>
      <c r="D14" s="16">
        <v>2974</v>
      </c>
      <c r="E14" s="16">
        <v>101</v>
      </c>
      <c r="F14" s="15">
        <f t="shared" si="0"/>
        <v>3.3960995292535308</v>
      </c>
      <c r="G14">
        <f t="shared" si="1"/>
        <v>96.603900470746467</v>
      </c>
    </row>
    <row r="15" spans="2:9" x14ac:dyDescent="0.2">
      <c r="B15" s="3" t="s">
        <v>12</v>
      </c>
      <c r="D15" s="16">
        <v>1834</v>
      </c>
      <c r="E15" s="16">
        <v>58</v>
      </c>
      <c r="F15" s="15">
        <f t="shared" si="0"/>
        <v>3.162486368593239</v>
      </c>
      <c r="G15">
        <f t="shared" si="1"/>
        <v>96.837513631406765</v>
      </c>
    </row>
    <row r="16" spans="2:9" x14ac:dyDescent="0.2">
      <c r="B16" s="3" t="s">
        <v>13</v>
      </c>
      <c r="D16" s="16">
        <v>3013</v>
      </c>
      <c r="E16" s="16">
        <v>94</v>
      </c>
      <c r="F16" s="15">
        <f t="shared" si="0"/>
        <v>3.1198141387321607</v>
      </c>
      <c r="G16">
        <f t="shared" si="1"/>
        <v>96.880185861267833</v>
      </c>
    </row>
    <row r="17" spans="2:7" x14ac:dyDescent="0.2">
      <c r="B17" s="3" t="s">
        <v>14</v>
      </c>
      <c r="D17" s="16">
        <v>3700</v>
      </c>
      <c r="E17" s="16">
        <v>439</v>
      </c>
      <c r="F17" s="15">
        <f t="shared" si="0"/>
        <v>11.864864864864865</v>
      </c>
      <c r="G17">
        <f t="shared" si="1"/>
        <v>88.13513513513513</v>
      </c>
    </row>
    <row r="18" spans="2:7" x14ac:dyDescent="0.2">
      <c r="B18" s="3" t="s">
        <v>15</v>
      </c>
      <c r="D18" s="16">
        <v>2967</v>
      </c>
      <c r="E18" s="16">
        <v>365</v>
      </c>
      <c r="F18" s="15">
        <f t="shared" si="0"/>
        <v>12.301988540613413</v>
      </c>
      <c r="G18">
        <f t="shared" si="1"/>
        <v>87.698011459386592</v>
      </c>
    </row>
    <row r="19" spans="2:7" x14ac:dyDescent="0.2">
      <c r="B19" s="3" t="s">
        <v>16</v>
      </c>
      <c r="D19" s="16">
        <v>3953</v>
      </c>
      <c r="E19" s="16">
        <v>217</v>
      </c>
      <c r="F19" s="15">
        <f t="shared" si="0"/>
        <v>5.4895016443207689</v>
      </c>
      <c r="G19">
        <f t="shared" si="1"/>
        <v>94.510498355679232</v>
      </c>
    </row>
    <row r="20" spans="2:7" x14ac:dyDescent="0.2">
      <c r="B20" s="3" t="s">
        <v>17</v>
      </c>
      <c r="D20" s="16"/>
      <c r="E20" s="16"/>
      <c r="F20" s="15"/>
    </row>
    <row r="21" spans="2:7" x14ac:dyDescent="0.2">
      <c r="B21" s="3" t="s">
        <v>18</v>
      </c>
      <c r="D21" s="16">
        <v>2763</v>
      </c>
      <c r="E21" s="16">
        <v>101</v>
      </c>
      <c r="F21" s="15">
        <f t="shared" si="0"/>
        <v>3.6554469779225482</v>
      </c>
      <c r="G21">
        <f t="shared" si="1"/>
        <v>96.344553022077449</v>
      </c>
    </row>
    <row r="22" spans="2:7" x14ac:dyDescent="0.2">
      <c r="B22" s="4" t="s">
        <v>19</v>
      </c>
      <c r="D22" s="16">
        <v>3427</v>
      </c>
      <c r="E22" s="16">
        <v>136</v>
      </c>
      <c r="F22" s="15">
        <f t="shared" si="0"/>
        <v>3.9684855558797785</v>
      </c>
      <c r="G22">
        <f t="shared" si="1"/>
        <v>96.031514444120219</v>
      </c>
    </row>
    <row r="23" spans="2:7" x14ac:dyDescent="0.2">
      <c r="B23" s="4" t="s">
        <v>20</v>
      </c>
      <c r="D23" s="16">
        <v>2953</v>
      </c>
      <c r="E23" s="16"/>
      <c r="F23" s="15"/>
    </row>
    <row r="24" spans="2:7" x14ac:dyDescent="0.2">
      <c r="B24" s="4" t="s">
        <v>21</v>
      </c>
      <c r="D24" s="16"/>
      <c r="E24" s="16"/>
      <c r="F24" s="15"/>
    </row>
    <row r="25" spans="2:7" x14ac:dyDescent="0.2">
      <c r="B25" s="4" t="s">
        <v>22</v>
      </c>
      <c r="D25" s="16"/>
      <c r="E25" s="16"/>
      <c r="F25" s="15"/>
    </row>
    <row r="26" spans="2:7" x14ac:dyDescent="0.2">
      <c r="B26" s="4" t="s">
        <v>23</v>
      </c>
      <c r="D26" s="16">
        <v>4368</v>
      </c>
      <c r="E26" s="16">
        <v>382</v>
      </c>
      <c r="F26" s="15">
        <f t="shared" si="0"/>
        <v>8.7454212454212445</v>
      </c>
      <c r="G26">
        <f t="shared" si="1"/>
        <v>91.254578754578759</v>
      </c>
    </row>
    <row r="27" spans="2:7" x14ac:dyDescent="0.2">
      <c r="B27" s="4" t="s">
        <v>24</v>
      </c>
      <c r="D27" s="12"/>
      <c r="E27" s="12"/>
      <c r="F27" s="15"/>
      <c r="G27" s="17"/>
    </row>
    <row r="28" spans="2:7" x14ac:dyDescent="0.2">
      <c r="B28" s="4" t="s">
        <v>25</v>
      </c>
      <c r="D28" s="12"/>
      <c r="E28" s="12"/>
      <c r="F28" s="15"/>
      <c r="G28" s="17"/>
    </row>
    <row r="29" spans="2:7" x14ac:dyDescent="0.2">
      <c r="B29" s="4" t="s">
        <v>26</v>
      </c>
      <c r="D29" s="12"/>
      <c r="E29" s="12"/>
      <c r="F29" s="15"/>
      <c r="G29" s="17"/>
    </row>
    <row r="30" spans="2:7" x14ac:dyDescent="0.2">
      <c r="B30" s="4" t="s">
        <v>27</v>
      </c>
      <c r="D30" s="12"/>
      <c r="E30" s="12"/>
      <c r="F30" s="15"/>
      <c r="G30" s="17"/>
    </row>
    <row r="31" spans="2:7" x14ac:dyDescent="0.2">
      <c r="B31" s="4" t="s">
        <v>28</v>
      </c>
      <c r="D31" s="12"/>
      <c r="E31" s="12"/>
      <c r="F31" s="15"/>
      <c r="G31" s="17"/>
    </row>
    <row r="32" spans="2:7" x14ac:dyDescent="0.2">
      <c r="B32" s="4" t="s">
        <v>29</v>
      </c>
      <c r="D32" s="12"/>
      <c r="E32" s="12"/>
      <c r="F32" s="15"/>
      <c r="G32" s="17"/>
    </row>
    <row r="33" spans="2:10" x14ac:dyDescent="0.2">
      <c r="B33" s="5" t="s">
        <v>30</v>
      </c>
      <c r="D33" s="15"/>
      <c r="E33" s="16"/>
      <c r="F33" s="16"/>
      <c r="G33" s="17"/>
    </row>
    <row r="34" spans="2:10" x14ac:dyDescent="0.2">
      <c r="B34" s="5" t="s">
        <v>31</v>
      </c>
      <c r="D34" s="15"/>
      <c r="E34" s="16"/>
      <c r="F34" s="16"/>
      <c r="G34" s="14"/>
      <c r="H34" s="14"/>
      <c r="I34" s="14"/>
      <c r="J34" s="17"/>
    </row>
    <row r="35" spans="2:10" x14ac:dyDescent="0.2">
      <c r="B35" s="5" t="s">
        <v>32</v>
      </c>
      <c r="C35" s="17"/>
      <c r="D35" s="16"/>
      <c r="E35" s="16"/>
      <c r="F35" s="16"/>
      <c r="G35" s="14"/>
      <c r="H35" s="14"/>
      <c r="I35" s="14"/>
      <c r="J35" s="17"/>
    </row>
    <row r="36" spans="2:10" x14ac:dyDescent="0.2">
      <c r="B36" s="5" t="s">
        <v>33</v>
      </c>
      <c r="C36" s="17"/>
      <c r="D36" s="16"/>
      <c r="E36" s="16"/>
      <c r="F36" s="16"/>
      <c r="G36" s="14"/>
      <c r="H36" s="14"/>
      <c r="I36" s="14"/>
      <c r="J36" s="17"/>
    </row>
    <row r="37" spans="2:10" x14ac:dyDescent="0.2">
      <c r="B37" s="5" t="s">
        <v>34</v>
      </c>
      <c r="C37" s="17"/>
      <c r="D37" s="16"/>
      <c r="E37" s="16"/>
      <c r="F37" s="16"/>
      <c r="G37" s="14"/>
      <c r="H37" s="14"/>
      <c r="I37" s="14"/>
      <c r="J37" s="17"/>
    </row>
    <row r="38" spans="2:10" x14ac:dyDescent="0.2">
      <c r="B38" s="5" t="s">
        <v>35</v>
      </c>
      <c r="C38" s="17"/>
      <c r="D38" s="16"/>
      <c r="E38" s="16"/>
      <c r="F38" s="16"/>
      <c r="G38" s="14"/>
      <c r="H38" s="14"/>
      <c r="I38" s="14"/>
      <c r="J38" s="17"/>
    </row>
    <row r="39" spans="2:10" x14ac:dyDescent="0.2">
      <c r="B39" s="5" t="s">
        <v>36</v>
      </c>
      <c r="C39" s="17"/>
      <c r="D39" s="16"/>
      <c r="E39" s="16"/>
      <c r="F39" s="16"/>
      <c r="G39" s="14"/>
      <c r="H39" s="14"/>
      <c r="I39" s="14"/>
      <c r="J39" s="17"/>
    </row>
    <row r="40" spans="2:10" x14ac:dyDescent="0.2">
      <c r="B40" s="5" t="s">
        <v>37</v>
      </c>
      <c r="C40" s="17"/>
      <c r="D40" s="16"/>
      <c r="E40" s="16"/>
      <c r="F40" s="16"/>
      <c r="G40" s="14"/>
      <c r="H40" s="14"/>
      <c r="I40" s="14"/>
      <c r="J40" s="17"/>
    </row>
    <row r="41" spans="2:10" x14ac:dyDescent="0.2">
      <c r="B41" s="2" t="s">
        <v>38</v>
      </c>
      <c r="C41" s="17"/>
      <c r="D41" s="16"/>
      <c r="E41" s="16"/>
      <c r="F41" s="16"/>
      <c r="G41" s="14"/>
      <c r="H41" s="14"/>
      <c r="I41" s="14"/>
      <c r="J41" s="17"/>
    </row>
    <row r="42" spans="2:10" x14ac:dyDescent="0.2">
      <c r="B42" s="2" t="s">
        <v>39</v>
      </c>
      <c r="C42" s="17"/>
      <c r="D42" s="16"/>
      <c r="E42" s="16"/>
      <c r="F42" s="16"/>
      <c r="G42" s="14"/>
      <c r="H42" s="14"/>
      <c r="I42" s="14"/>
      <c r="J42" s="17"/>
    </row>
    <row r="43" spans="2:10" x14ac:dyDescent="0.2">
      <c r="B43" s="2" t="s">
        <v>40</v>
      </c>
      <c r="C43" s="17"/>
      <c r="D43" s="16"/>
      <c r="E43" s="16"/>
      <c r="F43" s="16"/>
      <c r="G43" s="14"/>
      <c r="H43" s="14"/>
      <c r="I43" s="14"/>
      <c r="J43" s="17"/>
    </row>
    <row r="44" spans="2:10" x14ac:dyDescent="0.2">
      <c r="B44" s="2" t="s">
        <v>41</v>
      </c>
      <c r="C44" s="17"/>
      <c r="D44" s="16"/>
      <c r="E44" s="16"/>
      <c r="F44" s="16"/>
      <c r="G44" s="14"/>
      <c r="H44" s="14"/>
      <c r="I44" s="14"/>
      <c r="J44" s="17"/>
    </row>
    <row r="45" spans="2:10" x14ac:dyDescent="0.2">
      <c r="B45" s="2" t="s">
        <v>42</v>
      </c>
      <c r="C45" s="17"/>
      <c r="D45" s="16"/>
      <c r="E45" s="16"/>
      <c r="F45" s="16"/>
      <c r="G45" s="14"/>
      <c r="H45" s="14"/>
      <c r="I45" s="14"/>
      <c r="J45" s="17"/>
    </row>
    <row r="46" spans="2:10" x14ac:dyDescent="0.2">
      <c r="B46" s="2" t="s">
        <v>43</v>
      </c>
      <c r="C46" s="17"/>
      <c r="D46" s="16"/>
      <c r="E46" s="16"/>
      <c r="F46" s="16"/>
      <c r="G46" s="14"/>
      <c r="H46" s="14"/>
      <c r="I46" s="14"/>
      <c r="J46" s="17"/>
    </row>
    <row r="47" spans="2:10" x14ac:dyDescent="0.2">
      <c r="B47" s="2" t="s">
        <v>44</v>
      </c>
      <c r="C47" s="17"/>
      <c r="D47" s="16"/>
      <c r="E47" s="16"/>
      <c r="F47" s="16"/>
      <c r="G47" s="14"/>
      <c r="H47" s="14"/>
      <c r="I47" s="14"/>
      <c r="J47" s="17"/>
    </row>
    <row r="48" spans="2:10" x14ac:dyDescent="0.2">
      <c r="B48" s="3" t="s">
        <v>45</v>
      </c>
      <c r="C48" s="17"/>
      <c r="D48" s="16"/>
      <c r="E48" s="16"/>
      <c r="F48" s="16"/>
      <c r="G48" s="8"/>
      <c r="H48" s="8"/>
      <c r="I48" s="8"/>
    </row>
    <row r="49" spans="2:9" x14ac:dyDescent="0.2">
      <c r="B49" s="3" t="s">
        <v>46</v>
      </c>
      <c r="C49" s="17"/>
      <c r="D49" s="16"/>
      <c r="E49" s="16"/>
      <c r="F49" s="16"/>
      <c r="G49" s="8"/>
      <c r="H49" s="8"/>
      <c r="I49" s="8"/>
    </row>
    <row r="50" spans="2:9" x14ac:dyDescent="0.2">
      <c r="B50" s="3" t="s">
        <v>47</v>
      </c>
      <c r="C50" s="17"/>
      <c r="D50" s="16"/>
      <c r="E50" s="16"/>
      <c r="F50" s="16"/>
      <c r="G50" s="8"/>
      <c r="H50" s="8"/>
      <c r="I50" s="8"/>
    </row>
    <row r="51" spans="2:9" x14ac:dyDescent="0.2">
      <c r="B51" s="3" t="s">
        <v>48</v>
      </c>
      <c r="C51" s="17"/>
      <c r="D51" s="16"/>
      <c r="E51" s="16"/>
      <c r="F51" s="16"/>
      <c r="G51" s="8"/>
      <c r="H51" s="8"/>
      <c r="I51" s="8"/>
    </row>
    <row r="52" spans="2:9" x14ac:dyDescent="0.2">
      <c r="B52" s="3" t="s">
        <v>49</v>
      </c>
      <c r="C52" s="17"/>
      <c r="D52" s="16"/>
      <c r="E52" s="16"/>
      <c r="F52" s="16"/>
      <c r="G52" s="8"/>
      <c r="H52" s="8"/>
      <c r="I52" s="8"/>
    </row>
    <row r="53" spans="2:9" x14ac:dyDescent="0.2">
      <c r="B53" s="4" t="s">
        <v>50</v>
      </c>
      <c r="C53" s="17"/>
      <c r="D53" s="16"/>
      <c r="E53" s="16"/>
      <c r="F53" s="16"/>
      <c r="G53" s="8"/>
      <c r="H53" s="8"/>
      <c r="I53" s="8"/>
    </row>
    <row r="54" spans="2:9" x14ac:dyDescent="0.2">
      <c r="B54" s="4" t="s">
        <v>51</v>
      </c>
      <c r="C54" s="17"/>
      <c r="D54" s="16"/>
      <c r="E54" s="16"/>
      <c r="F54" s="16"/>
      <c r="G54" s="8"/>
      <c r="H54" s="8"/>
      <c r="I54" s="8"/>
    </row>
    <row r="55" spans="2:9" x14ac:dyDescent="0.2">
      <c r="B55" s="4" t="s">
        <v>52</v>
      </c>
      <c r="C55" s="17"/>
      <c r="D55" s="16"/>
      <c r="E55" s="16"/>
      <c r="F55" s="16"/>
      <c r="G55" s="8"/>
      <c r="H55" s="8"/>
      <c r="I55" s="8"/>
    </row>
    <row r="56" spans="2:9" x14ac:dyDescent="0.2">
      <c r="B56" s="4" t="s">
        <v>53</v>
      </c>
      <c r="D56" s="15"/>
      <c r="E56" s="15"/>
      <c r="F56" s="15"/>
      <c r="G56" s="8"/>
      <c r="H56" s="8"/>
      <c r="I56" s="8"/>
    </row>
    <row r="57" spans="2:9" x14ac:dyDescent="0.2">
      <c r="B57" s="4" t="s">
        <v>54</v>
      </c>
      <c r="D57" s="15"/>
      <c r="E57" s="15"/>
      <c r="F57" s="15"/>
      <c r="G57" s="8"/>
      <c r="H57" s="8"/>
      <c r="I57" s="8"/>
    </row>
    <row r="58" spans="2:9" x14ac:dyDescent="0.2">
      <c r="B58" s="4" t="s">
        <v>55</v>
      </c>
      <c r="D58" s="15"/>
      <c r="E58" s="15"/>
      <c r="F58" s="15"/>
      <c r="G58" s="8"/>
      <c r="H58" s="8"/>
      <c r="I58" s="8"/>
    </row>
    <row r="59" spans="2:9" x14ac:dyDescent="0.2">
      <c r="B59" s="4" t="s">
        <v>56</v>
      </c>
      <c r="D59" s="15"/>
      <c r="E59" s="15"/>
      <c r="F59" s="15"/>
      <c r="G59" s="8"/>
      <c r="H59" s="8"/>
      <c r="I59" s="8"/>
    </row>
    <row r="60" spans="2:9" x14ac:dyDescent="0.2">
      <c r="B60" s="4" t="s">
        <v>57</v>
      </c>
      <c r="D60" s="15"/>
      <c r="E60" s="15"/>
      <c r="F60" s="15"/>
      <c r="G60" s="8"/>
      <c r="H60" s="8"/>
      <c r="I60" s="8"/>
    </row>
    <row r="61" spans="2:9" x14ac:dyDescent="0.2">
      <c r="B61" s="5" t="s">
        <v>58</v>
      </c>
      <c r="D61" s="8"/>
      <c r="E61" s="8"/>
      <c r="F61" s="8"/>
      <c r="G61" s="8"/>
      <c r="H61" s="8"/>
      <c r="I61" s="8"/>
    </row>
    <row r="62" spans="2:9" x14ac:dyDescent="0.2">
      <c r="B62" s="5" t="s">
        <v>59</v>
      </c>
      <c r="D62" s="8"/>
      <c r="E62" s="8"/>
      <c r="F62" s="8"/>
      <c r="G62" s="8"/>
      <c r="H62" s="8"/>
      <c r="I62" s="8"/>
    </row>
    <row r="63" spans="2:9" x14ac:dyDescent="0.2">
      <c r="B63" s="5" t="s">
        <v>60</v>
      </c>
      <c r="D63" s="8"/>
      <c r="E63" s="8"/>
      <c r="F63" s="8"/>
      <c r="G63" s="8"/>
      <c r="H63" s="8"/>
      <c r="I63" s="8"/>
    </row>
    <row r="64" spans="2:9" x14ac:dyDescent="0.2">
      <c r="B64" s="5" t="s">
        <v>61</v>
      </c>
      <c r="D64" s="8"/>
      <c r="E64" s="8"/>
      <c r="F64" s="8"/>
      <c r="G64" s="8"/>
      <c r="H64" s="8"/>
      <c r="I64" s="8"/>
    </row>
    <row r="65" spans="2:10" x14ac:dyDescent="0.2">
      <c r="B65" s="5" t="s">
        <v>62</v>
      </c>
      <c r="D65" s="8"/>
      <c r="E65" s="8"/>
      <c r="F65" s="8"/>
      <c r="G65" s="8"/>
      <c r="H65" s="8"/>
      <c r="I65" s="8"/>
    </row>
    <row r="66" spans="2:10" x14ac:dyDescent="0.2">
      <c r="B66" s="5" t="s">
        <v>63</v>
      </c>
      <c r="D66" s="8"/>
      <c r="E66" s="8"/>
      <c r="F66" s="8"/>
      <c r="G66" s="8"/>
      <c r="H66" s="8"/>
      <c r="I66" s="8"/>
    </row>
    <row r="67" spans="2:10" x14ac:dyDescent="0.2">
      <c r="B67" s="5" t="s">
        <v>64</v>
      </c>
      <c r="D67" s="8"/>
      <c r="E67" s="8"/>
      <c r="F67" s="8"/>
      <c r="G67" s="8"/>
      <c r="H67" s="8"/>
      <c r="I67" s="12"/>
      <c r="J67" s="17"/>
    </row>
    <row r="68" spans="2:10" x14ac:dyDescent="0.2">
      <c r="B68" s="5" t="s">
        <v>65</v>
      </c>
      <c r="D68" s="8"/>
      <c r="E68" s="8"/>
      <c r="F68" s="8"/>
      <c r="G68" s="8"/>
      <c r="H68" s="8"/>
      <c r="I68" s="12"/>
      <c r="J68" s="17"/>
    </row>
    <row r="69" spans="2:10" x14ac:dyDescent="0.2">
      <c r="B69" s="6" t="s">
        <v>66</v>
      </c>
      <c r="D69" s="8"/>
      <c r="E69" s="8"/>
      <c r="F69" s="8"/>
      <c r="G69" s="8"/>
      <c r="H69" s="8"/>
      <c r="I69" s="12"/>
      <c r="J69" s="17"/>
    </row>
    <row r="70" spans="2:10" x14ac:dyDescent="0.2">
      <c r="B70" s="6" t="s">
        <v>67</v>
      </c>
      <c r="D70" s="8"/>
      <c r="E70" s="8"/>
      <c r="F70" s="8"/>
      <c r="G70" s="8"/>
      <c r="H70" s="8"/>
      <c r="I70" s="12"/>
      <c r="J70" s="17"/>
    </row>
    <row r="71" spans="2:10" x14ac:dyDescent="0.2">
      <c r="B71" s="6" t="s">
        <v>68</v>
      </c>
      <c r="D71" s="8"/>
      <c r="E71" s="8"/>
      <c r="F71" s="8"/>
      <c r="G71" s="8"/>
      <c r="H71" s="8"/>
      <c r="I71" s="12"/>
      <c r="J71" s="17"/>
    </row>
    <row r="72" spans="2:10" x14ac:dyDescent="0.2">
      <c r="B72" s="6" t="s">
        <v>69</v>
      </c>
      <c r="D72" s="8"/>
      <c r="E72" s="8"/>
      <c r="F72" s="8"/>
      <c r="G72" s="8"/>
      <c r="H72" s="8"/>
      <c r="I72" s="12"/>
      <c r="J72" s="17"/>
    </row>
    <row r="73" spans="2:10" x14ac:dyDescent="0.2">
      <c r="B73" s="6" t="s">
        <v>70</v>
      </c>
      <c r="D73" s="8"/>
      <c r="E73" s="8"/>
      <c r="F73" s="8"/>
      <c r="G73" s="8"/>
      <c r="H73" s="8"/>
      <c r="I73" s="12"/>
      <c r="J73" s="17"/>
    </row>
    <row r="74" spans="2:10" x14ac:dyDescent="0.2">
      <c r="B74" s="6" t="s">
        <v>71</v>
      </c>
      <c r="D74" s="8"/>
      <c r="E74" s="8"/>
      <c r="F74" s="8"/>
      <c r="G74" s="8"/>
      <c r="H74" s="8"/>
      <c r="I74" s="12"/>
      <c r="J74" s="17"/>
    </row>
    <row r="75" spans="2:10" x14ac:dyDescent="0.2">
      <c r="B75" s="6" t="s">
        <v>72</v>
      </c>
      <c r="D75" s="8"/>
      <c r="E75" s="8"/>
      <c r="F75" s="8"/>
      <c r="G75" s="8"/>
      <c r="H75" s="8"/>
      <c r="I75" s="12"/>
      <c r="J75" s="17"/>
    </row>
    <row r="76" spans="2:10" x14ac:dyDescent="0.2">
      <c r="B76" s="7" t="s">
        <v>73</v>
      </c>
      <c r="D76" s="8"/>
      <c r="E76" s="8"/>
      <c r="F76" s="8"/>
      <c r="G76" s="8"/>
      <c r="H76" s="8"/>
      <c r="I76" s="12"/>
      <c r="J76" s="17"/>
    </row>
    <row r="77" spans="2:10" x14ac:dyDescent="0.2">
      <c r="B77" s="7" t="s">
        <v>74</v>
      </c>
      <c r="D77" s="8"/>
      <c r="E77" s="8"/>
      <c r="F77" s="8"/>
      <c r="G77" s="8"/>
      <c r="H77" s="8"/>
      <c r="I77" s="12"/>
      <c r="J77" s="17"/>
    </row>
    <row r="78" spans="2:10" x14ac:dyDescent="0.2">
      <c r="B78" s="7" t="s">
        <v>75</v>
      </c>
      <c r="D78" s="8"/>
      <c r="E78" s="8"/>
      <c r="F78" s="8"/>
      <c r="G78" s="8"/>
      <c r="H78" s="8"/>
      <c r="I78" s="8"/>
    </row>
    <row r="79" spans="2:10" x14ac:dyDescent="0.2">
      <c r="B79" s="7" t="s">
        <v>76</v>
      </c>
      <c r="D79" s="8"/>
      <c r="E79" s="8"/>
      <c r="F79" s="8"/>
      <c r="G79" s="8"/>
      <c r="H79" s="8"/>
      <c r="I79" s="8"/>
    </row>
    <row r="80" spans="2:10" x14ac:dyDescent="0.2">
      <c r="B80" s="7" t="s">
        <v>77</v>
      </c>
      <c r="D80" s="8"/>
      <c r="E80" s="8"/>
      <c r="F80" s="8"/>
      <c r="G80" s="8"/>
      <c r="H80" s="8"/>
      <c r="I80" s="8"/>
    </row>
    <row r="81" spans="2:37" x14ac:dyDescent="0.2">
      <c r="B81" s="7" t="s">
        <v>78</v>
      </c>
      <c r="D81" s="8"/>
      <c r="E81" s="8"/>
      <c r="F81" s="8"/>
      <c r="G81" s="8"/>
      <c r="H81" s="8"/>
      <c r="I81" s="8"/>
    </row>
    <row r="82" spans="2:37" x14ac:dyDescent="0.2">
      <c r="B82" s="7" t="s">
        <v>79</v>
      </c>
      <c r="D82" s="8"/>
      <c r="E82" s="8"/>
      <c r="F82" s="8"/>
      <c r="G82" s="8"/>
      <c r="H82" s="8"/>
      <c r="I82" s="8"/>
    </row>
    <row r="83" spans="2:37" x14ac:dyDescent="0.2">
      <c r="B83" s="7" t="s">
        <v>80</v>
      </c>
      <c r="D83" s="8"/>
      <c r="E83" s="8"/>
      <c r="F83" s="8"/>
      <c r="G83" s="8"/>
      <c r="H83" s="8"/>
      <c r="I83" s="8"/>
    </row>
    <row r="84" spans="2:37" x14ac:dyDescent="0.2">
      <c r="B84" s="7" t="s">
        <v>81</v>
      </c>
      <c r="D84" s="8"/>
      <c r="E84" s="8"/>
      <c r="F84" s="8"/>
      <c r="G84" s="8"/>
      <c r="H84" s="8"/>
      <c r="I84" s="8"/>
      <c r="K84" s="8"/>
      <c r="L84" s="8"/>
      <c r="M84" s="8"/>
      <c r="N84" s="8"/>
      <c r="O84" s="8"/>
      <c r="P84" s="8"/>
      <c r="R84" s="8"/>
      <c r="S84" s="8"/>
      <c r="T84" s="8"/>
      <c r="U84" s="8"/>
      <c r="V84" s="8"/>
      <c r="W84" s="8"/>
      <c r="Y84" s="8"/>
      <c r="Z84" s="8"/>
      <c r="AA84" s="8"/>
      <c r="AB84" s="8"/>
      <c r="AC84" s="8"/>
      <c r="AD84" s="8"/>
      <c r="AF84" s="8"/>
      <c r="AG84" s="8"/>
      <c r="AH84" s="8"/>
      <c r="AI84" s="8"/>
      <c r="AJ84" s="8"/>
      <c r="AK84" s="8"/>
    </row>
    <row r="86" spans="2:37" x14ac:dyDescent="0.2">
      <c r="C86" s="1"/>
      <c r="D86" s="19" t="s">
        <v>95</v>
      </c>
      <c r="E86" s="19"/>
      <c r="F86" s="19"/>
      <c r="G86" s="1"/>
      <c r="H86" s="19" t="s">
        <v>96</v>
      </c>
      <c r="I86" s="19"/>
      <c r="J86" s="19"/>
    </row>
    <row r="87" spans="2:37" x14ac:dyDescent="0.2">
      <c r="C87" s="1"/>
      <c r="D87" s="20" t="s">
        <v>99</v>
      </c>
      <c r="E87" s="20"/>
      <c r="F87" s="20"/>
      <c r="G87" s="1"/>
      <c r="H87" s="21" t="s">
        <v>97</v>
      </c>
      <c r="I87" s="21"/>
      <c r="J87" s="21"/>
    </row>
    <row r="88" spans="2:37" ht="15" customHeight="1" x14ac:dyDescent="0.2">
      <c r="C88" s="1" t="s">
        <v>94</v>
      </c>
      <c r="D88" s="1" t="s">
        <v>98</v>
      </c>
      <c r="E88" s="1" t="s">
        <v>101</v>
      </c>
      <c r="F88" s="1" t="s">
        <v>100</v>
      </c>
      <c r="G88" s="1"/>
      <c r="H88" s="13" t="s">
        <v>90</v>
      </c>
      <c r="I88" s="13" t="s">
        <v>91</v>
      </c>
      <c r="J88" s="13" t="s">
        <v>92</v>
      </c>
    </row>
    <row r="89" spans="2:37" x14ac:dyDescent="0.2">
      <c r="B89" s="10" t="s">
        <v>83</v>
      </c>
      <c r="C89" s="9">
        <f>COUNT(D4:D12)</f>
        <v>8</v>
      </c>
      <c r="D89" s="11">
        <f>AVERAGE(D4:D12)</f>
        <v>2586.625</v>
      </c>
      <c r="E89" s="11">
        <f t="shared" ref="E89:F89" si="2">AVERAGE(E4:E12)</f>
        <v>133.25</v>
      </c>
      <c r="F89" s="11">
        <f t="shared" si="2"/>
        <v>5.0416683494434951</v>
      </c>
      <c r="G89" s="11">
        <f t="shared" ref="G89" si="3">AVERAGE(G4:G12)</f>
        <v>94.958331650556502</v>
      </c>
      <c r="H89" s="11">
        <f>STDEV(D4:D12)/SQRT(COUNT(D4:D12))</f>
        <v>407.70056140243059</v>
      </c>
      <c r="I89" s="11">
        <f t="shared" ref="I89:K89" si="4">STDEV(E4:E12)/SQRT(COUNT(E4:E12))</f>
        <v>32.828966956463482</v>
      </c>
      <c r="J89" s="11">
        <f t="shared" si="4"/>
        <v>0.6520786468268579</v>
      </c>
      <c r="K89" s="11">
        <f t="shared" si="4"/>
        <v>0.65207864682685812</v>
      </c>
    </row>
    <row r="90" spans="2:37" x14ac:dyDescent="0.2">
      <c r="B90" s="10" t="s">
        <v>84</v>
      </c>
      <c r="C90" s="18">
        <f>COUNT(D13:D21)</f>
        <v>8</v>
      </c>
      <c r="D90" s="11">
        <f>AVERAGE(D13:D21)</f>
        <v>3051.625</v>
      </c>
      <c r="E90" s="11">
        <f>AVERAGE(E13:E21)</f>
        <v>182.375</v>
      </c>
      <c r="F90" s="11">
        <f>AVERAGE(F13:F21)</f>
        <v>5.7009799947156594</v>
      </c>
      <c r="G90" s="11">
        <f>AVERAGE(G13:G21)</f>
        <v>94.299020005284348</v>
      </c>
      <c r="H90" s="11">
        <f>STDEV(D13:D21)/SQRT(COUNT(D13:D21))</f>
        <v>225.12805383825443</v>
      </c>
      <c r="I90" s="11">
        <f>STDEV(E13:E21)/SQRT(COUNT(E13:E21))</f>
        <v>51.166373409272829</v>
      </c>
      <c r="J90" s="11">
        <f>STDEV(F13:F21)/SQRT(COUNT(F13:F21))</f>
        <v>1.4250410925814878</v>
      </c>
      <c r="K90" s="11">
        <f>STDEV(G13:G21)/SQRT(COUNT(G13:G21))</f>
        <v>1.4250410925814878</v>
      </c>
    </row>
    <row r="91" spans="2:37" x14ac:dyDescent="0.2">
      <c r="B91" s="10" t="s">
        <v>102</v>
      </c>
      <c r="C91" s="18">
        <f>COUNT(D22:D32)</f>
        <v>3</v>
      </c>
      <c r="D91" s="11">
        <f>AVERAGE(D22:D32)</f>
        <v>3582.6666666666665</v>
      </c>
      <c r="E91" s="11">
        <f>AVERAGE(E22:E32)</f>
        <v>259</v>
      </c>
      <c r="F91" s="11">
        <f>AVERAGE(F22:F32)</f>
        <v>6.3569534006505117</v>
      </c>
      <c r="G91" s="11">
        <f>AVERAGE(G22:G32)</f>
        <v>93.643046599349489</v>
      </c>
      <c r="H91" s="11">
        <f>STDEV(D22:D32)/SQRT(COUNT(D22:D32))</f>
        <v>415.82461580708605</v>
      </c>
      <c r="I91" s="11">
        <f>STDEV(E22:E32)/SQRT(COUNT(E22:E32))</f>
        <v>123</v>
      </c>
      <c r="J91" s="11">
        <f>STDEV(F22:F32)/SQRT(COUNT(F22:F32))</f>
        <v>2.3884678447707333</v>
      </c>
      <c r="K91" s="11">
        <f>STDEV(G22:G32)/SQRT(COUNT(G22:G32))</f>
        <v>2.3884678447707302</v>
      </c>
    </row>
    <row r="92" spans="2:37" x14ac:dyDescent="0.2">
      <c r="B92" s="10" t="s">
        <v>85</v>
      </c>
      <c r="C92" s="9"/>
      <c r="D92" s="11"/>
      <c r="E92" s="11"/>
      <c r="F92" s="11"/>
      <c r="H92" s="11"/>
      <c r="I92" s="11"/>
      <c r="J92" s="11"/>
    </row>
    <row r="93" spans="2:37" x14ac:dyDescent="0.2">
      <c r="B93" s="10" t="s">
        <v>86</v>
      </c>
      <c r="C93" s="9"/>
      <c r="D93" s="11"/>
      <c r="E93" s="11"/>
      <c r="F93" s="11"/>
      <c r="H93" s="11"/>
      <c r="I93" s="11"/>
      <c r="J93" s="11"/>
    </row>
    <row r="94" spans="2:37" x14ac:dyDescent="0.2">
      <c r="B94" s="10" t="s">
        <v>87</v>
      </c>
      <c r="C94" s="18"/>
      <c r="D94" s="11"/>
      <c r="E94" s="11"/>
      <c r="F94" s="11"/>
      <c r="H94" s="11"/>
      <c r="I94" s="11"/>
      <c r="J94" s="11"/>
    </row>
    <row r="95" spans="2:37" x14ac:dyDescent="0.2">
      <c r="B95" s="10" t="s">
        <v>103</v>
      </c>
      <c r="C95" s="18"/>
      <c r="D95" s="11"/>
      <c r="E95" s="11"/>
      <c r="F95" s="11"/>
      <c r="H95" s="11"/>
      <c r="I95" s="11"/>
      <c r="J95" s="11"/>
    </row>
    <row r="96" spans="2:37" x14ac:dyDescent="0.2">
      <c r="B96" s="10"/>
      <c r="D96" s="11"/>
      <c r="E96" s="11"/>
      <c r="F96" s="11"/>
      <c r="H96" s="11"/>
      <c r="I96" s="11"/>
      <c r="J96" s="11"/>
    </row>
    <row r="97" spans="2:10" x14ac:dyDescent="0.2">
      <c r="B97" s="10" t="s">
        <v>88</v>
      </c>
      <c r="D97" s="11"/>
      <c r="E97" s="11"/>
      <c r="F97" s="11"/>
      <c r="H97" s="11"/>
      <c r="I97" s="11"/>
      <c r="J97" s="11"/>
    </row>
    <row r="98" spans="2:10" x14ac:dyDescent="0.2">
      <c r="B98" s="10" t="s">
        <v>89</v>
      </c>
      <c r="D98" s="11"/>
      <c r="E98" s="11"/>
      <c r="F98" s="11"/>
      <c r="H98" s="11"/>
      <c r="I98" s="11"/>
      <c r="J98" s="11"/>
    </row>
    <row r="99" spans="2:10" x14ac:dyDescent="0.2">
      <c r="B99" s="10" t="s">
        <v>93</v>
      </c>
      <c r="D99" s="11"/>
      <c r="E99" s="11"/>
      <c r="F99" s="11"/>
      <c r="H99" s="11"/>
      <c r="I99" s="11"/>
      <c r="J99" s="11"/>
    </row>
    <row r="102" spans="2:10" x14ac:dyDescent="0.2">
      <c r="C102" t="s">
        <v>99</v>
      </c>
    </row>
  </sheetData>
  <mergeCells count="3">
    <mergeCell ref="D87:F87"/>
    <mergeCell ref="H87:J87"/>
    <mergeCell ref="D2:F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SlowSpi-FOR</vt:lpstr>
      <vt:lpstr>Ripples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2017-04-04T10:44:29Z</dcterms:modified>
</cp:coreProperties>
</file>