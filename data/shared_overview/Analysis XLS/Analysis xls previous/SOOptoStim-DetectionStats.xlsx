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30"/>
  <workbookPr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-860" yWindow="1100" windowWidth="17560" windowHeight="15980" activeTab="1"/>
  </bookViews>
  <sheets>
    <sheet name="SlowSpi-scaleEnv2-3.5" sheetId="26" r:id="rId1"/>
    <sheet name="BrdBdSpi-scaleEnv2-3.5" sheetId="29" r:id="rId2"/>
    <sheet name="Ripples" sheetId="30" r:id="rId3"/>
    <sheet name="SlowWaves" sheetId="31" r:id="rId4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64" i="31" l="1"/>
  <c r="Q55" i="31"/>
  <c r="R55" i="31"/>
  <c r="S55" i="31"/>
  <c r="Q56" i="31"/>
  <c r="R56" i="31"/>
  <c r="S56" i="31"/>
  <c r="Q57" i="31"/>
  <c r="R57" i="31"/>
  <c r="S57" i="31"/>
  <c r="Q59" i="31"/>
  <c r="R59" i="31"/>
  <c r="S59" i="31"/>
  <c r="Q60" i="31"/>
  <c r="R60" i="31"/>
  <c r="S60" i="31"/>
  <c r="Q61" i="31"/>
  <c r="R61" i="31"/>
  <c r="S61" i="31"/>
  <c r="Q64" i="31"/>
  <c r="R64" i="31"/>
  <c r="S64" i="31"/>
  <c r="Q65" i="31"/>
  <c r="R65" i="31"/>
  <c r="S65" i="31"/>
  <c r="Q66" i="31"/>
  <c r="R66" i="31"/>
  <c r="S66" i="31"/>
  <c r="Q68" i="31"/>
  <c r="R68" i="31"/>
  <c r="S68" i="31"/>
  <c r="Q69" i="31"/>
  <c r="R69" i="31"/>
  <c r="S69" i="31"/>
  <c r="Q70" i="31"/>
  <c r="R70" i="31"/>
  <c r="S70" i="31"/>
  <c r="D56" i="31"/>
  <c r="N69" i="31"/>
  <c r="H70" i="31"/>
  <c r="G70" i="31"/>
  <c r="F70" i="31"/>
  <c r="E70" i="31"/>
  <c r="D70" i="31"/>
  <c r="H69" i="31"/>
  <c r="G69" i="31"/>
  <c r="F69" i="31"/>
  <c r="E69" i="31"/>
  <c r="D69" i="31"/>
  <c r="H68" i="31"/>
  <c r="G68" i="31"/>
  <c r="F68" i="31"/>
  <c r="E68" i="31"/>
  <c r="D68" i="31"/>
  <c r="H66" i="31"/>
  <c r="G66" i="31"/>
  <c r="F66" i="31"/>
  <c r="E66" i="31"/>
  <c r="D66" i="31"/>
  <c r="H65" i="31"/>
  <c r="G65" i="31"/>
  <c r="F65" i="31"/>
  <c r="E65" i="31"/>
  <c r="D65" i="31"/>
  <c r="H64" i="31"/>
  <c r="G64" i="31"/>
  <c r="F64" i="31"/>
  <c r="E64" i="31"/>
  <c r="D64" i="31"/>
  <c r="H61" i="31"/>
  <c r="G61" i="31"/>
  <c r="F61" i="31"/>
  <c r="E61" i="31"/>
  <c r="D61" i="31"/>
  <c r="H60" i="31"/>
  <c r="G60" i="31"/>
  <c r="F60" i="31"/>
  <c r="E60" i="31"/>
  <c r="D60" i="31"/>
  <c r="H59" i="31"/>
  <c r="G59" i="31"/>
  <c r="F59" i="31"/>
  <c r="E59" i="31"/>
  <c r="D59" i="31"/>
  <c r="H57" i="31"/>
  <c r="G57" i="31"/>
  <c r="F57" i="31"/>
  <c r="E57" i="31"/>
  <c r="D57" i="31"/>
  <c r="H56" i="31"/>
  <c r="G56" i="31"/>
  <c r="F56" i="31"/>
  <c r="E56" i="31"/>
  <c r="H55" i="31"/>
  <c r="G55" i="31"/>
  <c r="F55" i="31"/>
  <c r="E55" i="31"/>
  <c r="D55" i="31"/>
  <c r="P70" i="31"/>
  <c r="N70" i="31"/>
  <c r="M70" i="31"/>
  <c r="L70" i="31"/>
  <c r="K70" i="31"/>
  <c r="J70" i="31"/>
  <c r="P69" i="31"/>
  <c r="M69" i="31"/>
  <c r="L69" i="31"/>
  <c r="K69" i="31"/>
  <c r="J69" i="31"/>
  <c r="P68" i="31"/>
  <c r="N68" i="31"/>
  <c r="M68" i="31"/>
  <c r="L68" i="31"/>
  <c r="K68" i="31"/>
  <c r="J68" i="31"/>
  <c r="P66" i="31"/>
  <c r="N66" i="31"/>
  <c r="M66" i="31"/>
  <c r="L66" i="31"/>
  <c r="K66" i="31"/>
  <c r="J66" i="31"/>
  <c r="P65" i="31"/>
  <c r="N65" i="31"/>
  <c r="M65" i="31"/>
  <c r="L65" i="31"/>
  <c r="K65" i="31"/>
  <c r="J65" i="31"/>
  <c r="N64" i="31"/>
  <c r="M64" i="31"/>
  <c r="L64" i="31"/>
  <c r="K64" i="31"/>
  <c r="J64" i="31"/>
  <c r="P61" i="31"/>
  <c r="N61" i="31"/>
  <c r="M61" i="31"/>
  <c r="L61" i="31"/>
  <c r="K61" i="31"/>
  <c r="J61" i="31"/>
  <c r="P60" i="31"/>
  <c r="N60" i="31"/>
  <c r="M60" i="31"/>
  <c r="L60" i="31"/>
  <c r="K60" i="31"/>
  <c r="J60" i="31"/>
  <c r="P59" i="31"/>
  <c r="N59" i="31"/>
  <c r="M59" i="31"/>
  <c r="L59" i="31"/>
  <c r="K59" i="31"/>
  <c r="J59" i="31"/>
  <c r="P57" i="31"/>
  <c r="N57" i="31"/>
  <c r="M57" i="31"/>
  <c r="L57" i="31"/>
  <c r="K57" i="31"/>
  <c r="J57" i="31"/>
  <c r="P56" i="31"/>
  <c r="N56" i="31"/>
  <c r="M56" i="31"/>
  <c r="L56" i="31"/>
  <c r="K56" i="31"/>
  <c r="J56" i="31"/>
  <c r="P55" i="31"/>
  <c r="N55" i="31"/>
  <c r="M55" i="31"/>
  <c r="L55" i="31"/>
  <c r="K55" i="31"/>
  <c r="J55" i="31"/>
  <c r="G57" i="26"/>
  <c r="V55" i="29"/>
  <c r="W55" i="29"/>
  <c r="V56" i="29"/>
  <c r="W56" i="29"/>
  <c r="V57" i="29"/>
  <c r="W57" i="29"/>
  <c r="V59" i="29"/>
  <c r="W59" i="29"/>
  <c r="V60" i="29"/>
  <c r="W60" i="29"/>
  <c r="V61" i="29"/>
  <c r="W61" i="29"/>
  <c r="V64" i="29"/>
  <c r="W64" i="29"/>
  <c r="V65" i="29"/>
  <c r="W65" i="29"/>
  <c r="V66" i="29"/>
  <c r="W66" i="29"/>
  <c r="V68" i="29"/>
  <c r="W68" i="29"/>
  <c r="V69" i="29"/>
  <c r="W69" i="29"/>
  <c r="V70" i="29"/>
  <c r="W70" i="29"/>
  <c r="J55" i="29"/>
  <c r="K55" i="29"/>
  <c r="L55" i="29"/>
  <c r="M55" i="29"/>
  <c r="N55" i="29"/>
  <c r="P55" i="29"/>
  <c r="Q55" i="29"/>
  <c r="R55" i="29"/>
  <c r="S55" i="29"/>
  <c r="T55" i="29"/>
  <c r="J56" i="29"/>
  <c r="K56" i="29"/>
  <c r="L56" i="29"/>
  <c r="M56" i="29"/>
  <c r="N56" i="29"/>
  <c r="P56" i="29"/>
  <c r="Q56" i="29"/>
  <c r="R56" i="29"/>
  <c r="S56" i="29"/>
  <c r="T56" i="29"/>
  <c r="J57" i="29"/>
  <c r="K57" i="29"/>
  <c r="L57" i="29"/>
  <c r="M57" i="29"/>
  <c r="N57" i="29"/>
  <c r="P57" i="29"/>
  <c r="Q57" i="29"/>
  <c r="R57" i="29"/>
  <c r="S57" i="29"/>
  <c r="T57" i="29"/>
  <c r="J59" i="29"/>
  <c r="K59" i="29"/>
  <c r="L59" i="29"/>
  <c r="M59" i="29"/>
  <c r="N59" i="29"/>
  <c r="P59" i="29"/>
  <c r="Q59" i="29"/>
  <c r="R59" i="29"/>
  <c r="S59" i="29"/>
  <c r="T59" i="29"/>
  <c r="J60" i="29"/>
  <c r="K60" i="29"/>
  <c r="L60" i="29"/>
  <c r="M60" i="29"/>
  <c r="N60" i="29"/>
  <c r="P60" i="29"/>
  <c r="Q60" i="29"/>
  <c r="R60" i="29"/>
  <c r="S60" i="29"/>
  <c r="T60" i="29"/>
  <c r="J61" i="29"/>
  <c r="K61" i="29"/>
  <c r="L61" i="29"/>
  <c r="M61" i="29"/>
  <c r="N61" i="29"/>
  <c r="P61" i="29"/>
  <c r="Q61" i="29"/>
  <c r="R61" i="29"/>
  <c r="S61" i="29"/>
  <c r="T61" i="29"/>
  <c r="J64" i="29"/>
  <c r="K64" i="29"/>
  <c r="L64" i="29"/>
  <c r="M64" i="29"/>
  <c r="N64" i="29"/>
  <c r="P64" i="29"/>
  <c r="Q64" i="29"/>
  <c r="R64" i="29"/>
  <c r="S64" i="29"/>
  <c r="T64" i="29"/>
  <c r="J65" i="29"/>
  <c r="K65" i="29"/>
  <c r="L65" i="29"/>
  <c r="M65" i="29"/>
  <c r="N65" i="29"/>
  <c r="P65" i="29"/>
  <c r="Q65" i="29"/>
  <c r="R65" i="29"/>
  <c r="S65" i="29"/>
  <c r="T65" i="29"/>
  <c r="J66" i="29"/>
  <c r="K66" i="29"/>
  <c r="L66" i="29"/>
  <c r="M66" i="29"/>
  <c r="N66" i="29"/>
  <c r="P66" i="29"/>
  <c r="Q66" i="29"/>
  <c r="R66" i="29"/>
  <c r="S66" i="29"/>
  <c r="T66" i="29"/>
  <c r="J68" i="29"/>
  <c r="K68" i="29"/>
  <c r="L68" i="29"/>
  <c r="M68" i="29"/>
  <c r="N68" i="29"/>
  <c r="P68" i="29"/>
  <c r="Q68" i="29"/>
  <c r="R68" i="29"/>
  <c r="S68" i="29"/>
  <c r="T68" i="29"/>
  <c r="J69" i="29"/>
  <c r="K69" i="29"/>
  <c r="L69" i="29"/>
  <c r="M69" i="29"/>
  <c r="N69" i="29"/>
  <c r="P69" i="29"/>
  <c r="Q69" i="29"/>
  <c r="R69" i="29"/>
  <c r="S69" i="29"/>
  <c r="T69" i="29"/>
  <c r="J70" i="29"/>
  <c r="K70" i="29"/>
  <c r="L70" i="29"/>
  <c r="M70" i="29"/>
  <c r="N70" i="29"/>
  <c r="P70" i="29"/>
  <c r="Q70" i="29"/>
  <c r="R70" i="29"/>
  <c r="S70" i="29"/>
  <c r="T70" i="29"/>
  <c r="J70" i="30"/>
  <c r="H70" i="30"/>
  <c r="G70" i="30"/>
  <c r="F70" i="30"/>
  <c r="E70" i="30"/>
  <c r="D70" i="30"/>
  <c r="J69" i="30"/>
  <c r="H69" i="30"/>
  <c r="G69" i="30"/>
  <c r="F69" i="30"/>
  <c r="E69" i="30"/>
  <c r="D69" i="30"/>
  <c r="J68" i="30"/>
  <c r="H68" i="30"/>
  <c r="G68" i="30"/>
  <c r="F68" i="30"/>
  <c r="E68" i="30"/>
  <c r="D68" i="30"/>
  <c r="J66" i="30"/>
  <c r="H66" i="30"/>
  <c r="G66" i="30"/>
  <c r="F66" i="30"/>
  <c r="E66" i="30"/>
  <c r="D66" i="30"/>
  <c r="J65" i="30"/>
  <c r="H65" i="30"/>
  <c r="G65" i="30"/>
  <c r="F65" i="30"/>
  <c r="E65" i="30"/>
  <c r="D65" i="30"/>
  <c r="J64" i="30"/>
  <c r="H64" i="30"/>
  <c r="G64" i="30"/>
  <c r="F64" i="30"/>
  <c r="E64" i="30"/>
  <c r="D64" i="30"/>
  <c r="J61" i="30"/>
  <c r="H61" i="30"/>
  <c r="G61" i="30"/>
  <c r="F61" i="30"/>
  <c r="E61" i="30"/>
  <c r="D61" i="30"/>
  <c r="J60" i="30"/>
  <c r="H60" i="30"/>
  <c r="G60" i="30"/>
  <c r="F60" i="30"/>
  <c r="E60" i="30"/>
  <c r="D60" i="30"/>
  <c r="J59" i="30"/>
  <c r="H59" i="30"/>
  <c r="G59" i="30"/>
  <c r="F59" i="30"/>
  <c r="E59" i="30"/>
  <c r="D59" i="30"/>
  <c r="J57" i="30"/>
  <c r="H57" i="30"/>
  <c r="G57" i="30"/>
  <c r="F57" i="30"/>
  <c r="E57" i="30"/>
  <c r="D57" i="30"/>
  <c r="J56" i="30"/>
  <c r="H56" i="30"/>
  <c r="G56" i="30"/>
  <c r="F56" i="30"/>
  <c r="E56" i="30"/>
  <c r="D56" i="30"/>
  <c r="J55" i="30"/>
  <c r="H55" i="30"/>
  <c r="G55" i="30"/>
  <c r="F55" i="30"/>
  <c r="E55" i="30"/>
  <c r="D55" i="30"/>
  <c r="X70" i="29"/>
  <c r="H70" i="29"/>
  <c r="G70" i="29"/>
  <c r="F70" i="29"/>
  <c r="E70" i="29"/>
  <c r="D70" i="29"/>
  <c r="X69" i="29"/>
  <c r="H69" i="29"/>
  <c r="G69" i="29"/>
  <c r="F69" i="29"/>
  <c r="E69" i="29"/>
  <c r="D69" i="29"/>
  <c r="X68" i="29"/>
  <c r="H68" i="29"/>
  <c r="G68" i="29"/>
  <c r="F68" i="29"/>
  <c r="E68" i="29"/>
  <c r="D68" i="29"/>
  <c r="X66" i="29"/>
  <c r="H66" i="29"/>
  <c r="G66" i="29"/>
  <c r="F66" i="29"/>
  <c r="E66" i="29"/>
  <c r="D66" i="29"/>
  <c r="X65" i="29"/>
  <c r="H65" i="29"/>
  <c r="G65" i="29"/>
  <c r="F65" i="29"/>
  <c r="E65" i="29"/>
  <c r="D65" i="29"/>
  <c r="X64" i="29"/>
  <c r="H64" i="29"/>
  <c r="G64" i="29"/>
  <c r="F64" i="29"/>
  <c r="E64" i="29"/>
  <c r="D64" i="29"/>
  <c r="X61" i="29"/>
  <c r="H61" i="29"/>
  <c r="G61" i="29"/>
  <c r="F61" i="29"/>
  <c r="E61" i="29"/>
  <c r="D61" i="29"/>
  <c r="X60" i="29"/>
  <c r="H60" i="29"/>
  <c r="G60" i="29"/>
  <c r="F60" i="29"/>
  <c r="E60" i="29"/>
  <c r="D60" i="29"/>
  <c r="X59" i="29"/>
  <c r="H59" i="29"/>
  <c r="G59" i="29"/>
  <c r="F59" i="29"/>
  <c r="E59" i="29"/>
  <c r="D59" i="29"/>
  <c r="X57" i="29"/>
  <c r="H57" i="29"/>
  <c r="G57" i="29"/>
  <c r="F57" i="29"/>
  <c r="E57" i="29"/>
  <c r="D57" i="29"/>
  <c r="X56" i="29"/>
  <c r="H56" i="29"/>
  <c r="G56" i="29"/>
  <c r="F56" i="29"/>
  <c r="E56" i="29"/>
  <c r="D56" i="29"/>
  <c r="X55" i="29"/>
  <c r="H55" i="29"/>
  <c r="G55" i="29"/>
  <c r="F55" i="29"/>
  <c r="E55" i="29"/>
  <c r="D55" i="29"/>
  <c r="K66" i="26"/>
  <c r="K64" i="26"/>
  <c r="D64" i="26"/>
  <c r="D59" i="26"/>
  <c r="D57" i="26"/>
  <c r="D56" i="26"/>
  <c r="D55" i="26"/>
  <c r="W65" i="26"/>
  <c r="X70" i="26"/>
  <c r="W70" i="26"/>
  <c r="V70" i="26"/>
  <c r="T70" i="26"/>
  <c r="S70" i="26"/>
  <c r="R70" i="26"/>
  <c r="Q70" i="26"/>
  <c r="P70" i="26"/>
  <c r="N70" i="26"/>
  <c r="M70" i="26"/>
  <c r="L70" i="26"/>
  <c r="K70" i="26"/>
  <c r="J70" i="26"/>
  <c r="H70" i="26"/>
  <c r="G70" i="26"/>
  <c r="F70" i="26"/>
  <c r="E70" i="26"/>
  <c r="D70" i="26"/>
  <c r="X69" i="26"/>
  <c r="W69" i="26"/>
  <c r="V69" i="26"/>
  <c r="T69" i="26"/>
  <c r="S69" i="26"/>
  <c r="R69" i="26"/>
  <c r="Q69" i="26"/>
  <c r="P69" i="26"/>
  <c r="N69" i="26"/>
  <c r="M69" i="26"/>
  <c r="L69" i="26"/>
  <c r="K69" i="26"/>
  <c r="J69" i="26"/>
  <c r="H69" i="26"/>
  <c r="G69" i="26"/>
  <c r="F69" i="26"/>
  <c r="E69" i="26"/>
  <c r="D69" i="26"/>
  <c r="X68" i="26"/>
  <c r="W68" i="26"/>
  <c r="V68" i="26"/>
  <c r="T68" i="26"/>
  <c r="S68" i="26"/>
  <c r="R68" i="26"/>
  <c r="Q68" i="26"/>
  <c r="P68" i="26"/>
  <c r="N68" i="26"/>
  <c r="M68" i="26"/>
  <c r="L68" i="26"/>
  <c r="K68" i="26"/>
  <c r="J68" i="26"/>
  <c r="H68" i="26"/>
  <c r="G68" i="26"/>
  <c r="F68" i="26"/>
  <c r="E68" i="26"/>
  <c r="D68" i="26"/>
  <c r="X66" i="26"/>
  <c r="W66" i="26"/>
  <c r="V66" i="26"/>
  <c r="T66" i="26"/>
  <c r="S66" i="26"/>
  <c r="R66" i="26"/>
  <c r="Q66" i="26"/>
  <c r="P66" i="26"/>
  <c r="N66" i="26"/>
  <c r="M66" i="26"/>
  <c r="L66" i="26"/>
  <c r="J66" i="26"/>
  <c r="H66" i="26"/>
  <c r="G66" i="26"/>
  <c r="F66" i="26"/>
  <c r="E66" i="26"/>
  <c r="D66" i="26"/>
  <c r="X65" i="26"/>
  <c r="V65" i="26"/>
  <c r="T65" i="26"/>
  <c r="S65" i="26"/>
  <c r="R65" i="26"/>
  <c r="Q65" i="26"/>
  <c r="P65" i="26"/>
  <c r="N65" i="26"/>
  <c r="M65" i="26"/>
  <c r="L65" i="26"/>
  <c r="K65" i="26"/>
  <c r="J65" i="26"/>
  <c r="H65" i="26"/>
  <c r="G65" i="26"/>
  <c r="F65" i="26"/>
  <c r="E65" i="26"/>
  <c r="D65" i="26"/>
  <c r="X64" i="26"/>
  <c r="W64" i="26"/>
  <c r="V64" i="26"/>
  <c r="T64" i="26"/>
  <c r="S64" i="26"/>
  <c r="R64" i="26"/>
  <c r="Q64" i="26"/>
  <c r="P64" i="26"/>
  <c r="N64" i="26"/>
  <c r="M64" i="26"/>
  <c r="L64" i="26"/>
  <c r="J64" i="26"/>
  <c r="H64" i="26"/>
  <c r="G64" i="26"/>
  <c r="F64" i="26"/>
  <c r="E64" i="26"/>
  <c r="X61" i="26"/>
  <c r="W61" i="26"/>
  <c r="V61" i="26"/>
  <c r="T61" i="26"/>
  <c r="S61" i="26"/>
  <c r="R61" i="26"/>
  <c r="Q61" i="26"/>
  <c r="P61" i="26"/>
  <c r="N61" i="26"/>
  <c r="M61" i="26"/>
  <c r="L61" i="26"/>
  <c r="K61" i="26"/>
  <c r="J61" i="26"/>
  <c r="H61" i="26"/>
  <c r="G61" i="26"/>
  <c r="F61" i="26"/>
  <c r="E61" i="26"/>
  <c r="D61" i="26"/>
  <c r="X60" i="26"/>
  <c r="W60" i="26"/>
  <c r="V60" i="26"/>
  <c r="T60" i="26"/>
  <c r="S60" i="26"/>
  <c r="R60" i="26"/>
  <c r="Q60" i="26"/>
  <c r="P60" i="26"/>
  <c r="N60" i="26"/>
  <c r="M60" i="26"/>
  <c r="L60" i="26"/>
  <c r="K60" i="26"/>
  <c r="J60" i="26"/>
  <c r="H60" i="26"/>
  <c r="G60" i="26"/>
  <c r="F60" i="26"/>
  <c r="E60" i="26"/>
  <c r="D60" i="26"/>
  <c r="X59" i="26"/>
  <c r="W59" i="26"/>
  <c r="V59" i="26"/>
  <c r="T59" i="26"/>
  <c r="S59" i="26"/>
  <c r="R59" i="26"/>
  <c r="Q59" i="26"/>
  <c r="P59" i="26"/>
  <c r="N59" i="26"/>
  <c r="M59" i="26"/>
  <c r="L59" i="26"/>
  <c r="K59" i="26"/>
  <c r="J59" i="26"/>
  <c r="H59" i="26"/>
  <c r="G59" i="26"/>
  <c r="F59" i="26"/>
  <c r="E59" i="26"/>
  <c r="X57" i="26"/>
  <c r="W57" i="26"/>
  <c r="V57" i="26"/>
  <c r="T57" i="26"/>
  <c r="S57" i="26"/>
  <c r="R57" i="26"/>
  <c r="Q57" i="26"/>
  <c r="P57" i="26"/>
  <c r="N57" i="26"/>
  <c r="M57" i="26"/>
  <c r="L57" i="26"/>
  <c r="K57" i="26"/>
  <c r="J57" i="26"/>
  <c r="H57" i="26"/>
  <c r="F57" i="26"/>
  <c r="E57" i="26"/>
  <c r="X56" i="26"/>
  <c r="W56" i="26"/>
  <c r="V56" i="26"/>
  <c r="T56" i="26"/>
  <c r="S56" i="26"/>
  <c r="R56" i="26"/>
  <c r="Q56" i="26"/>
  <c r="P56" i="26"/>
  <c r="N56" i="26"/>
  <c r="M56" i="26"/>
  <c r="L56" i="26"/>
  <c r="K56" i="26"/>
  <c r="J56" i="26"/>
  <c r="H56" i="26"/>
  <c r="G56" i="26"/>
  <c r="F56" i="26"/>
  <c r="E56" i="26"/>
  <c r="X55" i="26"/>
  <c r="W55" i="26"/>
  <c r="V55" i="26"/>
  <c r="T55" i="26"/>
  <c r="S55" i="26"/>
  <c r="R55" i="26"/>
  <c r="Q55" i="26"/>
  <c r="P55" i="26"/>
  <c r="N55" i="26"/>
  <c r="M55" i="26"/>
  <c r="L55" i="26"/>
  <c r="K55" i="26"/>
  <c r="J55" i="26"/>
  <c r="H55" i="26"/>
  <c r="G55" i="26"/>
  <c r="F55" i="26"/>
  <c r="E55" i="26"/>
</calcChain>
</file>

<file path=xl/sharedStrings.xml><?xml version="1.0" encoding="utf-8"?>
<sst xmlns="http://schemas.openxmlformats.org/spreadsheetml/2006/main" count="382" uniqueCount="88">
  <si>
    <t>Count</t>
  </si>
  <si>
    <t>Length</t>
  </si>
  <si>
    <t>Power</t>
  </si>
  <si>
    <t>Frequency</t>
  </si>
  <si>
    <t>PFC</t>
  </si>
  <si>
    <t>PAR</t>
  </si>
  <si>
    <t>CA1</t>
  </si>
  <si>
    <t>Detection parameters</t>
  </si>
  <si>
    <t>Threshold</t>
  </si>
  <si>
    <t>Maximal duration</t>
  </si>
  <si>
    <t>Minimal duration</t>
  </si>
  <si>
    <t xml:space="preserve">Merging of gaps </t>
  </si>
  <si>
    <t>IN-FC-OS46</t>
  </si>
  <si>
    <t>IN-FC-OS47</t>
  </si>
  <si>
    <t>IN-FC-OS49</t>
  </si>
  <si>
    <t>IN-FC-OS59</t>
  </si>
  <si>
    <t>IN-FC-OS62</t>
  </si>
  <si>
    <t>IN-FC-OS65</t>
  </si>
  <si>
    <t>IN-FC-OS83</t>
  </si>
  <si>
    <t>IN-FC-OS86</t>
  </si>
  <si>
    <t>IN-FC-OS88</t>
  </si>
  <si>
    <t>OUT-FC-OS45</t>
  </si>
  <si>
    <t>OUT-FC-OS50</t>
  </si>
  <si>
    <t>OUT-FC-OS54</t>
  </si>
  <si>
    <t>OUT-FC-OS57</t>
  </si>
  <si>
    <t>OUT-FC-OS58</t>
  </si>
  <si>
    <t>OUT-FC-OS61</t>
  </si>
  <si>
    <t>OUT-FC-OS64</t>
  </si>
  <si>
    <t>OUT-FC-OS84</t>
  </si>
  <si>
    <t>OUT-FC-OS89</t>
  </si>
  <si>
    <t>NOSTIM-FC-OS41</t>
  </si>
  <si>
    <t>NOSTIM-FC-OS44</t>
  </si>
  <si>
    <t>NOSTIM-FC-OS51</t>
  </si>
  <si>
    <t>NOSTIM-FC-OS52</t>
  </si>
  <si>
    <t>NOSTIM-FC-OS56</t>
  </si>
  <si>
    <t>NOSTIM-FC-OS60</t>
  </si>
  <si>
    <t>NOSTIM-FC-OS63</t>
  </si>
  <si>
    <t>NOSTIM-FC-OS66</t>
  </si>
  <si>
    <t>NOSTIM-FC-OS81</t>
  </si>
  <si>
    <t>NOSTIM-FC-OS85</t>
  </si>
  <si>
    <t>NOSTIM-FC-OS87</t>
  </si>
  <si>
    <t>IN-OIcreARC1</t>
  </si>
  <si>
    <t>IN-OIcreARC2</t>
  </si>
  <si>
    <t>IN-OIcreARC3</t>
  </si>
  <si>
    <t>IN-OIcreARC4</t>
  </si>
  <si>
    <t>IN-OIcreARC5</t>
  </si>
  <si>
    <t>IN-OIcreARC6</t>
  </si>
  <si>
    <t>IN-OIcreARC7</t>
  </si>
  <si>
    <t>IN-OIcreARC16</t>
  </si>
  <si>
    <t>OUT-OIcreARC15</t>
  </si>
  <si>
    <t>OUT-OIcreARC16</t>
  </si>
  <si>
    <t>OUT-OIcreARC17</t>
  </si>
  <si>
    <t>OUT-OIcreARC18</t>
  </si>
  <si>
    <t>OUT-OIcreARC19</t>
  </si>
  <si>
    <t>NOSTIM-OIcreNO1</t>
  </si>
  <si>
    <t>NOSTIM-OIcreNO2</t>
  </si>
  <si>
    <t>NOSTIM-OIcreNO4</t>
  </si>
  <si>
    <t>NOSTIM-OIcreNO5</t>
  </si>
  <si>
    <t>NOSTIM-OIcreNO6</t>
  </si>
  <si>
    <t>NOSTIM-OIcreNO7ARC11</t>
  </si>
  <si>
    <t>NOSTIM-OIcreNO8ARC12</t>
  </si>
  <si>
    <t>NOSTIM-OIcreNOARC4</t>
  </si>
  <si>
    <t>Detection thresholds</t>
  </si>
  <si>
    <t>Mouse</t>
  </si>
  <si>
    <t>3 s</t>
  </si>
  <si>
    <t>100 ms</t>
  </si>
  <si>
    <t>IN-FC</t>
  </si>
  <si>
    <t>OUT-FC</t>
  </si>
  <si>
    <t>NOStim-FC</t>
  </si>
  <si>
    <t>IN-ARC</t>
  </si>
  <si>
    <t>OUT-ARC</t>
  </si>
  <si>
    <t>NoStim-Cre</t>
  </si>
  <si>
    <t>Length (s)</t>
  </si>
  <si>
    <t>Density (per min)</t>
  </si>
  <si>
    <t>Power (mV*s)</t>
  </si>
  <si>
    <t>Mean</t>
  </si>
  <si>
    <t>SEM</t>
  </si>
  <si>
    <t>Density per min</t>
  </si>
  <si>
    <t>Thresholds</t>
  </si>
  <si>
    <t>500 ms</t>
  </si>
  <si>
    <t>2 &amp; 5 * SD of envelope</t>
  </si>
  <si>
    <t>40 ms</t>
  </si>
  <si>
    <t>2 &amp; 3.5 * SD of envelope</t>
  </si>
  <si>
    <t>FOR</t>
  </si>
  <si>
    <t>Pk2Pk Threshold</t>
  </si>
  <si>
    <t>Neg Peak threshold</t>
  </si>
  <si>
    <t>Neg. peak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</si>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</sst>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Border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1" fillId="0" borderId="0" xfId="0" applyFont="1" applyFill="1"/>
    <xf numFmtId="0" fontId="0" fillId="0" borderId="0" xfId="0" applyFill="1"/>
    <xf numFmtId="165" fontId="0" fillId="0" borderId="0" xfId="0" applyNumberFormat="1" applyFill="1"/>
    <xf numFmtId="165" fontId="1" fillId="0" borderId="0" xfId="0" applyNumberFormat="1" applyFont="1"/>
    <xf numFmtId="165" fontId="0" fillId="7" borderId="0" xfId="0" applyNumberFormat="1" applyFill="1"/>
    <xf numFmtId="165" fontId="0" fillId="8" borderId="0" xfId="0" applyNumberFormat="1" applyFill="1"/>
    <xf numFmtId="165" fontId="0" fillId="0" borderId="0" xfId="0" applyNumberFormat="1"/>
    <xf numFmtId="0" fontId="0" fillId="7" borderId="0" xfId="0" applyFill="1"/>
    <xf numFmtId="164" fontId="0" fillId="7" borderId="0" xfId="0" applyNumberFormat="1" applyFill="1"/>
    <xf numFmtId="2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2" fontId="0" fillId="8" borderId="0" xfId="0" applyNumberFormat="1" applyFill="1"/>
    <xf numFmtId="165" fontId="0" fillId="9" borderId="0" xfId="0" applyNumberFormat="1" applyFill="1"/>
    <xf numFmtId="0" fontId="0" fillId="9" borderId="0" xfId="0" applyFill="1"/>
    <xf numFmtId="164" fontId="0" fillId="9" borderId="0" xfId="0" applyNumberFormat="1" applyFill="1"/>
    <xf numFmtId="2" fontId="0" fillId="9" borderId="0" xfId="0" applyNumberFormat="1" applyFill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('SlowSpi-scaleEnv2-3.5'!$D$59,'SlowSpi-scaleEnv2-3.5'!$J$59,'SlowSpi-scaleEnv2-3.5'!$P$59)</c:f>
                <c:numCache>
                  <c:formatCode>General</c:formatCode>
                  <c:ptCount val="3"/>
                  <c:pt idx="0">
                    <c:v>114.1967654295335</c:v>
                  </c:pt>
                  <c:pt idx="1">
                    <c:v>161.9837478511385</c:v>
                  </c:pt>
                  <c:pt idx="2">
                    <c:v>161.5592273086605</c:v>
                  </c:pt>
                </c:numCache>
              </c:numRef>
            </c:plus>
            <c:minus>
              <c:numRef>
                <c:f>('SlowSpi-scaleEnv2-3.5'!$D$59,'SlowSpi-scaleEnv2-3.5'!$J$59,'SlowSpi-scaleEnv2-3.5'!$P$59)</c:f>
                <c:numCache>
                  <c:formatCode>General</c:formatCode>
                  <c:ptCount val="3"/>
                  <c:pt idx="0">
                    <c:v>114.1967654295335</c:v>
                  </c:pt>
                  <c:pt idx="1">
                    <c:v>161.9837478511385</c:v>
                  </c:pt>
                  <c:pt idx="2">
                    <c:v>161.5592273086605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('SlowSpi-scaleEnv2-3.5'!$D$55,'SlowSpi-scaleEnv2-3.5'!$J$55,'SlowSpi-scaleEnv2-3.5'!$P$55)</c:f>
              <c:numCache>
                <c:formatCode>0\.0</c:formatCode>
                <c:ptCount val="3"/>
                <c:pt idx="0">
                  <c:v>909.888888888889</c:v>
                </c:pt>
                <c:pt idx="1">
                  <c:v>1355.888888888889</c:v>
                </c:pt>
                <c:pt idx="2">
                  <c:v>1189.75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26-43B9-BFD7-E7D0DE33093B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('SlowSpi-scaleEnv2-3.5'!$D$60,'SlowSpi-scaleEnv2-3.5'!$J$60,'SlowSpi-scaleEnv2-3.5'!$P$60)</c:f>
                <c:numCache>
                  <c:formatCode>General</c:formatCode>
                  <c:ptCount val="3"/>
                  <c:pt idx="0">
                    <c:v>79.9593646798172</c:v>
                  </c:pt>
                  <c:pt idx="1">
                    <c:v>111.7810083473955</c:v>
                  </c:pt>
                  <c:pt idx="2">
                    <c:v>98.29564325107627</c:v>
                  </c:pt>
                </c:numCache>
              </c:numRef>
            </c:plus>
            <c:minus>
              <c:numRef>
                <c:f>('SlowSpi-scaleEnv2-3.5'!$D$60,'SlowSpi-scaleEnv2-3.5'!$J$60,'SlowSpi-scaleEnv2-3.5'!$P$60)</c:f>
                <c:numCache>
                  <c:formatCode>General</c:formatCode>
                  <c:ptCount val="3"/>
                  <c:pt idx="0">
                    <c:v>79.9593646798172</c:v>
                  </c:pt>
                  <c:pt idx="1">
                    <c:v>111.7810083473955</c:v>
                  </c:pt>
                  <c:pt idx="2">
                    <c:v>98.29564325107627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('SlowSpi-scaleEnv2-3.5'!$D$56,'SlowSpi-scaleEnv2-3.5'!$J$56,'SlowSpi-scaleEnv2-3.5'!$P$56)</c:f>
              <c:numCache>
                <c:formatCode>0\.0</c:formatCode>
                <c:ptCount val="3"/>
                <c:pt idx="0">
                  <c:v>1214.666666666667</c:v>
                </c:pt>
                <c:pt idx="1">
                  <c:v>1785.777777777778</c:v>
                </c:pt>
                <c:pt idx="2">
                  <c:v>1672.375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26-43B9-BFD7-E7D0DE33093B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('SlowSpi-scaleEnv2-3.5'!$D$61,'SlowSpi-scaleEnv2-3.5'!$J$61,'SlowSpi-scaleEnv2-3.5'!$P$61)</c:f>
                <c:numCache>
                  <c:formatCode>General</c:formatCode>
                  <c:ptCount val="3"/>
                  <c:pt idx="0">
                    <c:v>57.67436372778597</c:v>
                  </c:pt>
                  <c:pt idx="1">
                    <c:v>88.21789327690206</c:v>
                  </c:pt>
                  <c:pt idx="2">
                    <c:v>77.01498972262044</c:v>
                  </c:pt>
                </c:numCache>
              </c:numRef>
            </c:plus>
            <c:minus>
              <c:numRef>
                <c:f>('SlowSpi-scaleEnv2-3.5'!$D$61,'SlowSpi-scaleEnv2-3.5'!$J$61,'SlowSpi-scaleEnv2-3.5'!$P$61)</c:f>
                <c:numCache>
                  <c:formatCode>General</c:formatCode>
                  <c:ptCount val="3"/>
                  <c:pt idx="0">
                    <c:v>57.67436372778597</c:v>
                  </c:pt>
                  <c:pt idx="1">
                    <c:v>88.21789327690206</c:v>
                  </c:pt>
                  <c:pt idx="2">
                    <c:v>77.01498972262044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('SlowSpi-scaleEnv2-3.5'!$D$57,'SlowSpi-scaleEnv2-3.5'!$J$57,'SlowSpi-scaleEnv2-3.5'!$P$57)</c:f>
              <c:numCache>
                <c:formatCode>0\.0</c:formatCode>
                <c:ptCount val="3"/>
                <c:pt idx="0">
                  <c:v>1073.363636363636</c:v>
                </c:pt>
                <c:pt idx="1">
                  <c:v>1606.181818181818</c:v>
                </c:pt>
                <c:pt idx="2">
                  <c:v>1449.555555555556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726-43B9-BFD7-E7D0DE33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90573280"/>
        <c:axId val="-2087612480"/>
      </c:barChart>
      <c:catAx>
        <c:axId val="-209057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87612480"/>
        <c:crosses val="autoZero"/>
        <c:auto val="1"/>
        <c:lblAlgn val="ctr"/>
        <c:lblOffset val="100"/>
        <c:noMultiLvlLbl val="0"/>
      </c:catAx>
      <c:valAx>
        <c:axId val="-20876124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9057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('SlowSpi-scaleEnv2-3.5'!$D$68,'SlowSpi-scaleEnv2-3.5'!$J$68,'SlowSpi-scaleEnv2-3.5'!$P$68)</c:f>
                <c:numCache>
                  <c:formatCode>General</c:formatCode>
                  <c:ptCount val="3"/>
                  <c:pt idx="0">
                    <c:v>60.76416281117396</c:v>
                  </c:pt>
                  <c:pt idx="1">
                    <c:v>97.83220648130142</c:v>
                  </c:pt>
                  <c:pt idx="2">
                    <c:v>167.6663286645746</c:v>
                  </c:pt>
                </c:numCache>
              </c:numRef>
            </c:plus>
            <c:minus>
              <c:numRef>
                <c:f>('SlowSpi-scaleEnv2-3.5'!$D$68,'SlowSpi-scaleEnv2-3.5'!$J$68,'SlowSpi-scaleEnv2-3.5'!$P$68)</c:f>
                <c:numCache>
                  <c:formatCode>General</c:formatCode>
                  <c:ptCount val="3"/>
                  <c:pt idx="0">
                    <c:v>60.76416281117396</c:v>
                  </c:pt>
                  <c:pt idx="1">
                    <c:v>97.83220648130142</c:v>
                  </c:pt>
                  <c:pt idx="2">
                    <c:v>167.6663286645746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('SlowSpi-scaleEnv2-3.5'!$D$64,'SlowSpi-scaleEnv2-3.5'!$J$64,'SlowSpi-scaleEnv2-3.5'!$P$64)</c:f>
              <c:numCache>
                <c:formatCode>0\.0</c:formatCode>
                <c:ptCount val="3"/>
                <c:pt idx="0">
                  <c:v>1031.375</c:v>
                </c:pt>
                <c:pt idx="1">
                  <c:v>1545.625</c:v>
                </c:pt>
                <c:pt idx="2">
                  <c:v>1527.625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AE-4F70-89B1-1C554FB0E56D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('SlowSpi-scaleEnv2-3.5'!$D$69,'SlowSpi-scaleEnv2-3.5'!$J$69,'SlowSpi-scaleEnv2-3.5'!$P$69)</c:f>
                <c:numCache>
                  <c:formatCode>General</c:formatCode>
                  <c:ptCount val="3"/>
                  <c:pt idx="0">
                    <c:v>69.69820657664005</c:v>
                  </c:pt>
                  <c:pt idx="1">
                    <c:v>158.3055905519448</c:v>
                  </c:pt>
                  <c:pt idx="2">
                    <c:v>184.9014872844456</c:v>
                  </c:pt>
                </c:numCache>
              </c:numRef>
            </c:plus>
            <c:minus>
              <c:numRef>
                <c:f>('SlowSpi-scaleEnv2-3.5'!$D$69,'SlowSpi-scaleEnv2-3.5'!$J$69,'SlowSpi-scaleEnv2-3.5'!$P$69)</c:f>
                <c:numCache>
                  <c:formatCode>General</c:formatCode>
                  <c:ptCount val="3"/>
                  <c:pt idx="0">
                    <c:v>69.69820657664005</c:v>
                  </c:pt>
                  <c:pt idx="1">
                    <c:v>158.3055905519448</c:v>
                  </c:pt>
                  <c:pt idx="2">
                    <c:v>184.9014872844456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('SlowSpi-scaleEnv2-3.5'!$D$65,'SlowSpi-scaleEnv2-3.5'!$J$65,'SlowSpi-scaleEnv2-3.5'!$P$65)</c:f>
              <c:numCache>
                <c:formatCode>0\.0</c:formatCode>
                <c:ptCount val="3"/>
                <c:pt idx="0">
                  <c:v>847.2</c:v>
                </c:pt>
                <c:pt idx="1">
                  <c:v>1265.6</c:v>
                </c:pt>
                <c:pt idx="2">
                  <c:v>1149.6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AE-4F70-89B1-1C554FB0E56D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('SlowSpi-scaleEnv2-3.5'!$D$70,'SlowSpi-scaleEnv2-3.5'!$J$70,'SlowSpi-scaleEnv2-3.5'!$P$70)</c:f>
                <c:numCache>
                  <c:formatCode>General</c:formatCode>
                  <c:ptCount val="3"/>
                  <c:pt idx="0">
                    <c:v>20.65528080177076</c:v>
                  </c:pt>
                  <c:pt idx="1">
                    <c:v>41.3980837634511</c:v>
                  </c:pt>
                  <c:pt idx="2">
                    <c:v>77.91318428683482</c:v>
                  </c:pt>
                </c:numCache>
              </c:numRef>
            </c:plus>
            <c:minus>
              <c:numRef>
                <c:f>('SlowSpi-scaleEnv2-3.5'!$D$70,'SlowSpi-scaleEnv2-3.5'!$J$70,'SlowSpi-scaleEnv2-3.5'!$P$70)</c:f>
                <c:numCache>
                  <c:formatCode>General</c:formatCode>
                  <c:ptCount val="3"/>
                  <c:pt idx="0">
                    <c:v>20.65528080177076</c:v>
                  </c:pt>
                  <c:pt idx="1">
                    <c:v>41.3980837634511</c:v>
                  </c:pt>
                  <c:pt idx="2">
                    <c:v>77.91318428683482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('SlowSpi-scaleEnv2-3.5'!$D$66,'SlowSpi-scaleEnv2-3.5'!$J$66,'SlowSpi-scaleEnv2-3.5'!$P$66)</c:f>
              <c:numCache>
                <c:formatCode>0\.0</c:formatCode>
                <c:ptCount val="3"/>
                <c:pt idx="0">
                  <c:v>1136.375</c:v>
                </c:pt>
                <c:pt idx="1">
                  <c:v>1628.875</c:v>
                </c:pt>
                <c:pt idx="2">
                  <c:v>1574.0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AE-4F70-89B1-1C554FB0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99110512"/>
        <c:axId val="-2098970656"/>
      </c:barChart>
      <c:catAx>
        <c:axId val="-2099110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98970656"/>
        <c:crosses val="autoZero"/>
        <c:auto val="1"/>
        <c:lblAlgn val="ctr"/>
        <c:lblOffset val="100"/>
        <c:noMultiLvlLbl val="0"/>
      </c:catAx>
      <c:valAx>
        <c:axId val="-2098970656"/>
        <c:scaling>
          <c:orientation val="minMax"/>
          <c:max val="2500.0"/>
        </c:scaling>
        <c:delete val="0"/>
        <c:axPos val="l"/>
        <c:numFmt formatCode="0" sourceLinked="0"/>
        <c:majorTickMark val="out"/>
        <c:minorTickMark val="none"/>
        <c:tickLblPos val="nextTo"/>
        <c:crossAx val="-209911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('SlowSpi-scaleEnv2-3.5'!$E$59,'SlowSpi-scaleEnv2-3.5'!$K$59,'SlowSpi-scaleEnv2-3.5'!$Q$59)</c:f>
                <c:numCache>
                  <c:formatCode>General</c:formatCode>
                  <c:ptCount val="3"/>
                  <c:pt idx="0">
                    <c:v>0.00241799284158303</c:v>
                  </c:pt>
                  <c:pt idx="1">
                    <c:v>0.00296370342419355</c:v>
                  </c:pt>
                  <c:pt idx="2">
                    <c:v>0.00334839827177405</c:v>
                  </c:pt>
                </c:numCache>
              </c:numRef>
            </c:plus>
            <c:minus>
              <c:numRef>
                <c:f>('SlowSpi-scaleEnv2-3.5'!$E$59,'SlowSpi-scaleEnv2-3.5'!$K$59,'SlowSpi-scaleEnv2-3.5'!$Q$59)</c:f>
                <c:numCache>
                  <c:formatCode>General</c:formatCode>
                  <c:ptCount val="3"/>
                  <c:pt idx="0">
                    <c:v>0.00241799284158303</c:v>
                  </c:pt>
                  <c:pt idx="1">
                    <c:v>0.00296370342419355</c:v>
                  </c:pt>
                  <c:pt idx="2">
                    <c:v>0.00334839827177405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('SlowSpi-scaleEnv2-3.5'!$E$55,'SlowSpi-scaleEnv2-3.5'!$K$55,'SlowSpi-scaleEnv2-3.5'!$Q$55)</c:f>
              <c:numCache>
                <c:formatCode>0\.000</c:formatCode>
                <c:ptCount val="3"/>
                <c:pt idx="0">
                  <c:v>0.66327630212171</c:v>
                </c:pt>
                <c:pt idx="1">
                  <c:v>0.652029315013181</c:v>
                </c:pt>
                <c:pt idx="2">
                  <c:v>0.638399434112005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C7-4DBC-800D-2267FC6612E6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('SlowSpi-scaleEnv2-3.5'!$E$60,'SlowSpi-scaleEnv2-3.5'!$K$60,'SlowSpi-scaleEnv2-3.5'!$Q$60)</c:f>
                <c:numCache>
                  <c:formatCode>General</c:formatCode>
                  <c:ptCount val="3"/>
                  <c:pt idx="0">
                    <c:v>0.0037160816035712</c:v>
                  </c:pt>
                  <c:pt idx="1">
                    <c:v>0.00302907941613641</c:v>
                  </c:pt>
                  <c:pt idx="2">
                    <c:v>0.00360702587731004</c:v>
                  </c:pt>
                </c:numCache>
              </c:numRef>
            </c:plus>
            <c:minus>
              <c:numRef>
                <c:f>('SlowSpi-scaleEnv2-3.5'!$E$60,'SlowSpi-scaleEnv2-3.5'!$K$60,'SlowSpi-scaleEnv2-3.5'!$Q$60)</c:f>
                <c:numCache>
                  <c:formatCode>General</c:formatCode>
                  <c:ptCount val="3"/>
                  <c:pt idx="0">
                    <c:v>0.0037160816035712</c:v>
                  </c:pt>
                  <c:pt idx="1">
                    <c:v>0.00302907941613641</c:v>
                  </c:pt>
                  <c:pt idx="2">
                    <c:v>0.00360702587731004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('SlowSpi-scaleEnv2-3.5'!$E$56,'SlowSpi-scaleEnv2-3.5'!$K$56,'SlowSpi-scaleEnv2-3.5'!$Q$56)</c:f>
              <c:numCache>
                <c:formatCode>0\.000</c:formatCode>
                <c:ptCount val="3"/>
                <c:pt idx="0">
                  <c:v>0.654036527124328</c:v>
                </c:pt>
                <c:pt idx="1">
                  <c:v>0.651660408380851</c:v>
                </c:pt>
                <c:pt idx="2">
                  <c:v>0.641682771636743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C7-4DBC-800D-2267FC6612E6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('SlowSpi-scaleEnv2-3.5'!$E$61,'SlowSpi-scaleEnv2-3.5'!$K$61,'SlowSpi-scaleEnv2-3.5'!$Q$61)</c:f>
                <c:numCache>
                  <c:formatCode>General</c:formatCode>
                  <c:ptCount val="3"/>
                  <c:pt idx="0">
                    <c:v>0.00393581987223756</c:v>
                  </c:pt>
                  <c:pt idx="1">
                    <c:v>0.00568977703081481</c:v>
                  </c:pt>
                  <c:pt idx="2">
                    <c:v>0.00549068376486459</c:v>
                  </c:pt>
                </c:numCache>
              </c:numRef>
            </c:plus>
            <c:minus>
              <c:numRef>
                <c:f>('SlowSpi-scaleEnv2-3.5'!$E$61,'SlowSpi-scaleEnv2-3.5'!$K$61,'SlowSpi-scaleEnv2-3.5'!$Q$61)</c:f>
                <c:numCache>
                  <c:formatCode>General</c:formatCode>
                  <c:ptCount val="3"/>
                  <c:pt idx="0">
                    <c:v>0.00393581987223756</c:v>
                  </c:pt>
                  <c:pt idx="1">
                    <c:v>0.00568977703081481</c:v>
                  </c:pt>
                  <c:pt idx="2">
                    <c:v>0.00549068376486459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('SlowSpi-scaleEnv2-3.5'!$E$57,'SlowSpi-scaleEnv2-3.5'!$K$57,'SlowSpi-scaleEnv2-3.5'!$Q$57)</c:f>
              <c:numCache>
                <c:formatCode>0\.000</c:formatCode>
                <c:ptCount val="3"/>
                <c:pt idx="0">
                  <c:v>0.648794707951963</c:v>
                </c:pt>
                <c:pt idx="1">
                  <c:v>0.656471193936996</c:v>
                </c:pt>
                <c:pt idx="2">
                  <c:v>0.629711302282487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2C7-4DBC-800D-2267FC66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993136"/>
        <c:axId val="-2055991040"/>
      </c:barChart>
      <c:catAx>
        <c:axId val="-2055993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991040"/>
        <c:crosses val="autoZero"/>
        <c:auto val="1"/>
        <c:lblAlgn val="ctr"/>
        <c:lblOffset val="100"/>
        <c:noMultiLvlLbl val="0"/>
      </c:catAx>
      <c:valAx>
        <c:axId val="-205599104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-205599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('SlowSpi-scaleEnv2-3.5'!$E$68,'SlowSpi-scaleEnv2-3.5'!$K$68,'SlowSpi-scaleEnv2-3.5'!$Q$68)</c:f>
                <c:numCache>
                  <c:formatCode>General</c:formatCode>
                  <c:ptCount val="3"/>
                  <c:pt idx="0">
                    <c:v>0.00498207939832462</c:v>
                  </c:pt>
                  <c:pt idx="1">
                    <c:v>0.00236687228140588</c:v>
                  </c:pt>
                  <c:pt idx="2">
                    <c:v>0.00819636417808975</c:v>
                  </c:pt>
                </c:numCache>
              </c:numRef>
            </c:plus>
            <c:minus>
              <c:numRef>
                <c:f>('SlowSpi-scaleEnv2-3.5'!$E$68,'SlowSpi-scaleEnv2-3.5'!$K$68,'SlowSpi-scaleEnv2-3.5'!$Q$68)</c:f>
                <c:numCache>
                  <c:formatCode>General</c:formatCode>
                  <c:ptCount val="3"/>
                  <c:pt idx="0">
                    <c:v>0.00498207939832462</c:v>
                  </c:pt>
                  <c:pt idx="1">
                    <c:v>0.00236687228140588</c:v>
                  </c:pt>
                  <c:pt idx="2">
                    <c:v>0.00819636417808975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('SlowSpi-scaleEnv2-3.5'!$E$64,'SlowSpi-scaleEnv2-3.5'!$K$64,'SlowSpi-scaleEnv2-3.5'!$Q$64)</c:f>
              <c:numCache>
                <c:formatCode>0\.000</c:formatCode>
                <c:ptCount val="3"/>
                <c:pt idx="0">
                  <c:v>0.638844284540378</c:v>
                </c:pt>
                <c:pt idx="1">
                  <c:v>0.631433599239773</c:v>
                </c:pt>
                <c:pt idx="2">
                  <c:v>0.624270336786499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563-4360-A922-C112AE849834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('SlowSpi-scaleEnv2-3.5'!$E$69,'SlowSpi-scaleEnv2-3.5'!$K$69,'SlowSpi-scaleEnv2-3.5'!$Q$69)</c:f>
                <c:numCache>
                  <c:formatCode>General</c:formatCode>
                  <c:ptCount val="3"/>
                  <c:pt idx="0">
                    <c:v>0.00753304430572514</c:v>
                  </c:pt>
                  <c:pt idx="1">
                    <c:v>0.00213115816308402</c:v>
                  </c:pt>
                  <c:pt idx="2">
                    <c:v>0.00924000962317269</c:v>
                  </c:pt>
                </c:numCache>
              </c:numRef>
            </c:plus>
            <c:minus>
              <c:numRef>
                <c:f>('SlowSpi-scaleEnv2-3.5'!$E$69,'SlowSpi-scaleEnv2-3.5'!$K$69,'SlowSpi-scaleEnv2-3.5'!$Q$69)</c:f>
                <c:numCache>
                  <c:formatCode>General</c:formatCode>
                  <c:ptCount val="3"/>
                  <c:pt idx="0">
                    <c:v>0.00753304430572514</c:v>
                  </c:pt>
                  <c:pt idx="1">
                    <c:v>0.00213115816308402</c:v>
                  </c:pt>
                  <c:pt idx="2">
                    <c:v>0.00924000962317269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('SlowSpi-scaleEnv2-3.5'!$E$65,'SlowSpi-scaleEnv2-3.5'!$K$65,'SlowSpi-scaleEnv2-3.5'!$Q$65)</c:f>
              <c:numCache>
                <c:formatCode>0\.000</c:formatCode>
                <c:ptCount val="3"/>
                <c:pt idx="0">
                  <c:v>0.624627218644572</c:v>
                </c:pt>
                <c:pt idx="1">
                  <c:v>0.631844640995418</c:v>
                </c:pt>
                <c:pt idx="2">
                  <c:v>0.609505898717018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563-4360-A922-C112AE849834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('SlowSpi-scaleEnv2-3.5'!$E$70,'SlowSpi-scaleEnv2-3.5'!$K$70,'SlowSpi-scaleEnv2-3.5'!$Q$70)</c:f>
                <c:numCache>
                  <c:formatCode>General</c:formatCode>
                  <c:ptCount val="3"/>
                  <c:pt idx="0">
                    <c:v>0.00603659454044873</c:v>
                  </c:pt>
                  <c:pt idx="1">
                    <c:v>0.00338039154289832</c:v>
                  </c:pt>
                  <c:pt idx="2">
                    <c:v>0.00769778310278538</c:v>
                  </c:pt>
                </c:numCache>
              </c:numRef>
            </c:plus>
            <c:minus>
              <c:numRef>
                <c:f>('SlowSpi-scaleEnv2-3.5'!$E$70,'SlowSpi-scaleEnv2-3.5'!$K$70,'SlowSpi-scaleEnv2-3.5'!$Q$70)</c:f>
                <c:numCache>
                  <c:formatCode>General</c:formatCode>
                  <c:ptCount val="3"/>
                  <c:pt idx="0">
                    <c:v>0.00603659454044873</c:v>
                  </c:pt>
                  <c:pt idx="1">
                    <c:v>0.00338039154289832</c:v>
                  </c:pt>
                  <c:pt idx="2">
                    <c:v>0.00769778310278538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('SlowSpi-scaleEnv2-3.5'!$E$66,'SlowSpi-scaleEnv2-3.5'!$K$66,'SlowSpi-scaleEnv2-3.5'!$Q$66)</c:f>
              <c:numCache>
                <c:formatCode>0\.000</c:formatCode>
                <c:ptCount val="3"/>
                <c:pt idx="0">
                  <c:v>0.630361756098734</c:v>
                </c:pt>
                <c:pt idx="1">
                  <c:v>0.632258243234648</c:v>
                </c:pt>
                <c:pt idx="2">
                  <c:v>0.620987242648819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563-4360-A922-C112AE849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412512"/>
        <c:axId val="-2057835904"/>
      </c:barChart>
      <c:catAx>
        <c:axId val="-2055412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7835904"/>
        <c:crosses val="autoZero"/>
        <c:auto val="1"/>
        <c:lblAlgn val="ctr"/>
        <c:lblOffset val="100"/>
        <c:noMultiLvlLbl val="0"/>
      </c:catAx>
      <c:valAx>
        <c:axId val="-2057835904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-20554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('SlowSpi-scaleEnv2-3.5'!$F$59,'SlowSpi-scaleEnv2-3.5'!$L$59,'SlowSpi-scaleEnv2-3.5'!$R$59)</c:f>
                <c:numCache>
                  <c:formatCode>General</c:formatCode>
                  <c:ptCount val="3"/>
                  <c:pt idx="0">
                    <c:v>0.244737479117191</c:v>
                  </c:pt>
                  <c:pt idx="1">
                    <c:v>0.260232291198574</c:v>
                  </c:pt>
                  <c:pt idx="2">
                    <c:v>0.314617386274276</c:v>
                  </c:pt>
                </c:numCache>
              </c:numRef>
            </c:plus>
            <c:minus>
              <c:numRef>
                <c:f>('SlowSpi-scaleEnv2-3.5'!$F$59,'SlowSpi-scaleEnv2-3.5'!$L$59,'SlowSpi-scaleEnv2-3.5'!$R$59)</c:f>
                <c:numCache>
                  <c:formatCode>General</c:formatCode>
                  <c:ptCount val="3"/>
                  <c:pt idx="0">
                    <c:v>0.244737479117191</c:v>
                  </c:pt>
                  <c:pt idx="1">
                    <c:v>0.260232291198574</c:v>
                  </c:pt>
                  <c:pt idx="2">
                    <c:v>0.314617386274276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('SlowSpi-scaleEnv2-3.5'!$F$55,'SlowSpi-scaleEnv2-3.5'!$L$55,'SlowSpi-scaleEnv2-3.5'!$R$55)</c:f>
              <c:numCache>
                <c:formatCode>0.00</c:formatCode>
                <c:ptCount val="3"/>
                <c:pt idx="0">
                  <c:v>7.510656130557923</c:v>
                </c:pt>
                <c:pt idx="1">
                  <c:v>11.24326549330128</c:v>
                </c:pt>
                <c:pt idx="2">
                  <c:v>10.16702149527733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9B-4BFC-8406-BD47C31CA8F6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('SlowSpi-scaleEnv2-3.5'!$F$60,'SlowSpi-scaleEnv2-3.5'!$L$60,'SlowSpi-scaleEnv2-3.5'!$R$60)</c:f>
                <c:numCache>
                  <c:formatCode>General</c:formatCode>
                  <c:ptCount val="3"/>
                  <c:pt idx="0">
                    <c:v>0.210911183676461</c:v>
                  </c:pt>
                  <c:pt idx="1">
                    <c:v>0.249838071825862</c:v>
                  </c:pt>
                  <c:pt idx="2">
                    <c:v>0.110626235096851</c:v>
                  </c:pt>
                </c:numCache>
              </c:numRef>
            </c:plus>
            <c:minus>
              <c:numRef>
                <c:f>('SlowSpi-scaleEnv2-3.5'!$F$60,'SlowSpi-scaleEnv2-3.5'!$L$60,'SlowSpi-scaleEnv2-3.5'!$R$60)</c:f>
                <c:numCache>
                  <c:formatCode>General</c:formatCode>
                  <c:ptCount val="3"/>
                  <c:pt idx="0">
                    <c:v>0.210911183676461</c:v>
                  </c:pt>
                  <c:pt idx="1">
                    <c:v>0.249838071825862</c:v>
                  </c:pt>
                  <c:pt idx="2">
                    <c:v>0.110626235096851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('SlowSpi-scaleEnv2-3.5'!$F$56,'SlowSpi-scaleEnv2-3.5'!$L$56,'SlowSpi-scaleEnv2-3.5'!$R$56)</c:f>
              <c:numCache>
                <c:formatCode>0.00</c:formatCode>
                <c:ptCount val="3"/>
                <c:pt idx="0">
                  <c:v>7.784630696130069</c:v>
                </c:pt>
                <c:pt idx="1">
                  <c:v>11.45091014257836</c:v>
                </c:pt>
                <c:pt idx="2">
                  <c:v>10.68937934541475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69B-4BFC-8406-BD47C31CA8F6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('SlowSpi-scaleEnv2-3.5'!$F$61,'SlowSpi-scaleEnv2-3.5'!$L$61,'SlowSpi-scaleEnv2-3.5'!$R$61)</c:f>
                <c:numCache>
                  <c:formatCode>General</c:formatCode>
                  <c:ptCount val="3"/>
                  <c:pt idx="0">
                    <c:v>0.248705451636872</c:v>
                  </c:pt>
                  <c:pt idx="1">
                    <c:v>0.334674066604233</c:v>
                  </c:pt>
                  <c:pt idx="2">
                    <c:v>0.40065711440979</c:v>
                  </c:pt>
                </c:numCache>
              </c:numRef>
            </c:plus>
            <c:minus>
              <c:numRef>
                <c:f>('SlowSpi-scaleEnv2-3.5'!$F$61,'SlowSpi-scaleEnv2-3.5'!$L$61,'SlowSpi-scaleEnv2-3.5'!$R$61)</c:f>
                <c:numCache>
                  <c:formatCode>General</c:formatCode>
                  <c:ptCount val="3"/>
                  <c:pt idx="0">
                    <c:v>0.248705451636872</c:v>
                  </c:pt>
                  <c:pt idx="1">
                    <c:v>0.334674066604233</c:v>
                  </c:pt>
                  <c:pt idx="2">
                    <c:v>0.40065711440979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('SlowSpi-scaleEnv2-3.5'!$F$57,'SlowSpi-scaleEnv2-3.5'!$L$57,'SlowSpi-scaleEnv2-3.5'!$R$57)</c:f>
              <c:numCache>
                <c:formatCode>0.00</c:formatCode>
                <c:ptCount val="3"/>
                <c:pt idx="0">
                  <c:v>7.202884870687407</c:v>
                </c:pt>
                <c:pt idx="1">
                  <c:v>10.75536864062415</c:v>
                </c:pt>
                <c:pt idx="2">
                  <c:v>9.562069187829964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69B-4BFC-8406-BD47C31C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3595568"/>
        <c:axId val="-2061558000"/>
      </c:barChart>
      <c:catAx>
        <c:axId val="-2073595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1558000"/>
        <c:crosses val="autoZero"/>
        <c:auto val="1"/>
        <c:lblAlgn val="ctr"/>
        <c:lblOffset val="100"/>
        <c:noMultiLvlLbl val="0"/>
      </c:catAx>
      <c:valAx>
        <c:axId val="-20615580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7359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spPr>
            <a:solidFill>
              <a:schemeClr val="accent1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('SlowSpi-scaleEnv2-3.5'!$F$68,'SlowSpi-scaleEnv2-3.5'!$L$68,'SlowSpi-scaleEnv2-3.5'!$R$68)</c:f>
                <c:numCache>
                  <c:formatCode>General</c:formatCode>
                  <c:ptCount val="3"/>
                  <c:pt idx="0">
                    <c:v>0.122009077635128</c:v>
                  </c:pt>
                  <c:pt idx="1">
                    <c:v>0.159843852115297</c:v>
                  </c:pt>
                  <c:pt idx="2">
                    <c:v>0.550285776755246</c:v>
                  </c:pt>
                </c:numCache>
              </c:numRef>
            </c:plus>
            <c:minus>
              <c:numRef>
                <c:f>('SlowSpi-scaleEnv2-3.5'!$F$68,'SlowSpi-scaleEnv2-3.5'!$L$68,'SlowSpi-scaleEnv2-3.5'!$R$68)</c:f>
                <c:numCache>
                  <c:formatCode>General</c:formatCode>
                  <c:ptCount val="3"/>
                  <c:pt idx="0">
                    <c:v>0.122009077635128</c:v>
                  </c:pt>
                  <c:pt idx="1">
                    <c:v>0.159843852115297</c:v>
                  </c:pt>
                  <c:pt idx="2">
                    <c:v>0.550285776755246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('SlowSpi-scaleEnv2-3.5'!$F$64,'SlowSpi-scaleEnv2-3.5'!$L$64,'SlowSpi-scaleEnv2-3.5'!$R$64)</c:f>
              <c:numCache>
                <c:formatCode>0.00</c:formatCode>
                <c:ptCount val="3"/>
                <c:pt idx="0">
                  <c:v>6.879352660817572</c:v>
                </c:pt>
                <c:pt idx="1">
                  <c:v>10.28562577475127</c:v>
                </c:pt>
                <c:pt idx="2">
                  <c:v>9.994452958931065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9E8-4979-B15E-AFC639550E58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('SlowSpi-scaleEnv2-3.5'!$F$69,'SlowSpi-scaleEnv2-3.5'!$L$69,'SlowSpi-scaleEnv2-3.5'!$R$69)</c:f>
                <c:numCache>
                  <c:formatCode>General</c:formatCode>
                  <c:ptCount val="3"/>
                  <c:pt idx="0">
                    <c:v>0.305450887314568</c:v>
                  </c:pt>
                  <c:pt idx="1">
                    <c:v>0.234652439050266</c:v>
                  </c:pt>
                  <c:pt idx="2">
                    <c:v>1.047092937884705</c:v>
                  </c:pt>
                </c:numCache>
              </c:numRef>
            </c:plus>
            <c:minus>
              <c:numRef>
                <c:f>('SlowSpi-scaleEnv2-3.5'!$F$69,'SlowSpi-scaleEnv2-3.5'!$L$69,'SlowSpi-scaleEnv2-3.5'!$R$69)</c:f>
                <c:numCache>
                  <c:formatCode>General</c:formatCode>
                  <c:ptCount val="3"/>
                  <c:pt idx="0">
                    <c:v>0.305450887314568</c:v>
                  </c:pt>
                  <c:pt idx="1">
                    <c:v>0.234652439050266</c:v>
                  </c:pt>
                  <c:pt idx="2">
                    <c:v>1.047092937884705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('SlowSpi-scaleEnv2-3.5'!$F$65,'SlowSpi-scaleEnv2-3.5'!$L$65,'SlowSpi-scaleEnv2-3.5'!$R$65)</c:f>
              <c:numCache>
                <c:formatCode>0.00</c:formatCode>
                <c:ptCount val="3"/>
                <c:pt idx="0">
                  <c:v>7.225491342445312</c:v>
                </c:pt>
                <c:pt idx="1">
                  <c:v>10.54840535342425</c:v>
                </c:pt>
                <c:pt idx="2">
                  <c:v>9.48562241350776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9E8-4979-B15E-AFC639550E58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('SlowSpi-scaleEnv2-3.5'!$F$70,'SlowSpi-scaleEnv2-3.5'!$L$70,'SlowSpi-scaleEnv2-3.5'!$R$70)</c:f>
                <c:numCache>
                  <c:formatCode>General</c:formatCode>
                  <c:ptCount val="3"/>
                  <c:pt idx="0">
                    <c:v>0.226891636292713</c:v>
                  </c:pt>
                  <c:pt idx="1">
                    <c:v>0.172443180533741</c:v>
                  </c:pt>
                  <c:pt idx="2">
                    <c:v>0.569490504197759</c:v>
                  </c:pt>
                </c:numCache>
              </c:numRef>
            </c:plus>
            <c:minus>
              <c:numRef>
                <c:f>('SlowSpi-scaleEnv2-3.5'!$F$70,'SlowSpi-scaleEnv2-3.5'!$L$70,'SlowSpi-scaleEnv2-3.5'!$R$70)</c:f>
                <c:numCache>
                  <c:formatCode>General</c:formatCode>
                  <c:ptCount val="3"/>
                  <c:pt idx="0">
                    <c:v>0.226891636292713</c:v>
                  </c:pt>
                  <c:pt idx="1">
                    <c:v>0.172443180533741</c:v>
                  </c:pt>
                  <c:pt idx="2">
                    <c:v>0.569490504197759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('SlowSpi-scaleEnv2-3.5'!$F$66,'SlowSpi-scaleEnv2-3.5'!$L$66,'SlowSpi-scaleEnv2-3.5'!$R$66)</c:f>
              <c:numCache>
                <c:formatCode>0.00</c:formatCode>
                <c:ptCount val="3"/>
                <c:pt idx="0">
                  <c:v>7.031176900677692</c:v>
                </c:pt>
                <c:pt idx="1">
                  <c:v>10.03876411358406</c:v>
                </c:pt>
                <c:pt idx="2">
                  <c:v>9.739746365444803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9E8-4979-B15E-AFC639550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966640"/>
        <c:axId val="-2055963776"/>
      </c:barChart>
      <c:catAx>
        <c:axId val="-2055966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963776"/>
        <c:crosses val="autoZero"/>
        <c:auto val="1"/>
        <c:lblAlgn val="ctr"/>
        <c:lblOffset val="100"/>
        <c:noMultiLvlLbl val="0"/>
      </c:catAx>
      <c:valAx>
        <c:axId val="-205596377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96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('SlowSpi-scaleEnv2-3.5'!$G$59,'SlowSpi-scaleEnv2-3.5'!$M$59,'SlowSpi-scaleEnv2-3.5'!$S$59)</c:f>
                <c:numCache>
                  <c:formatCode>General</c:formatCode>
                  <c:ptCount val="3"/>
                  <c:pt idx="0">
                    <c:v>0.00989969488813874</c:v>
                  </c:pt>
                  <c:pt idx="1">
                    <c:v>0.0113605941161273</c:v>
                  </c:pt>
                  <c:pt idx="2">
                    <c:v>0.0138437818816113</c:v>
                  </c:pt>
                </c:numCache>
              </c:numRef>
            </c:plus>
            <c:minus>
              <c:numRef>
                <c:f>('SlowSpi-scaleEnv2-3.5'!$G$59,'SlowSpi-scaleEnv2-3.5'!$M$59,'SlowSpi-scaleEnv2-3.5'!$S$59)</c:f>
                <c:numCache>
                  <c:formatCode>General</c:formatCode>
                  <c:ptCount val="3"/>
                  <c:pt idx="0">
                    <c:v>0.00989969488813874</c:v>
                  </c:pt>
                  <c:pt idx="1">
                    <c:v>0.0113605941161273</c:v>
                  </c:pt>
                  <c:pt idx="2">
                    <c:v>0.0138437818816113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('SlowSpi-scaleEnv2-3.5'!$G$55,'SlowSpi-scaleEnv2-3.5'!$M$55,'SlowSpi-scaleEnv2-3.5'!$S$55)</c:f>
              <c:numCache>
                <c:formatCode>0.00</c:formatCode>
                <c:ptCount val="3"/>
                <c:pt idx="0">
                  <c:v>8.39437541190194</c:v>
                </c:pt>
                <c:pt idx="1">
                  <c:v>8.429328217517417</c:v>
                </c:pt>
                <c:pt idx="2">
                  <c:v>8.638753947018451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A3-4483-B35A-5D580E659CEA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('SlowSpi-scaleEnv2-3.5'!$G$60,'SlowSpi-scaleEnv2-3.5'!$M$60,'SlowSpi-scaleEnv2-3.5'!$S$60)</c:f>
                <c:numCache>
                  <c:formatCode>General</c:formatCode>
                  <c:ptCount val="3"/>
                  <c:pt idx="0">
                    <c:v>0.0094147409087707</c:v>
                  </c:pt>
                  <c:pt idx="1">
                    <c:v>0.0159882007496918</c:v>
                  </c:pt>
                  <c:pt idx="2">
                    <c:v>0.0093333482572594</c:v>
                  </c:pt>
                </c:numCache>
              </c:numRef>
            </c:plus>
            <c:minus>
              <c:numRef>
                <c:f>('SlowSpi-scaleEnv2-3.5'!$G$60,'SlowSpi-scaleEnv2-3.5'!$M$60,'SlowSpi-scaleEnv2-3.5'!$S$60)</c:f>
                <c:numCache>
                  <c:formatCode>General</c:formatCode>
                  <c:ptCount val="3"/>
                  <c:pt idx="0">
                    <c:v>0.0094147409087707</c:v>
                  </c:pt>
                  <c:pt idx="1">
                    <c:v>0.0159882007496918</c:v>
                  </c:pt>
                  <c:pt idx="2">
                    <c:v>0.0093333482572594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('SlowSpi-scaleEnv2-3.5'!$G$56,'SlowSpi-scaleEnv2-3.5'!$M$56,'SlowSpi-scaleEnv2-3.5'!$S$56)</c:f>
              <c:numCache>
                <c:formatCode>0.00</c:formatCode>
                <c:ptCount val="3"/>
                <c:pt idx="0">
                  <c:v>8.38400907564551</c:v>
                </c:pt>
                <c:pt idx="1">
                  <c:v>8.412788026889138</c:v>
                </c:pt>
                <c:pt idx="2">
                  <c:v>8.60776262185356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A3-4483-B35A-5D580E659CEA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('SlowSpi-scaleEnv2-3.5'!$G$61,'SlowSpi-scaleEnv2-3.5'!$M$61,'SlowSpi-scaleEnv2-3.5'!$S$61)</c:f>
                <c:numCache>
                  <c:formatCode>General</c:formatCode>
                  <c:ptCount val="3"/>
                  <c:pt idx="0">
                    <c:v>0.0227107185013483</c:v>
                  </c:pt>
                  <c:pt idx="1">
                    <c:v>0.0209519069029666</c:v>
                  </c:pt>
                  <c:pt idx="2">
                    <c:v>0.0113587569400972</c:v>
                  </c:pt>
                </c:numCache>
              </c:numRef>
            </c:plus>
            <c:minus>
              <c:numRef>
                <c:f>('SlowSpi-scaleEnv2-3.5'!$G$61,'SlowSpi-scaleEnv2-3.5'!$M$61,'SlowSpi-scaleEnv2-3.5'!$S$61)</c:f>
                <c:numCache>
                  <c:formatCode>General</c:formatCode>
                  <c:ptCount val="3"/>
                  <c:pt idx="0">
                    <c:v>0.0227107185013483</c:v>
                  </c:pt>
                  <c:pt idx="1">
                    <c:v>0.0209519069029666</c:v>
                  </c:pt>
                  <c:pt idx="2">
                    <c:v>0.0113587569400972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('SlowSpi-scaleEnv2-3.5'!$G$57,'SlowSpi-scaleEnv2-3.5'!$M$57,'SlowSpi-scaleEnv2-3.5'!$S$57)</c:f>
              <c:numCache>
                <c:formatCode>0.00</c:formatCode>
                <c:ptCount val="3"/>
                <c:pt idx="0">
                  <c:v>8.42369464875609</c:v>
                </c:pt>
                <c:pt idx="1">
                  <c:v>8.394202547599792</c:v>
                </c:pt>
                <c:pt idx="2">
                  <c:v>8.612012966944161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5A3-4483-B35A-5D580E65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623472"/>
        <c:axId val="-2061623824"/>
      </c:barChart>
      <c:catAx>
        <c:axId val="-2055623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1623824"/>
        <c:crosses val="autoZero"/>
        <c:auto val="1"/>
        <c:lblAlgn val="ctr"/>
        <c:lblOffset val="100"/>
        <c:noMultiLvlLbl val="0"/>
      </c:catAx>
      <c:valAx>
        <c:axId val="-20616238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crossAx val="-205562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('SlowSpi-scaleEnv2-3.5'!$G$68,'SlowSpi-scaleEnv2-3.5'!$M$68,'SlowSpi-scaleEnv2-3.5'!$S$68)</c:f>
                <c:numCache>
                  <c:formatCode>General</c:formatCode>
                  <c:ptCount val="3"/>
                  <c:pt idx="0">
                    <c:v>0.0213834206720922</c:v>
                  </c:pt>
                  <c:pt idx="1">
                    <c:v>0.0096693735528381</c:v>
                  </c:pt>
                  <c:pt idx="2">
                    <c:v>0.0207290103056179</c:v>
                  </c:pt>
                </c:numCache>
              </c:numRef>
            </c:plus>
            <c:minus>
              <c:numRef>
                <c:f>('SlowSpi-scaleEnv2-3.5'!$G$68,'SlowSpi-scaleEnv2-3.5'!$M$68,'SlowSpi-scaleEnv2-3.5'!$S$68)</c:f>
                <c:numCache>
                  <c:formatCode>General</c:formatCode>
                  <c:ptCount val="3"/>
                  <c:pt idx="0">
                    <c:v>0.0213834206720922</c:v>
                  </c:pt>
                  <c:pt idx="1">
                    <c:v>0.0096693735528381</c:v>
                  </c:pt>
                  <c:pt idx="2">
                    <c:v>0.0207290103056179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('SlowSpi-scaleEnv2-3.5'!$G$64,'SlowSpi-scaleEnv2-3.5'!$M$64,'SlowSpi-scaleEnv2-3.5'!$S$64)</c:f>
              <c:numCache>
                <c:formatCode>0.00</c:formatCode>
                <c:ptCount val="3"/>
                <c:pt idx="0">
                  <c:v>8.374978886416502</c:v>
                </c:pt>
                <c:pt idx="1">
                  <c:v>8.359389059153457</c:v>
                </c:pt>
                <c:pt idx="2">
                  <c:v>8.63431021496325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2F-48C3-BC51-67745FB54D87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('SlowSpi-scaleEnv2-3.5'!$G$69,'SlowSpi-scaleEnv2-3.5'!$M$69,'SlowSpi-scaleEnv2-3.5'!$S$69)</c:f>
                <c:numCache>
                  <c:formatCode>General</c:formatCode>
                  <c:ptCount val="3"/>
                  <c:pt idx="0">
                    <c:v>0.027474894988078</c:v>
                  </c:pt>
                  <c:pt idx="1">
                    <c:v>0.0276243777855336</c:v>
                  </c:pt>
                  <c:pt idx="2">
                    <c:v>0.0283919938620814</c:v>
                  </c:pt>
                </c:numCache>
              </c:numRef>
            </c:plus>
            <c:minus>
              <c:numRef>
                <c:f>('SlowSpi-scaleEnv2-3.5'!$G$69,'SlowSpi-scaleEnv2-3.5'!$M$69,'SlowSpi-scaleEnv2-3.5'!$S$69)</c:f>
                <c:numCache>
                  <c:formatCode>General</c:formatCode>
                  <c:ptCount val="3"/>
                  <c:pt idx="0">
                    <c:v>0.027474894988078</c:v>
                  </c:pt>
                  <c:pt idx="1">
                    <c:v>0.0276243777855336</c:v>
                  </c:pt>
                  <c:pt idx="2">
                    <c:v>0.0283919938620814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('SlowSpi-scaleEnv2-3.5'!$G$65,'SlowSpi-scaleEnv2-3.5'!$M$65,'SlowSpi-scaleEnv2-3.5'!$S$65)</c:f>
              <c:numCache>
                <c:formatCode>0.00</c:formatCode>
                <c:ptCount val="3"/>
                <c:pt idx="0">
                  <c:v>8.32595385967425</c:v>
                </c:pt>
                <c:pt idx="1">
                  <c:v>8.323601047371724</c:v>
                </c:pt>
                <c:pt idx="2">
                  <c:v>8.636248594550665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A2F-48C3-BC51-67745FB54D87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('SlowSpi-scaleEnv2-3.5'!$G$70,'SlowSpi-scaleEnv2-3.5'!$M$70,'SlowSpi-scaleEnv2-3.5'!$S$70)</c:f>
                <c:numCache>
                  <c:formatCode>General</c:formatCode>
                  <c:ptCount val="3"/>
                  <c:pt idx="0">
                    <c:v>0.0232795106669527</c:v>
                  </c:pt>
                  <c:pt idx="1">
                    <c:v>0.0182137249792341</c:v>
                  </c:pt>
                  <c:pt idx="2">
                    <c:v>0.0118394780801941</c:v>
                  </c:pt>
                </c:numCache>
              </c:numRef>
            </c:plus>
            <c:minus>
              <c:numRef>
                <c:f>('SlowSpi-scaleEnv2-3.5'!$G$70,'SlowSpi-scaleEnv2-3.5'!$M$70,'SlowSpi-scaleEnv2-3.5'!$S$70)</c:f>
                <c:numCache>
                  <c:formatCode>General</c:formatCode>
                  <c:ptCount val="3"/>
                  <c:pt idx="0">
                    <c:v>0.0232795106669527</c:v>
                  </c:pt>
                  <c:pt idx="1">
                    <c:v>0.0182137249792341</c:v>
                  </c:pt>
                  <c:pt idx="2">
                    <c:v>0.0118394780801941</c:v>
                  </c:pt>
                </c:numCache>
              </c:numRef>
            </c:minus>
          </c:errBars>
          <c:val>
            <c:numRef>
              <c:f>('SlowSpi-scaleEnv2-3.5'!$G$66,'SlowSpi-scaleEnv2-3.5'!$M$66,'SlowSpi-scaleEnv2-3.5'!$S$66)</c:f>
              <c:numCache>
                <c:formatCode>0.00</c:formatCode>
                <c:ptCount val="3"/>
                <c:pt idx="0">
                  <c:v>8.318780940373278</c:v>
                </c:pt>
                <c:pt idx="1">
                  <c:v>8.369294311891376</c:v>
                </c:pt>
                <c:pt idx="2">
                  <c:v>8.614088431495316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A2F-48C3-BC51-67745FB54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342000"/>
        <c:axId val="-2057733808"/>
      </c:barChart>
      <c:catAx>
        <c:axId val="-2055342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7733808"/>
        <c:crosses val="autoZero"/>
        <c:auto val="1"/>
        <c:lblAlgn val="ctr"/>
        <c:lblOffset val="100"/>
        <c:noMultiLvlLbl val="0"/>
      </c:catAx>
      <c:valAx>
        <c:axId val="-205773380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crossAx val="-205534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('SlowSpi-scaleEnv2-3.5'!$H$59,'SlowSpi-scaleEnv2-3.5'!$N$59,'SlowSpi-scaleEnv2-3.5'!$T$59)</c:f>
                <c:numCache>
                  <c:formatCode>General</c:formatCode>
                  <c:ptCount val="3"/>
                  <c:pt idx="0">
                    <c:v>48.13665723933425</c:v>
                  </c:pt>
                  <c:pt idx="1">
                    <c:v>47.67091948174227</c:v>
                  </c:pt>
                  <c:pt idx="2">
                    <c:v>44.58176513771397</c:v>
                  </c:pt>
                </c:numCache>
              </c:numRef>
            </c:plus>
            <c:minus>
              <c:numRef>
                <c:f>('SlowSpi-scaleEnv2-3.5'!$H$59,'SlowSpi-scaleEnv2-3.5'!$N$59,'SlowSpi-scaleEnv2-3.5'!$T$59)</c:f>
                <c:numCache>
                  <c:formatCode>General</c:formatCode>
                  <c:ptCount val="3"/>
                  <c:pt idx="0">
                    <c:v>48.13665723933425</c:v>
                  </c:pt>
                  <c:pt idx="1">
                    <c:v>47.67091948174227</c:v>
                  </c:pt>
                  <c:pt idx="2">
                    <c:v>44.58176513771397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('SlowSpi-scaleEnv2-3.5'!$H$55,'SlowSpi-scaleEnv2-3.5'!$N$55,'SlowSpi-scaleEnv2-3.5'!$T$55)</c:f>
              <c:numCache>
                <c:formatCode>0\.0</c:formatCode>
                <c:ptCount val="3"/>
                <c:pt idx="0">
                  <c:v>919.8996032807465</c:v>
                </c:pt>
                <c:pt idx="1">
                  <c:v>688.7904525538802</c:v>
                </c:pt>
                <c:pt idx="2">
                  <c:v>247.8541879910654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BD-4EB7-A664-CDD31BE4DBE8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('SlowSpi-scaleEnv2-3.5'!$H$60,'SlowSpi-scaleEnv2-3.5'!$N$60,'SlowSpi-scaleEnv2-3.5'!$T$60)</c:f>
                <c:numCache>
                  <c:formatCode>General</c:formatCode>
                  <c:ptCount val="3"/>
                  <c:pt idx="0">
                    <c:v>63.14850610981938</c:v>
                  </c:pt>
                  <c:pt idx="1">
                    <c:v>58.64033318301723</c:v>
                  </c:pt>
                  <c:pt idx="2">
                    <c:v>13.82209129172087</c:v>
                  </c:pt>
                </c:numCache>
              </c:numRef>
            </c:plus>
            <c:minus>
              <c:numRef>
                <c:f>('SlowSpi-scaleEnv2-3.5'!$H$60,'SlowSpi-scaleEnv2-3.5'!$N$60,'SlowSpi-scaleEnv2-3.5'!$T$60)</c:f>
                <c:numCache>
                  <c:formatCode>General</c:formatCode>
                  <c:ptCount val="3"/>
                  <c:pt idx="0">
                    <c:v>63.14850610981938</c:v>
                  </c:pt>
                  <c:pt idx="1">
                    <c:v>58.64033318301723</c:v>
                  </c:pt>
                  <c:pt idx="2">
                    <c:v>13.82209129172087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('SlowSpi-scaleEnv2-3.5'!$H$56,'SlowSpi-scaleEnv2-3.5'!$N$56,'SlowSpi-scaleEnv2-3.5'!$T$56)</c:f>
              <c:numCache>
                <c:formatCode>0\.0</c:formatCode>
                <c:ptCount val="3"/>
                <c:pt idx="0">
                  <c:v>759.0235293729299</c:v>
                </c:pt>
                <c:pt idx="1">
                  <c:v>529.7178206125068</c:v>
                </c:pt>
                <c:pt idx="2">
                  <c:v>158.2349219382119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3BD-4EB7-A664-CDD31BE4DBE8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('SlowSpi-scaleEnv2-3.5'!$H$61,'SlowSpi-scaleEnv2-3.5'!$N$61,'SlowSpi-scaleEnv2-3.5'!$T$61)</c:f>
                <c:numCache>
                  <c:formatCode>General</c:formatCode>
                  <c:ptCount val="3"/>
                  <c:pt idx="0">
                    <c:v>40.58377678345147</c:v>
                  </c:pt>
                  <c:pt idx="1">
                    <c:v>44.76436843421422</c:v>
                  </c:pt>
                  <c:pt idx="2">
                    <c:v>27.66800505955669</c:v>
                  </c:pt>
                </c:numCache>
              </c:numRef>
            </c:plus>
            <c:minus>
              <c:numRef>
                <c:f>('SlowSpi-scaleEnv2-3.5'!$H$61,'SlowSpi-scaleEnv2-3.5'!$N$61,'SlowSpi-scaleEnv2-3.5'!$T$61)</c:f>
                <c:numCache>
                  <c:formatCode>General</c:formatCode>
                  <c:ptCount val="3"/>
                  <c:pt idx="0">
                    <c:v>40.58377678345147</c:v>
                  </c:pt>
                  <c:pt idx="1">
                    <c:v>44.76436843421422</c:v>
                  </c:pt>
                  <c:pt idx="2">
                    <c:v>27.66800505955669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('SlowSpi-scaleEnv2-3.5'!$H$57,'SlowSpi-scaleEnv2-3.5'!$N$57,'SlowSpi-scaleEnv2-3.5'!$T$57)</c:f>
              <c:numCache>
                <c:formatCode>0\.0</c:formatCode>
                <c:ptCount val="3"/>
                <c:pt idx="0">
                  <c:v>862.2195156969603</c:v>
                </c:pt>
                <c:pt idx="1">
                  <c:v>543.6193367413638</c:v>
                </c:pt>
                <c:pt idx="2">
                  <c:v>184.1564296215955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3BD-4EB7-A664-CDD31BE4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643280"/>
        <c:axId val="-2058347360"/>
      </c:barChart>
      <c:catAx>
        <c:axId val="-205564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8347360"/>
        <c:crosses val="autoZero"/>
        <c:auto val="1"/>
        <c:lblAlgn val="ctr"/>
        <c:lblOffset val="100"/>
        <c:noMultiLvlLbl val="0"/>
      </c:catAx>
      <c:valAx>
        <c:axId val="-205834736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64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('SlowSpi-scaleEnv2-3.5'!$H$68,'SlowSpi-scaleEnv2-3.5'!$N$68,'SlowSpi-scaleEnv2-3.5'!$T$68)</c:f>
                <c:numCache>
                  <c:formatCode>General</c:formatCode>
                  <c:ptCount val="3"/>
                  <c:pt idx="0">
                    <c:v>80.47474689853833</c:v>
                  </c:pt>
                  <c:pt idx="1">
                    <c:v>24.04059338168732</c:v>
                  </c:pt>
                  <c:pt idx="2">
                    <c:v>37.05203279351492</c:v>
                  </c:pt>
                </c:numCache>
              </c:numRef>
            </c:plus>
            <c:minus>
              <c:numRef>
                <c:f>('SlowSpi-scaleEnv2-3.5'!$H$68,'SlowSpi-scaleEnv2-3.5'!$N$68,'SlowSpi-scaleEnv2-3.5'!$T$68)</c:f>
                <c:numCache>
                  <c:formatCode>General</c:formatCode>
                  <c:ptCount val="3"/>
                  <c:pt idx="0">
                    <c:v>80.47474689853833</c:v>
                  </c:pt>
                  <c:pt idx="1">
                    <c:v>24.04059338168732</c:v>
                  </c:pt>
                  <c:pt idx="2">
                    <c:v>37.05203279351492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('SlowSpi-scaleEnv2-3.5'!$H$64,'SlowSpi-scaleEnv2-3.5'!$N$64,'SlowSpi-scaleEnv2-3.5'!$T$64)</c:f>
              <c:numCache>
                <c:formatCode>0\.0</c:formatCode>
                <c:ptCount val="3"/>
                <c:pt idx="0">
                  <c:v>1220.964850824314</c:v>
                </c:pt>
                <c:pt idx="1">
                  <c:v>680.3902724719552</c:v>
                </c:pt>
                <c:pt idx="2">
                  <c:v>184.5207422024421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B3-4EA1-9D0F-0792D88018AF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('SlowSpi-scaleEnv2-3.5'!$H$69,'SlowSpi-scaleEnv2-3.5'!$N$69,'SlowSpi-scaleEnv2-3.5'!$T$69)</c:f>
                <c:numCache>
                  <c:formatCode>General</c:formatCode>
                  <c:ptCount val="3"/>
                  <c:pt idx="0">
                    <c:v>65.81233853449534</c:v>
                  </c:pt>
                  <c:pt idx="1">
                    <c:v>67.01957853965126</c:v>
                  </c:pt>
                  <c:pt idx="2">
                    <c:v>32.79745683412252</c:v>
                  </c:pt>
                </c:numCache>
              </c:numRef>
            </c:plus>
            <c:minus>
              <c:numRef>
                <c:f>('SlowSpi-scaleEnv2-3.5'!$H$69,'SlowSpi-scaleEnv2-3.5'!$N$69,'SlowSpi-scaleEnv2-3.5'!$T$69)</c:f>
                <c:numCache>
                  <c:formatCode>General</c:formatCode>
                  <c:ptCount val="3"/>
                  <c:pt idx="0">
                    <c:v>65.81233853449534</c:v>
                  </c:pt>
                  <c:pt idx="1">
                    <c:v>67.01957853965126</c:v>
                  </c:pt>
                  <c:pt idx="2">
                    <c:v>32.79745683412252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('SlowSpi-scaleEnv2-3.5'!$H$65,'SlowSpi-scaleEnv2-3.5'!$N$65,'SlowSpi-scaleEnv2-3.5'!$T$65)</c:f>
              <c:numCache>
                <c:formatCode>0\.0</c:formatCode>
                <c:ptCount val="3"/>
                <c:pt idx="0">
                  <c:v>841.7951554103774</c:v>
                </c:pt>
                <c:pt idx="1">
                  <c:v>470.9145701295072</c:v>
                </c:pt>
                <c:pt idx="2">
                  <c:v>129.0295674407577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5B3-4EA1-9D0F-0792D88018AF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('SlowSpi-scaleEnv2-3.5'!$H$70,'SlowSpi-scaleEnv2-3.5'!$N$70,'SlowSpi-scaleEnv2-3.5'!$T$70)</c:f>
                <c:numCache>
                  <c:formatCode>General</c:formatCode>
                  <c:ptCount val="3"/>
                  <c:pt idx="0">
                    <c:v>43.28690300736112</c:v>
                  </c:pt>
                  <c:pt idx="1">
                    <c:v>51.12018022686697</c:v>
                  </c:pt>
                  <c:pt idx="2">
                    <c:v>26.93188138985796</c:v>
                  </c:pt>
                </c:numCache>
              </c:numRef>
            </c:plus>
            <c:minus>
              <c:numRef>
                <c:f>('SlowSpi-scaleEnv2-3.5'!$H$70,'SlowSpi-scaleEnv2-3.5'!$N$70,'SlowSpi-scaleEnv2-3.5'!$T$70)</c:f>
                <c:numCache>
                  <c:formatCode>General</c:formatCode>
                  <c:ptCount val="3"/>
                  <c:pt idx="0">
                    <c:v>43.28690300736112</c:v>
                  </c:pt>
                  <c:pt idx="1">
                    <c:v>51.12018022686697</c:v>
                  </c:pt>
                  <c:pt idx="2">
                    <c:v>26.93188138985796</c:v>
                  </c:pt>
                </c:numCache>
              </c:numRef>
            </c:minus>
          </c:errBars>
          <c:val>
            <c:numRef>
              <c:f>('SlowSpi-scaleEnv2-3.5'!$H$66,'SlowSpi-scaleEnv2-3.5'!$N$66,'SlowSpi-scaleEnv2-3.5'!$T$66)</c:f>
              <c:numCache>
                <c:formatCode>0\.0</c:formatCode>
                <c:ptCount val="3"/>
                <c:pt idx="0">
                  <c:v>984.6996055755848</c:v>
                </c:pt>
                <c:pt idx="1">
                  <c:v>681.0839366869118</c:v>
                </c:pt>
                <c:pt idx="2">
                  <c:v>147.9182047874171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5B3-4EA1-9D0F-0792D8801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7863936"/>
        <c:axId val="-2055526000"/>
      </c:barChart>
      <c:catAx>
        <c:axId val="-205786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526000"/>
        <c:crosses val="autoZero"/>
        <c:auto val="1"/>
        <c:lblAlgn val="ctr"/>
        <c:lblOffset val="100"/>
        <c:noMultiLvlLbl val="0"/>
      </c:catAx>
      <c:valAx>
        <c:axId val="-20555260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786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'SlowSpi-scaleEnv2-3.5'!$V$59:$X$59</c:f>
                <c:numCache>
                  <c:formatCode>General</c:formatCode>
                  <c:ptCount val="3"/>
                  <c:pt idx="0">
                    <c:v>36.92632144077741</c:v>
                  </c:pt>
                  <c:pt idx="1">
                    <c:v>44.10575303374568</c:v>
                  </c:pt>
                  <c:pt idx="2">
                    <c:v>41.7704176668897</c:v>
                  </c:pt>
                </c:numCache>
              </c:numRef>
            </c:plus>
            <c:minus>
              <c:numRef>
                <c:f>'SlowSpi-scaleEnv2-3.5'!$V$59:$X$59</c:f>
                <c:numCache>
                  <c:formatCode>General</c:formatCode>
                  <c:ptCount val="3"/>
                  <c:pt idx="0">
                    <c:v>36.92632144077741</c:v>
                  </c:pt>
                  <c:pt idx="1">
                    <c:v>44.10575303374568</c:v>
                  </c:pt>
                  <c:pt idx="2">
                    <c:v>41.7704176668897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'SlowSpi-scaleEnv2-3.5'!$V$55:$X$55</c:f>
              <c:numCache>
                <c:formatCode>0\.0</c:formatCode>
                <c:ptCount val="3"/>
                <c:pt idx="0">
                  <c:v>775.4947652723603</c:v>
                </c:pt>
                <c:pt idx="1">
                  <c:v>634.8700021055369</c:v>
                </c:pt>
                <c:pt idx="2">
                  <c:v>233.1322465982032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B96-46F2-B4BF-B45238F9BB21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'SlowSpi-scaleEnv2-3.5'!$V$60:$X$60</c:f>
                <c:numCache>
                  <c:formatCode>General</c:formatCode>
                  <c:ptCount val="3"/>
                  <c:pt idx="0">
                    <c:v>49.24467796473644</c:v>
                  </c:pt>
                  <c:pt idx="1">
                    <c:v>54.13796292577052</c:v>
                  </c:pt>
                  <c:pt idx="2">
                    <c:v>12.45489144925505</c:v>
                  </c:pt>
                </c:numCache>
              </c:numRef>
            </c:plus>
            <c:minus>
              <c:numRef>
                <c:f>'SlowSpi-scaleEnv2-3.5'!$V$60:$X$60</c:f>
                <c:numCache>
                  <c:formatCode>General</c:formatCode>
                  <c:ptCount val="3"/>
                  <c:pt idx="0">
                    <c:v>49.24467796473644</c:v>
                  </c:pt>
                  <c:pt idx="1">
                    <c:v>54.13796292577052</c:v>
                  </c:pt>
                  <c:pt idx="2">
                    <c:v>12.45489144925505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'SlowSpi-scaleEnv2-3.5'!$V$56:$X$56</c:f>
              <c:numCache>
                <c:formatCode>0\.0</c:formatCode>
                <c:ptCount val="3"/>
                <c:pt idx="0">
                  <c:v>652.3303718930067</c:v>
                </c:pt>
                <c:pt idx="1">
                  <c:v>489.0166850730388</c:v>
                </c:pt>
                <c:pt idx="2">
                  <c:v>148.4785224148833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B96-46F2-B4BF-B45238F9BB21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'SlowSpi-scaleEnv2-3.5'!$V$61:$X$61</c:f>
                <c:numCache>
                  <c:formatCode>General</c:formatCode>
                  <c:ptCount val="3"/>
                  <c:pt idx="0">
                    <c:v>34.50322134733767</c:v>
                  </c:pt>
                  <c:pt idx="1">
                    <c:v>36.70416788138086</c:v>
                  </c:pt>
                  <c:pt idx="2">
                    <c:v>25.99324117419607</c:v>
                  </c:pt>
                </c:numCache>
              </c:numRef>
            </c:plus>
            <c:minus>
              <c:numRef>
                <c:f>'SlowSpi-scaleEnv2-3.5'!$V$61:$X$61</c:f>
                <c:numCache>
                  <c:formatCode>General</c:formatCode>
                  <c:ptCount val="3"/>
                  <c:pt idx="0">
                    <c:v>34.50322134733767</c:v>
                  </c:pt>
                  <c:pt idx="1">
                    <c:v>36.70416788138086</c:v>
                  </c:pt>
                  <c:pt idx="2">
                    <c:v>25.99324117419607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'SlowSpi-scaleEnv2-3.5'!$V$57:$X$57</c:f>
              <c:numCache>
                <c:formatCode>0\.0</c:formatCode>
                <c:ptCount val="3"/>
                <c:pt idx="0">
                  <c:v>740.8994942685353</c:v>
                </c:pt>
                <c:pt idx="1">
                  <c:v>494.814613189426</c:v>
                </c:pt>
                <c:pt idx="2">
                  <c:v>173.762022441135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B96-46F2-B4BF-B45238F9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406432"/>
        <c:axId val="-2055869280"/>
      </c:barChart>
      <c:catAx>
        <c:axId val="-2055406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869280"/>
        <c:crosses val="autoZero"/>
        <c:auto val="1"/>
        <c:lblAlgn val="ctr"/>
        <c:lblOffset val="100"/>
        <c:noMultiLvlLbl val="0"/>
      </c:catAx>
      <c:valAx>
        <c:axId val="-20558692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40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'SlowSpi-scaleEnv2-3.5'!$V$68:$X$68</c:f>
                <c:numCache>
                  <c:formatCode>General</c:formatCode>
                  <c:ptCount val="3"/>
                  <c:pt idx="0">
                    <c:v>73.76789237705793</c:v>
                  </c:pt>
                  <c:pt idx="1">
                    <c:v>21.80825994778597</c:v>
                  </c:pt>
                  <c:pt idx="2">
                    <c:v>36.4413684706195</c:v>
                  </c:pt>
                </c:numCache>
              </c:numRef>
            </c:plus>
            <c:minus>
              <c:numRef>
                <c:f>'SlowSpi-scaleEnv2-3.5'!$V$68:$X$68</c:f>
                <c:numCache>
                  <c:formatCode>General</c:formatCode>
                  <c:ptCount val="3"/>
                  <c:pt idx="0">
                    <c:v>73.76789237705793</c:v>
                  </c:pt>
                  <c:pt idx="1">
                    <c:v>21.80825994778597</c:v>
                  </c:pt>
                  <c:pt idx="2">
                    <c:v>36.4413684706195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'SlowSpi-scaleEnv2-3.5'!$V$64:$X$64</c:f>
              <c:numCache>
                <c:formatCode>0\.0</c:formatCode>
                <c:ptCount val="3"/>
                <c:pt idx="0">
                  <c:v>1071.857462809857</c:v>
                </c:pt>
                <c:pt idx="1">
                  <c:v>638.5949929221824</c:v>
                </c:pt>
                <c:pt idx="2">
                  <c:v>176.8179448852761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B89-4D1B-9BFC-FF4BB4922EA1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'SlowSpi-scaleEnv2-3.5'!$V$69:$X$69</c:f>
                <c:numCache>
                  <c:formatCode>General</c:formatCode>
                  <c:ptCount val="3"/>
                  <c:pt idx="0">
                    <c:v>74.42043049645009</c:v>
                  </c:pt>
                  <c:pt idx="1">
                    <c:v>62.73162877900545</c:v>
                  </c:pt>
                  <c:pt idx="2">
                    <c:v>32.05266348020175</c:v>
                  </c:pt>
                </c:numCache>
              </c:numRef>
            </c:plus>
            <c:minus>
              <c:numRef>
                <c:f>'SlowSpi-scaleEnv2-3.5'!$V$69:$X$69</c:f>
                <c:numCache>
                  <c:formatCode>General</c:formatCode>
                  <c:ptCount val="3"/>
                  <c:pt idx="0">
                    <c:v>74.42043049645009</c:v>
                  </c:pt>
                  <c:pt idx="1">
                    <c:v>62.73162877900545</c:v>
                  </c:pt>
                  <c:pt idx="2">
                    <c:v>32.05266348020175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'SlowSpi-scaleEnv2-3.5'!$V$65:$X$65</c:f>
              <c:numCache>
                <c:formatCode>0\.0</c:formatCode>
                <c:ptCount val="3"/>
                <c:pt idx="0">
                  <c:v>764.4849218310094</c:v>
                </c:pt>
                <c:pt idx="1">
                  <c:v>443.621142792922</c:v>
                </c:pt>
                <c:pt idx="2">
                  <c:v>124.9219943255777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B89-4D1B-9BFC-FF4BB4922EA1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'SlowSpi-scaleEnv2-3.5'!$V$70:$X$70</c:f>
                <c:numCache>
                  <c:formatCode>General</c:formatCode>
                  <c:ptCount val="3"/>
                  <c:pt idx="0">
                    <c:v>37.32094617598534</c:v>
                  </c:pt>
                  <c:pt idx="1">
                    <c:v>45.88761774546752</c:v>
                  </c:pt>
                  <c:pt idx="2">
                    <c:v>26.00220194037836</c:v>
                  </c:pt>
                </c:numCache>
              </c:numRef>
            </c:plus>
            <c:minus>
              <c:numRef>
                <c:f>'SlowSpi-scaleEnv2-3.5'!$V$70:$X$70</c:f>
                <c:numCache>
                  <c:formatCode>General</c:formatCode>
                  <c:ptCount val="3"/>
                  <c:pt idx="0">
                    <c:v>37.32094617598534</c:v>
                  </c:pt>
                  <c:pt idx="1">
                    <c:v>45.88761774546752</c:v>
                  </c:pt>
                  <c:pt idx="2">
                    <c:v>26.00220194037836</c:v>
                  </c:pt>
                </c:numCache>
              </c:numRef>
            </c:minus>
          </c:errBars>
          <c:val>
            <c:numRef>
              <c:f>'SlowSpi-scaleEnv2-3.5'!$V$66:$X$66</c:f>
              <c:numCache>
                <c:formatCode>0\.0</c:formatCode>
                <c:ptCount val="3"/>
                <c:pt idx="0">
                  <c:v>881.429479502163</c:v>
                </c:pt>
                <c:pt idx="1">
                  <c:v>635.57210286595</c:v>
                </c:pt>
                <c:pt idx="2">
                  <c:v>140.954323284716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B89-4D1B-9BFC-FF4BB492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321104"/>
        <c:axId val="-2055579088"/>
      </c:barChart>
      <c:catAx>
        <c:axId val="-2055321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579088"/>
        <c:crosses val="autoZero"/>
        <c:auto val="1"/>
        <c:lblAlgn val="ctr"/>
        <c:lblOffset val="100"/>
        <c:noMultiLvlLbl val="0"/>
      </c:catAx>
      <c:valAx>
        <c:axId val="-20555790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32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('BrdBdSpi-scaleEnv2-3.5'!$D$59,'BrdBdSpi-scaleEnv2-3.5'!$J$59,'BrdBdSpi-scaleEnv2-3.5'!$P$59)</c:f>
                <c:numCache>
                  <c:formatCode>General</c:formatCode>
                  <c:ptCount val="3"/>
                  <c:pt idx="0">
                    <c:v>78.5476579402673</c:v>
                  </c:pt>
                  <c:pt idx="1">
                    <c:v>103.6958396489166</c:v>
                  </c:pt>
                  <c:pt idx="2">
                    <c:v>75.43917547553506</c:v>
                  </c:pt>
                </c:numCache>
              </c:numRef>
            </c:plus>
            <c:minus>
              <c:numRef>
                <c:f>('BrdBdSpi-scaleEnv2-3.5'!$D$59,'BrdBdSpi-scaleEnv2-3.5'!$J$59,'BrdBdSpi-scaleEnv2-3.5'!$P$59)</c:f>
                <c:numCache>
                  <c:formatCode>General</c:formatCode>
                  <c:ptCount val="3"/>
                  <c:pt idx="0">
                    <c:v>78.5476579402673</c:v>
                  </c:pt>
                  <c:pt idx="1">
                    <c:v>103.6958396489166</c:v>
                  </c:pt>
                  <c:pt idx="2">
                    <c:v>75.43917547553506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('BrdBdSpi-scaleEnv2-3.5'!$D$55,'BrdBdSpi-scaleEnv2-3.5'!$J$55,'BrdBdSpi-scaleEnv2-3.5'!$P$55)</c:f>
              <c:numCache>
                <c:formatCode>0\.0</c:formatCode>
                <c:ptCount val="3"/>
                <c:pt idx="0">
                  <c:v>654.1111111111111</c:v>
                </c:pt>
                <c:pt idx="1">
                  <c:v>826.2222222222222</c:v>
                </c:pt>
                <c:pt idx="2">
                  <c:v>591.625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26-43B9-BFD7-E7D0DE33093B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('BrdBdSpi-scaleEnv2-3.5'!$D$60,'BrdBdSpi-scaleEnv2-3.5'!$J$60,'BrdBdSpi-scaleEnv2-3.5'!$P$60)</c:f>
                <c:numCache>
                  <c:formatCode>General</c:formatCode>
                  <c:ptCount val="3"/>
                  <c:pt idx="0">
                    <c:v>43.79596350981542</c:v>
                  </c:pt>
                  <c:pt idx="1">
                    <c:v>71.35708327372507</c:v>
                  </c:pt>
                  <c:pt idx="2">
                    <c:v>41.9096604956082</c:v>
                  </c:pt>
                </c:numCache>
              </c:numRef>
            </c:plus>
            <c:minus>
              <c:numRef>
                <c:f>('BrdBdSpi-scaleEnv2-3.5'!$D$60,'BrdBdSpi-scaleEnv2-3.5'!$J$60,'BrdBdSpi-scaleEnv2-3.5'!$P$60)</c:f>
                <c:numCache>
                  <c:formatCode>General</c:formatCode>
                  <c:ptCount val="3"/>
                  <c:pt idx="0">
                    <c:v>43.79596350981542</c:v>
                  </c:pt>
                  <c:pt idx="1">
                    <c:v>71.35708327372507</c:v>
                  </c:pt>
                  <c:pt idx="2">
                    <c:v>41.9096604956082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('BrdBdSpi-scaleEnv2-3.5'!$D$56,'BrdBdSpi-scaleEnv2-3.5'!$J$56,'BrdBdSpi-scaleEnv2-3.5'!$P$56)</c:f>
              <c:numCache>
                <c:formatCode>0\.0</c:formatCode>
                <c:ptCount val="3"/>
                <c:pt idx="0">
                  <c:v>828.5555555555555</c:v>
                </c:pt>
                <c:pt idx="1">
                  <c:v>1085.333333333333</c:v>
                </c:pt>
                <c:pt idx="2">
                  <c:v>794.75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26-43B9-BFD7-E7D0DE33093B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('BrdBdSpi-scaleEnv2-3.5'!$D$61,'BrdBdSpi-scaleEnv2-3.5'!$J$61,'BrdBdSpi-scaleEnv2-3.5'!$P$61)</c:f>
                <c:numCache>
                  <c:formatCode>General</c:formatCode>
                  <c:ptCount val="3"/>
                  <c:pt idx="0">
                    <c:v>36.6677510483279</c:v>
                  </c:pt>
                  <c:pt idx="1">
                    <c:v>51.09707177325969</c:v>
                  </c:pt>
                  <c:pt idx="2">
                    <c:v>69.18996487692002</c:v>
                  </c:pt>
                </c:numCache>
              </c:numRef>
            </c:plus>
            <c:minus>
              <c:numRef>
                <c:f>('BrdBdSpi-scaleEnv2-3.5'!$D$61,'BrdBdSpi-scaleEnv2-3.5'!$J$61,'BrdBdSpi-scaleEnv2-3.5'!$P$61)</c:f>
                <c:numCache>
                  <c:formatCode>General</c:formatCode>
                  <c:ptCount val="3"/>
                  <c:pt idx="0">
                    <c:v>36.6677510483279</c:v>
                  </c:pt>
                  <c:pt idx="1">
                    <c:v>51.09707177325969</c:v>
                  </c:pt>
                  <c:pt idx="2">
                    <c:v>69.18996487692002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('BrdBdSpi-scaleEnv2-3.5'!$D$57,'BrdBdSpi-scaleEnv2-3.5'!$J$57,'BrdBdSpi-scaleEnv2-3.5'!$P$57)</c:f>
              <c:numCache>
                <c:formatCode>0\.0</c:formatCode>
                <c:ptCount val="3"/>
                <c:pt idx="0">
                  <c:v>762.1818181818181</c:v>
                </c:pt>
                <c:pt idx="1">
                  <c:v>990.2727272727272</c:v>
                </c:pt>
                <c:pt idx="2">
                  <c:v>784.8181818181818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726-43B9-BFD7-E7D0DE33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2571344"/>
        <c:axId val="-2088252880"/>
      </c:barChart>
      <c:catAx>
        <c:axId val="-2062571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88252880"/>
        <c:crosses val="autoZero"/>
        <c:auto val="1"/>
        <c:lblAlgn val="ctr"/>
        <c:lblOffset val="100"/>
        <c:noMultiLvlLbl val="0"/>
      </c:catAx>
      <c:valAx>
        <c:axId val="-20882528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6257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('BrdBdSpi-scaleEnv2-3.5'!$D$68,'BrdBdSpi-scaleEnv2-3.5'!$J$68,'BrdBdSpi-scaleEnv2-3.5'!$P$68)</c:f>
                <c:numCache>
                  <c:formatCode>General</c:formatCode>
                  <c:ptCount val="3"/>
                  <c:pt idx="0">
                    <c:v>65.38286964379234</c:v>
                  </c:pt>
                  <c:pt idx="1">
                    <c:v>63.12726304288594</c:v>
                  </c:pt>
                  <c:pt idx="2">
                    <c:v>119.7454144663347</c:v>
                  </c:pt>
                </c:numCache>
              </c:numRef>
            </c:plus>
            <c:minus>
              <c:numRef>
                <c:f>('BrdBdSpi-scaleEnv2-3.5'!$D$68,'BrdBdSpi-scaleEnv2-3.5'!$J$68,'BrdBdSpi-scaleEnv2-3.5'!$P$68)</c:f>
                <c:numCache>
                  <c:formatCode>General</c:formatCode>
                  <c:ptCount val="3"/>
                  <c:pt idx="0">
                    <c:v>65.38286964379234</c:v>
                  </c:pt>
                  <c:pt idx="1">
                    <c:v>63.12726304288594</c:v>
                  </c:pt>
                  <c:pt idx="2">
                    <c:v>119.7454144663347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('BrdBdSpi-scaleEnv2-3.5'!$D$64,'BrdBdSpi-scaleEnv2-3.5'!$J$64,'BrdBdSpi-scaleEnv2-3.5'!$P$64)</c:f>
              <c:numCache>
                <c:formatCode>0\.0</c:formatCode>
                <c:ptCount val="3"/>
                <c:pt idx="0">
                  <c:v>705.75</c:v>
                </c:pt>
                <c:pt idx="1">
                  <c:v>933.125</c:v>
                </c:pt>
                <c:pt idx="2">
                  <c:v>756.5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AE-4F70-89B1-1C554FB0E56D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('BrdBdSpi-scaleEnv2-3.5'!$D$69,'BrdBdSpi-scaleEnv2-3.5'!$J$69,'BrdBdSpi-scaleEnv2-3.5'!$P$69)</c:f>
                <c:numCache>
                  <c:formatCode>General</c:formatCode>
                  <c:ptCount val="3"/>
                  <c:pt idx="0">
                    <c:v>61.39495093246676</c:v>
                  </c:pt>
                  <c:pt idx="1">
                    <c:v>93.25534837209075</c:v>
                  </c:pt>
                  <c:pt idx="2">
                    <c:v>98.19012170274564</c:v>
                  </c:pt>
                </c:numCache>
              </c:numRef>
            </c:plus>
            <c:minus>
              <c:numRef>
                <c:f>('BrdBdSpi-scaleEnv2-3.5'!$D$69,'BrdBdSpi-scaleEnv2-3.5'!$J$69,'BrdBdSpi-scaleEnv2-3.5'!$P$69)</c:f>
                <c:numCache>
                  <c:formatCode>General</c:formatCode>
                  <c:ptCount val="3"/>
                  <c:pt idx="0">
                    <c:v>61.39495093246676</c:v>
                  </c:pt>
                  <c:pt idx="1">
                    <c:v>93.25534837209075</c:v>
                  </c:pt>
                  <c:pt idx="2">
                    <c:v>98.19012170274564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('BrdBdSpi-scaleEnv2-3.5'!$D$65,'BrdBdSpi-scaleEnv2-3.5'!$J$65,'BrdBdSpi-scaleEnv2-3.5'!$P$65)</c:f>
              <c:numCache>
                <c:formatCode>0\.0</c:formatCode>
                <c:ptCount val="3"/>
                <c:pt idx="0">
                  <c:v>508.8</c:v>
                </c:pt>
                <c:pt idx="1">
                  <c:v>727.6</c:v>
                </c:pt>
                <c:pt idx="2">
                  <c:v>524.0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AE-4F70-89B1-1C554FB0E56D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('BrdBdSpi-scaleEnv2-3.5'!$D$70,'BrdBdSpi-scaleEnv2-3.5'!$J$70,'BrdBdSpi-scaleEnv2-3.5'!$P$70)</c:f>
                <c:numCache>
                  <c:formatCode>General</c:formatCode>
                  <c:ptCount val="3"/>
                  <c:pt idx="0">
                    <c:v>23.16844374821679</c:v>
                  </c:pt>
                  <c:pt idx="1">
                    <c:v>27.01119972741465</c:v>
                  </c:pt>
                  <c:pt idx="2">
                    <c:v>69.28794409151255</c:v>
                  </c:pt>
                </c:numCache>
              </c:numRef>
            </c:plus>
            <c:minus>
              <c:numRef>
                <c:f>('BrdBdSpi-scaleEnv2-3.5'!$D$70,'BrdBdSpi-scaleEnv2-3.5'!$J$70,'BrdBdSpi-scaleEnv2-3.5'!$P$70)</c:f>
                <c:numCache>
                  <c:formatCode>General</c:formatCode>
                  <c:ptCount val="3"/>
                  <c:pt idx="0">
                    <c:v>23.16844374821679</c:v>
                  </c:pt>
                  <c:pt idx="1">
                    <c:v>27.01119972741465</c:v>
                  </c:pt>
                  <c:pt idx="2">
                    <c:v>69.28794409151255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('BrdBdSpi-scaleEnv2-3.5'!$D$66,'BrdBdSpi-scaleEnv2-3.5'!$J$66,'BrdBdSpi-scaleEnv2-3.5'!$P$66)</c:f>
              <c:numCache>
                <c:formatCode>0\.0</c:formatCode>
                <c:ptCount val="3"/>
                <c:pt idx="0">
                  <c:v>698.25</c:v>
                </c:pt>
                <c:pt idx="1">
                  <c:v>977.375</c:v>
                </c:pt>
                <c:pt idx="2">
                  <c:v>802.375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AE-4F70-89B1-1C554FB0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3550240"/>
        <c:axId val="-2056065296"/>
      </c:barChart>
      <c:catAx>
        <c:axId val="-2073550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6065296"/>
        <c:crosses val="autoZero"/>
        <c:auto val="1"/>
        <c:lblAlgn val="ctr"/>
        <c:lblOffset val="100"/>
        <c:noMultiLvlLbl val="0"/>
      </c:catAx>
      <c:valAx>
        <c:axId val="-2056065296"/>
        <c:scaling>
          <c:orientation val="minMax"/>
          <c:max val="2500.0"/>
        </c:scaling>
        <c:delete val="0"/>
        <c:axPos val="l"/>
        <c:numFmt formatCode="0" sourceLinked="0"/>
        <c:majorTickMark val="out"/>
        <c:minorTickMark val="none"/>
        <c:tickLblPos val="nextTo"/>
        <c:crossAx val="-20735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('BrdBdSpi-scaleEnv2-3.5'!$E$59,'BrdBdSpi-scaleEnv2-3.5'!$K$59,'BrdBdSpi-scaleEnv2-3.5'!$Q$59)</c:f>
                <c:numCache>
                  <c:formatCode>General</c:formatCode>
                  <c:ptCount val="3"/>
                  <c:pt idx="0">
                    <c:v>0.00769030591482196</c:v>
                  </c:pt>
                  <c:pt idx="1">
                    <c:v>0.00241187922650709</c:v>
                  </c:pt>
                  <c:pt idx="2">
                    <c:v>0.00174670696013658</c:v>
                  </c:pt>
                </c:numCache>
              </c:numRef>
            </c:plus>
            <c:minus>
              <c:numRef>
                <c:f>('BrdBdSpi-scaleEnv2-3.5'!$E$59,'BrdBdSpi-scaleEnv2-3.5'!$K$59,'BrdBdSpi-scaleEnv2-3.5'!$Q$59)</c:f>
                <c:numCache>
                  <c:formatCode>General</c:formatCode>
                  <c:ptCount val="3"/>
                  <c:pt idx="0">
                    <c:v>0.00769030591482196</c:v>
                  </c:pt>
                  <c:pt idx="1">
                    <c:v>0.00241187922650709</c:v>
                  </c:pt>
                  <c:pt idx="2">
                    <c:v>0.00174670696013658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('BrdBdSpi-scaleEnv2-3.5'!$E$55,'BrdBdSpi-scaleEnv2-3.5'!$K$55,'BrdBdSpi-scaleEnv2-3.5'!$Q$55)</c:f>
              <c:numCache>
                <c:formatCode>0\.000</c:formatCode>
                <c:ptCount val="3"/>
                <c:pt idx="0">
                  <c:v>0.619080045949935</c:v>
                </c:pt>
                <c:pt idx="1">
                  <c:v>0.544301917798059</c:v>
                </c:pt>
                <c:pt idx="2">
                  <c:v>0.526279272050811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C7-4DBC-800D-2267FC6612E6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('BrdBdSpi-scaleEnv2-3.5'!$E$60,'BrdBdSpi-scaleEnv2-3.5'!$K$60,'BrdBdSpi-scaleEnv2-3.5'!$Q$60)</c:f>
                <c:numCache>
                  <c:formatCode>General</c:formatCode>
                  <c:ptCount val="3"/>
                  <c:pt idx="0">
                    <c:v>0.00516606717835033</c:v>
                  </c:pt>
                  <c:pt idx="1">
                    <c:v>0.00162066594301313</c:v>
                  </c:pt>
                  <c:pt idx="2">
                    <c:v>0.00233064566653759</c:v>
                  </c:pt>
                </c:numCache>
              </c:numRef>
            </c:plus>
            <c:minus>
              <c:numRef>
                <c:f>('BrdBdSpi-scaleEnv2-3.5'!$E$60,'BrdBdSpi-scaleEnv2-3.5'!$K$60,'BrdBdSpi-scaleEnv2-3.5'!$Q$60)</c:f>
                <c:numCache>
                  <c:formatCode>General</c:formatCode>
                  <c:ptCount val="3"/>
                  <c:pt idx="0">
                    <c:v>0.00516606717835033</c:v>
                  </c:pt>
                  <c:pt idx="1">
                    <c:v>0.00162066594301313</c:v>
                  </c:pt>
                  <c:pt idx="2">
                    <c:v>0.00233064566653759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('BrdBdSpi-scaleEnv2-3.5'!$E$56,'BrdBdSpi-scaleEnv2-3.5'!$K$56,'BrdBdSpi-scaleEnv2-3.5'!$Q$56)</c:f>
              <c:numCache>
                <c:formatCode>0\.000</c:formatCode>
                <c:ptCount val="3"/>
                <c:pt idx="0">
                  <c:v>0.623286635366347</c:v>
                </c:pt>
                <c:pt idx="1">
                  <c:v>0.544980930196769</c:v>
                </c:pt>
                <c:pt idx="2">
                  <c:v>0.520274932804103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C7-4DBC-800D-2267FC6612E6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('BrdBdSpi-scaleEnv2-3.5'!$E$61,'BrdBdSpi-scaleEnv2-3.5'!$K$61,'BrdBdSpi-scaleEnv2-3.5'!$Q$61)</c:f>
                <c:numCache>
                  <c:formatCode>General</c:formatCode>
                  <c:ptCount val="3"/>
                  <c:pt idx="0">
                    <c:v>0.0064441691684327</c:v>
                  </c:pt>
                  <c:pt idx="1">
                    <c:v>0.00273301650047242</c:v>
                  </c:pt>
                  <c:pt idx="2">
                    <c:v>0.0123413303595778</c:v>
                  </c:pt>
                </c:numCache>
              </c:numRef>
            </c:plus>
            <c:minus>
              <c:numRef>
                <c:f>('BrdBdSpi-scaleEnv2-3.5'!$E$61,'BrdBdSpi-scaleEnv2-3.5'!$K$61,'BrdBdSpi-scaleEnv2-3.5'!$Q$61)</c:f>
                <c:numCache>
                  <c:formatCode>General</c:formatCode>
                  <c:ptCount val="3"/>
                  <c:pt idx="0">
                    <c:v>0.0064441691684327</c:v>
                  </c:pt>
                  <c:pt idx="1">
                    <c:v>0.00273301650047242</c:v>
                  </c:pt>
                  <c:pt idx="2">
                    <c:v>0.0123413303595778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('BrdBdSpi-scaleEnv2-3.5'!$E$57,'BrdBdSpi-scaleEnv2-3.5'!$K$57,'BrdBdSpi-scaleEnv2-3.5'!$Q$57)</c:f>
              <c:numCache>
                <c:formatCode>0\.000</c:formatCode>
                <c:ptCount val="3"/>
                <c:pt idx="0">
                  <c:v>0.645398153824228</c:v>
                </c:pt>
                <c:pt idx="1">
                  <c:v>0.545915094214072</c:v>
                </c:pt>
                <c:pt idx="2">
                  <c:v>0.543656648152152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2C7-4DBC-800D-2267FC66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6045376"/>
        <c:axId val="-2073442240"/>
      </c:barChart>
      <c:catAx>
        <c:axId val="-205604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73442240"/>
        <c:crosses val="autoZero"/>
        <c:auto val="1"/>
        <c:lblAlgn val="ctr"/>
        <c:lblOffset val="100"/>
        <c:noMultiLvlLbl val="0"/>
      </c:catAx>
      <c:valAx>
        <c:axId val="-2073442240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-205604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('BrdBdSpi-scaleEnv2-3.5'!$E$68,'BrdBdSpi-scaleEnv2-3.5'!$K$68,'BrdBdSpi-scaleEnv2-3.5'!$Q$68)</c:f>
                <c:numCache>
                  <c:formatCode>General</c:formatCode>
                  <c:ptCount val="3"/>
                  <c:pt idx="0">
                    <c:v>0.0136918465249059</c:v>
                  </c:pt>
                  <c:pt idx="1">
                    <c:v>0.0021436976080759</c:v>
                  </c:pt>
                  <c:pt idx="2">
                    <c:v>0.00527273866615706</c:v>
                  </c:pt>
                </c:numCache>
              </c:numRef>
            </c:plus>
            <c:minus>
              <c:numRef>
                <c:f>('BrdBdSpi-scaleEnv2-3.5'!$E$68,'BrdBdSpi-scaleEnv2-3.5'!$K$68,'BrdBdSpi-scaleEnv2-3.5'!$Q$68)</c:f>
                <c:numCache>
                  <c:formatCode>General</c:formatCode>
                  <c:ptCount val="3"/>
                  <c:pt idx="0">
                    <c:v>0.0136918465249059</c:v>
                  </c:pt>
                  <c:pt idx="1">
                    <c:v>0.0021436976080759</c:v>
                  </c:pt>
                  <c:pt idx="2">
                    <c:v>0.00527273866615706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('BrdBdSpi-scaleEnv2-3.5'!$E$64,'BrdBdSpi-scaleEnv2-3.5'!$K$64,'BrdBdSpi-scaleEnv2-3.5'!$Q$64)</c:f>
              <c:numCache>
                <c:formatCode>0\.000</c:formatCode>
                <c:ptCount val="3"/>
                <c:pt idx="0">
                  <c:v>0.59728642195373</c:v>
                </c:pt>
                <c:pt idx="1">
                  <c:v>0.535258887134174</c:v>
                </c:pt>
                <c:pt idx="2">
                  <c:v>0.51995913107794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563-4360-A922-C112AE849834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('BrdBdSpi-scaleEnv2-3.5'!$E$69,'BrdBdSpi-scaleEnv2-3.5'!$K$69,'BrdBdSpi-scaleEnv2-3.5'!$Q$69)</c:f>
                <c:numCache>
                  <c:formatCode>General</c:formatCode>
                  <c:ptCount val="3"/>
                  <c:pt idx="0">
                    <c:v>0.0261207217075579</c:v>
                  </c:pt>
                  <c:pt idx="1">
                    <c:v>0.00236001246570857</c:v>
                  </c:pt>
                  <c:pt idx="2">
                    <c:v>0.00581656616428388</c:v>
                  </c:pt>
                </c:numCache>
              </c:numRef>
            </c:plus>
            <c:minus>
              <c:numRef>
                <c:f>('BrdBdSpi-scaleEnv2-3.5'!$E$69,'BrdBdSpi-scaleEnv2-3.5'!$K$69,'BrdBdSpi-scaleEnv2-3.5'!$Q$69)</c:f>
                <c:numCache>
                  <c:formatCode>General</c:formatCode>
                  <c:ptCount val="3"/>
                  <c:pt idx="0">
                    <c:v>0.0261207217075579</c:v>
                  </c:pt>
                  <c:pt idx="1">
                    <c:v>0.00236001246570857</c:v>
                  </c:pt>
                  <c:pt idx="2">
                    <c:v>0.00581656616428388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('BrdBdSpi-scaleEnv2-3.5'!$E$65,'BrdBdSpi-scaleEnv2-3.5'!$K$65,'BrdBdSpi-scaleEnv2-3.5'!$Q$65)</c:f>
              <c:numCache>
                <c:formatCode>0\.000</c:formatCode>
                <c:ptCount val="3"/>
                <c:pt idx="0">
                  <c:v>0.608648584643885</c:v>
                </c:pt>
                <c:pt idx="1">
                  <c:v>0.538448501640349</c:v>
                </c:pt>
                <c:pt idx="2">
                  <c:v>0.5144832163131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563-4360-A922-C112AE849834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('BrdBdSpi-scaleEnv2-3.5'!$E$70,'BrdBdSpi-scaleEnv2-3.5'!$K$70,'BrdBdSpi-scaleEnv2-3.5'!$Q$70)</c:f>
                <c:numCache>
                  <c:formatCode>General</c:formatCode>
                  <c:ptCount val="3"/>
                  <c:pt idx="0">
                    <c:v>0.0108669693053553</c:v>
                  </c:pt>
                  <c:pt idx="1">
                    <c:v>0.00396279946443097</c:v>
                  </c:pt>
                  <c:pt idx="2">
                    <c:v>0.0052054962622066</c:v>
                  </c:pt>
                </c:numCache>
              </c:numRef>
            </c:plus>
            <c:minus>
              <c:numRef>
                <c:f>('BrdBdSpi-scaleEnv2-3.5'!$E$70,'BrdBdSpi-scaleEnv2-3.5'!$K$70,'BrdBdSpi-scaleEnv2-3.5'!$Q$70)</c:f>
                <c:numCache>
                  <c:formatCode>General</c:formatCode>
                  <c:ptCount val="3"/>
                  <c:pt idx="0">
                    <c:v>0.0108669693053553</c:v>
                  </c:pt>
                  <c:pt idx="1">
                    <c:v>0.00396279946443097</c:v>
                  </c:pt>
                  <c:pt idx="2">
                    <c:v>0.0052054962622066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('BrdBdSpi-scaleEnv2-3.5'!$E$66,'BrdBdSpi-scaleEnv2-3.5'!$K$66,'BrdBdSpi-scaleEnv2-3.5'!$Q$66)</c:f>
              <c:numCache>
                <c:formatCode>0\.000</c:formatCode>
                <c:ptCount val="3"/>
                <c:pt idx="0">
                  <c:v>0.597774567959046</c:v>
                </c:pt>
                <c:pt idx="1">
                  <c:v>0.541687432099812</c:v>
                </c:pt>
                <c:pt idx="2">
                  <c:v>0.525967679615149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563-4360-A922-C112AE849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286624"/>
        <c:axId val="-2055495776"/>
      </c:barChart>
      <c:catAx>
        <c:axId val="-2055286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495776"/>
        <c:crosses val="autoZero"/>
        <c:auto val="1"/>
        <c:lblAlgn val="ctr"/>
        <c:lblOffset val="100"/>
        <c:noMultiLvlLbl val="0"/>
      </c:catAx>
      <c:valAx>
        <c:axId val="-2055495776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crossAx val="-20552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('BrdBdSpi-scaleEnv2-3.5'!$F$59,'BrdBdSpi-scaleEnv2-3.5'!$L$59,'BrdBdSpi-scaleEnv2-3.5'!$R$59)</c:f>
                <c:numCache>
                  <c:formatCode>General</c:formatCode>
                  <c:ptCount val="3"/>
                  <c:pt idx="0">
                    <c:v>0.12644804446688</c:v>
                  </c:pt>
                  <c:pt idx="1">
                    <c:v>0.223890130110596</c:v>
                  </c:pt>
                  <c:pt idx="2">
                    <c:v>0.346659107972463</c:v>
                  </c:pt>
                </c:numCache>
              </c:numRef>
            </c:plus>
            <c:minus>
              <c:numRef>
                <c:f>('BrdBdSpi-scaleEnv2-3.5'!$F$59,'BrdBdSpi-scaleEnv2-3.5'!$L$59,'BrdBdSpi-scaleEnv2-3.5'!$R$59)</c:f>
                <c:numCache>
                  <c:formatCode>General</c:formatCode>
                  <c:ptCount val="3"/>
                  <c:pt idx="0">
                    <c:v>0.12644804446688</c:v>
                  </c:pt>
                  <c:pt idx="1">
                    <c:v>0.223890130110596</c:v>
                  </c:pt>
                  <c:pt idx="2">
                    <c:v>0.346659107972463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('BrdBdSpi-scaleEnv2-3.5'!$F$55,'BrdBdSpi-scaleEnv2-3.5'!$L$55,'BrdBdSpi-scaleEnv2-3.5'!$R$55)</c:f>
              <c:numCache>
                <c:formatCode>0.00</c:formatCode>
                <c:ptCount val="3"/>
                <c:pt idx="0">
                  <c:v>5.422699518087243</c:v>
                </c:pt>
                <c:pt idx="1">
                  <c:v>6.826961979266849</c:v>
                </c:pt>
                <c:pt idx="2">
                  <c:v>5.24954040831876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9B-4BFC-8406-BD47C31CA8F6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('BrdBdSpi-scaleEnv2-3.5'!$F$60,'BrdBdSpi-scaleEnv2-3.5'!$L$60,'BrdBdSpi-scaleEnv2-3.5'!$R$60)</c:f>
                <c:numCache>
                  <c:formatCode>General</c:formatCode>
                  <c:ptCount val="3"/>
                  <c:pt idx="0">
                    <c:v>0.0815223450663514</c:v>
                  </c:pt>
                  <c:pt idx="1">
                    <c:v>0.211383776806498</c:v>
                  </c:pt>
                  <c:pt idx="2">
                    <c:v>0.197435029348678</c:v>
                  </c:pt>
                </c:numCache>
              </c:numRef>
            </c:plus>
            <c:minus>
              <c:numRef>
                <c:f>('BrdBdSpi-scaleEnv2-3.5'!$F$60,'BrdBdSpi-scaleEnv2-3.5'!$L$60,'BrdBdSpi-scaleEnv2-3.5'!$R$60)</c:f>
                <c:numCache>
                  <c:formatCode>General</c:formatCode>
                  <c:ptCount val="3"/>
                  <c:pt idx="0">
                    <c:v>0.0815223450663514</c:v>
                  </c:pt>
                  <c:pt idx="1">
                    <c:v>0.211383776806498</c:v>
                  </c:pt>
                  <c:pt idx="2">
                    <c:v>0.197435029348678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('BrdBdSpi-scaleEnv2-3.5'!$F$56,'BrdBdSpi-scaleEnv2-3.5'!$L$56,'BrdBdSpi-scaleEnv2-3.5'!$R$56)</c:f>
              <c:numCache>
                <c:formatCode>0.00</c:formatCode>
                <c:ptCount val="3"/>
                <c:pt idx="0">
                  <c:v>5.329148728386853</c:v>
                </c:pt>
                <c:pt idx="1">
                  <c:v>6.964586236604816</c:v>
                </c:pt>
                <c:pt idx="2">
                  <c:v>5.112790095130848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69B-4BFC-8406-BD47C31CA8F6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('BrdBdSpi-scaleEnv2-3.5'!$F$61,'BrdBdSpi-scaleEnv2-3.5'!$L$61,'BrdBdSpi-scaleEnv2-3.5'!$R$61)</c:f>
                <c:numCache>
                  <c:formatCode>General</c:formatCode>
                  <c:ptCount val="3"/>
                  <c:pt idx="0">
                    <c:v>0.0990488232661181</c:v>
                  </c:pt>
                  <c:pt idx="1">
                    <c:v>0.230290726191124</c:v>
                  </c:pt>
                  <c:pt idx="2">
                    <c:v>0.353992259195388</c:v>
                  </c:pt>
                </c:numCache>
              </c:numRef>
            </c:plus>
            <c:minus>
              <c:numRef>
                <c:f>('BrdBdSpi-scaleEnv2-3.5'!$F$61,'BrdBdSpi-scaleEnv2-3.5'!$L$61,'BrdBdSpi-scaleEnv2-3.5'!$R$61)</c:f>
                <c:numCache>
                  <c:formatCode>General</c:formatCode>
                  <c:ptCount val="3"/>
                  <c:pt idx="0">
                    <c:v>0.0990488232661181</c:v>
                  </c:pt>
                  <c:pt idx="1">
                    <c:v>0.230290726191124</c:v>
                  </c:pt>
                  <c:pt idx="2">
                    <c:v>0.353992259195388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('BrdBdSpi-scaleEnv2-3.5'!$F$57,'BrdBdSpi-scaleEnv2-3.5'!$L$57,'BrdBdSpi-scaleEnv2-3.5'!$R$57)</c:f>
              <c:numCache>
                <c:formatCode>0.00</c:formatCode>
                <c:ptCount val="3"/>
                <c:pt idx="0">
                  <c:v>5.106296832246328</c:v>
                </c:pt>
                <c:pt idx="1">
                  <c:v>6.649308259277803</c:v>
                </c:pt>
                <c:pt idx="2">
                  <c:v>5.25396514683593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69B-4BFC-8406-BD47C31C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851008"/>
        <c:axId val="-2089673936"/>
      </c:barChart>
      <c:catAx>
        <c:axId val="-2055851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89673936"/>
        <c:crosses val="autoZero"/>
        <c:auto val="1"/>
        <c:lblAlgn val="ctr"/>
        <c:lblOffset val="100"/>
        <c:noMultiLvlLbl val="0"/>
      </c:catAx>
      <c:valAx>
        <c:axId val="-208967393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85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spPr>
            <a:solidFill>
              <a:schemeClr val="accent1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('BrdBdSpi-scaleEnv2-3.5'!$F$68,'BrdBdSpi-scaleEnv2-3.5'!$L$68,'BrdBdSpi-scaleEnv2-3.5'!$R$68)</c:f>
                <c:numCache>
                  <c:formatCode>General</c:formatCode>
                  <c:ptCount val="3"/>
                  <c:pt idx="0">
                    <c:v>0.249498065948508</c:v>
                  </c:pt>
                  <c:pt idx="1">
                    <c:v>0.203744204131258</c:v>
                  </c:pt>
                  <c:pt idx="2">
                    <c:v>0.515746076821021</c:v>
                  </c:pt>
                </c:numCache>
              </c:numRef>
            </c:plus>
            <c:minus>
              <c:numRef>
                <c:f>('BrdBdSpi-scaleEnv2-3.5'!$F$68,'BrdBdSpi-scaleEnv2-3.5'!$L$68,'BrdBdSpi-scaleEnv2-3.5'!$R$68)</c:f>
                <c:numCache>
                  <c:formatCode>General</c:formatCode>
                  <c:ptCount val="3"/>
                  <c:pt idx="0">
                    <c:v>0.249498065948508</c:v>
                  </c:pt>
                  <c:pt idx="1">
                    <c:v>0.203744204131258</c:v>
                  </c:pt>
                  <c:pt idx="2">
                    <c:v>0.515746076821021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('BrdBdSpi-scaleEnv2-3.5'!$F$64,'BrdBdSpi-scaleEnv2-3.5'!$L$64,'BrdBdSpi-scaleEnv2-3.5'!$R$64)</c:f>
              <c:numCache>
                <c:formatCode>0.00</c:formatCode>
                <c:ptCount val="3"/>
                <c:pt idx="0">
                  <c:v>4.66922479358468</c:v>
                </c:pt>
                <c:pt idx="1">
                  <c:v>6.219707715733114</c:v>
                </c:pt>
                <c:pt idx="2">
                  <c:v>4.870678021130617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9E8-4979-B15E-AFC639550E58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('BrdBdSpi-scaleEnv2-3.5'!$F$69,'BrdBdSpi-scaleEnv2-3.5'!$L$69,'BrdBdSpi-scaleEnv2-3.5'!$R$69)</c:f>
                <c:numCache>
                  <c:formatCode>General</c:formatCode>
                  <c:ptCount val="3"/>
                  <c:pt idx="0">
                    <c:v>0.244528091466107</c:v>
                  </c:pt>
                  <c:pt idx="1">
                    <c:v>0.214200297984412</c:v>
                  </c:pt>
                  <c:pt idx="2">
                    <c:v>0.712367648987015</c:v>
                  </c:pt>
                </c:numCache>
              </c:numRef>
            </c:plus>
            <c:minus>
              <c:numRef>
                <c:f>('BrdBdSpi-scaleEnv2-3.5'!$F$69,'BrdBdSpi-scaleEnv2-3.5'!$L$69,'BrdBdSpi-scaleEnv2-3.5'!$R$69)</c:f>
                <c:numCache>
                  <c:formatCode>General</c:formatCode>
                  <c:ptCount val="3"/>
                  <c:pt idx="0">
                    <c:v>0.244528091466107</c:v>
                  </c:pt>
                  <c:pt idx="1">
                    <c:v>0.214200297984412</c:v>
                  </c:pt>
                  <c:pt idx="2">
                    <c:v>0.712367648987015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('BrdBdSpi-scaleEnv2-3.5'!$F$65,'BrdBdSpi-scaleEnv2-3.5'!$L$65,'BrdBdSpi-scaleEnv2-3.5'!$R$65)</c:f>
              <c:numCache>
                <c:formatCode>0.00</c:formatCode>
                <c:ptCount val="3"/>
                <c:pt idx="0">
                  <c:v>4.265617168666262</c:v>
                </c:pt>
                <c:pt idx="1">
                  <c:v>6.058449539399156</c:v>
                </c:pt>
                <c:pt idx="2">
                  <c:v>4.325077861332369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9E8-4979-B15E-AFC639550E58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('BrdBdSpi-scaleEnv2-3.5'!$F$70,'BrdBdSpi-scaleEnv2-3.5'!$L$70,'BrdBdSpi-scaleEnv2-3.5'!$R$70)</c:f>
                <c:numCache>
                  <c:formatCode>General</c:formatCode>
                  <c:ptCount val="3"/>
                  <c:pt idx="0">
                    <c:v>0.142905420698389</c:v>
                  </c:pt>
                  <c:pt idx="1">
                    <c:v>0.12284554588315</c:v>
                  </c:pt>
                  <c:pt idx="2">
                    <c:v>0.455201167195004</c:v>
                  </c:pt>
                </c:numCache>
              </c:numRef>
            </c:plus>
            <c:minus>
              <c:numRef>
                <c:f>('BrdBdSpi-scaleEnv2-3.5'!$F$70,'BrdBdSpi-scaleEnv2-3.5'!$L$70,'BrdBdSpi-scaleEnv2-3.5'!$R$70)</c:f>
                <c:numCache>
                  <c:formatCode>General</c:formatCode>
                  <c:ptCount val="3"/>
                  <c:pt idx="0">
                    <c:v>0.142905420698389</c:v>
                  </c:pt>
                  <c:pt idx="1">
                    <c:v>0.12284554588315</c:v>
                  </c:pt>
                  <c:pt idx="2">
                    <c:v>0.455201167195004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('BrdBdSpi-scaleEnv2-3.5'!$F$66,'BrdBdSpi-scaleEnv2-3.5'!$L$66,'BrdBdSpi-scaleEnv2-3.5'!$R$66)</c:f>
              <c:numCache>
                <c:formatCode>0.00</c:formatCode>
                <c:ptCount val="3"/>
                <c:pt idx="0">
                  <c:v>4.309766413397555</c:v>
                </c:pt>
                <c:pt idx="1">
                  <c:v>6.024287696541425</c:v>
                </c:pt>
                <c:pt idx="2">
                  <c:v>4.959478610550362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9E8-4979-B15E-AFC639550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7674720"/>
        <c:axId val="2055786384"/>
      </c:barChart>
      <c:catAx>
        <c:axId val="-20876747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55786384"/>
        <c:crosses val="autoZero"/>
        <c:auto val="1"/>
        <c:lblAlgn val="ctr"/>
        <c:lblOffset val="100"/>
        <c:noMultiLvlLbl val="0"/>
      </c:catAx>
      <c:valAx>
        <c:axId val="205578638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876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('BrdBdSpi-scaleEnv2-3.5'!$G$59,'BrdBdSpi-scaleEnv2-3.5'!$M$59,'BrdBdSpi-scaleEnv2-3.5'!$S$59)</c:f>
                <c:numCache>
                  <c:formatCode>General</c:formatCode>
                  <c:ptCount val="3"/>
                  <c:pt idx="0">
                    <c:v>0.0582319664496021</c:v>
                  </c:pt>
                  <c:pt idx="1">
                    <c:v>0.0165345536152785</c:v>
                  </c:pt>
                  <c:pt idx="2">
                    <c:v>0.0332256368637418</c:v>
                  </c:pt>
                </c:numCache>
              </c:numRef>
            </c:plus>
            <c:minus>
              <c:numRef>
                <c:f>('BrdBdSpi-scaleEnv2-3.5'!$G$59,'BrdBdSpi-scaleEnv2-3.5'!$M$59,'BrdBdSpi-scaleEnv2-3.5'!$S$59)</c:f>
                <c:numCache>
                  <c:formatCode>General</c:formatCode>
                  <c:ptCount val="3"/>
                  <c:pt idx="0">
                    <c:v>0.0582319664496021</c:v>
                  </c:pt>
                  <c:pt idx="1">
                    <c:v>0.0165345536152785</c:v>
                  </c:pt>
                  <c:pt idx="2">
                    <c:v>0.0332256368637418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('BrdBdSpi-scaleEnv2-3.5'!$G$55,'BrdBdSpi-scaleEnv2-3.5'!$M$55,'BrdBdSpi-scaleEnv2-3.5'!$S$55)</c:f>
              <c:numCache>
                <c:formatCode>0.00</c:formatCode>
                <c:ptCount val="3"/>
                <c:pt idx="0">
                  <c:v>10.72598311140302</c:v>
                </c:pt>
                <c:pt idx="1">
                  <c:v>10.14382983984756</c:v>
                </c:pt>
                <c:pt idx="2">
                  <c:v>11.16237494694516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A3-4483-B35A-5D580E659CEA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('BrdBdSpi-scaleEnv2-3.5'!$G$60,'BrdBdSpi-scaleEnv2-3.5'!$M$60,'BrdBdSpi-scaleEnv2-3.5'!$S$60)</c:f>
                <c:numCache>
                  <c:formatCode>General</c:formatCode>
                  <c:ptCount val="3"/>
                  <c:pt idx="0">
                    <c:v>0.0279858875042976</c:v>
                  </c:pt>
                  <c:pt idx="1">
                    <c:v>0.0317506800181724</c:v>
                  </c:pt>
                  <c:pt idx="2">
                    <c:v>0.0312410926492346</c:v>
                  </c:pt>
                </c:numCache>
              </c:numRef>
            </c:plus>
            <c:minus>
              <c:numRef>
                <c:f>('BrdBdSpi-scaleEnv2-3.5'!$G$60,'BrdBdSpi-scaleEnv2-3.5'!$M$60,'BrdBdSpi-scaleEnv2-3.5'!$S$60)</c:f>
                <c:numCache>
                  <c:formatCode>General</c:formatCode>
                  <c:ptCount val="3"/>
                  <c:pt idx="0">
                    <c:v>0.0279858875042976</c:v>
                  </c:pt>
                  <c:pt idx="1">
                    <c:v>0.0317506800181724</c:v>
                  </c:pt>
                  <c:pt idx="2">
                    <c:v>0.0312410926492346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('BrdBdSpi-scaleEnv2-3.5'!$G$56,'BrdBdSpi-scaleEnv2-3.5'!$M$56,'BrdBdSpi-scaleEnv2-3.5'!$S$56)</c:f>
              <c:numCache>
                <c:formatCode>0.00</c:formatCode>
                <c:ptCount val="3"/>
                <c:pt idx="0">
                  <c:v>10.80897537163912</c:v>
                </c:pt>
                <c:pt idx="1">
                  <c:v>10.14206369886921</c:v>
                </c:pt>
                <c:pt idx="2">
                  <c:v>11.14879199967689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A3-4483-B35A-5D580E659CEA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('BrdBdSpi-scaleEnv2-3.5'!$G$61,'BrdBdSpi-scaleEnv2-3.5'!$M$61,'BrdBdSpi-scaleEnv2-3.5'!$S$61)</c:f>
                <c:numCache>
                  <c:formatCode>General</c:formatCode>
                  <c:ptCount val="3"/>
                  <c:pt idx="0">
                    <c:v>0.0455127965408074</c:v>
                  </c:pt>
                  <c:pt idx="1">
                    <c:v>0.0403371662726078</c:v>
                  </c:pt>
                  <c:pt idx="2">
                    <c:v>0.133141492751518</c:v>
                  </c:pt>
                </c:numCache>
              </c:numRef>
            </c:plus>
            <c:minus>
              <c:numRef>
                <c:f>('BrdBdSpi-scaleEnv2-3.5'!$G$61,'BrdBdSpi-scaleEnv2-3.5'!$M$61,'BrdBdSpi-scaleEnv2-3.5'!$S$61)</c:f>
                <c:numCache>
                  <c:formatCode>General</c:formatCode>
                  <c:ptCount val="3"/>
                  <c:pt idx="0">
                    <c:v>0.0455127965408074</c:v>
                  </c:pt>
                  <c:pt idx="1">
                    <c:v>0.0403371662726078</c:v>
                  </c:pt>
                  <c:pt idx="2">
                    <c:v>0.133141492751518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('BrdBdSpi-scaleEnv2-3.5'!$G$57,'BrdBdSpi-scaleEnv2-3.5'!$M$57,'BrdBdSpi-scaleEnv2-3.5'!$S$57)</c:f>
              <c:numCache>
                <c:formatCode>0.00</c:formatCode>
                <c:ptCount val="3"/>
                <c:pt idx="0">
                  <c:v>10.9412680664209</c:v>
                </c:pt>
                <c:pt idx="1">
                  <c:v>10.1178839581375</c:v>
                </c:pt>
                <c:pt idx="2">
                  <c:v>11.04312682472638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5A3-4483-B35A-5D580E65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7391696"/>
        <c:axId val="-2062848576"/>
      </c:barChart>
      <c:catAx>
        <c:axId val="-208739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2848576"/>
        <c:crosses val="autoZero"/>
        <c:auto val="1"/>
        <c:lblAlgn val="ctr"/>
        <c:lblOffset val="100"/>
        <c:noMultiLvlLbl val="0"/>
      </c:catAx>
      <c:valAx>
        <c:axId val="-2062848576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crossAx val="-208739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('BrdBdSpi-scaleEnv2-3.5'!$G$68,'BrdBdSpi-scaleEnv2-3.5'!$M$68,'BrdBdSpi-scaleEnv2-3.5'!$S$68)</c:f>
                <c:numCache>
                  <c:formatCode>General</c:formatCode>
                  <c:ptCount val="3"/>
                  <c:pt idx="0">
                    <c:v>0.108511376614399</c:v>
                  </c:pt>
                  <c:pt idx="1">
                    <c:v>0.0202158931987326</c:v>
                  </c:pt>
                  <c:pt idx="2">
                    <c:v>0.0418117515912307</c:v>
                  </c:pt>
                </c:numCache>
              </c:numRef>
            </c:plus>
            <c:minus>
              <c:numRef>
                <c:f>('BrdBdSpi-scaleEnv2-3.5'!$G$68,'BrdBdSpi-scaleEnv2-3.5'!$M$68,'BrdBdSpi-scaleEnv2-3.5'!$S$68)</c:f>
                <c:numCache>
                  <c:formatCode>General</c:formatCode>
                  <c:ptCount val="3"/>
                  <c:pt idx="0">
                    <c:v>0.108511376614399</c:v>
                  </c:pt>
                  <c:pt idx="1">
                    <c:v>0.0202158931987326</c:v>
                  </c:pt>
                  <c:pt idx="2">
                    <c:v>0.0418117515912307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('BrdBdSpi-scaleEnv2-3.5'!$G$64,'BrdBdSpi-scaleEnv2-3.5'!$M$64,'BrdBdSpi-scaleEnv2-3.5'!$S$64)</c:f>
              <c:numCache>
                <c:formatCode>0.00</c:formatCode>
                <c:ptCount val="3"/>
                <c:pt idx="0">
                  <c:v>10.65899114432416</c:v>
                </c:pt>
                <c:pt idx="1">
                  <c:v>10.14057935171151</c:v>
                </c:pt>
                <c:pt idx="2">
                  <c:v>11.22420808547328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2F-48C3-BC51-67745FB54D87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('BrdBdSpi-scaleEnv2-3.5'!$G$69,'BrdBdSpi-scaleEnv2-3.5'!$M$69,'BrdBdSpi-scaleEnv2-3.5'!$S$69)</c:f>
                <c:numCache>
                  <c:formatCode>General</c:formatCode>
                  <c:ptCount val="3"/>
                  <c:pt idx="0">
                    <c:v>0.109819217323247</c:v>
                  </c:pt>
                  <c:pt idx="1">
                    <c:v>0.0326939105721366</c:v>
                  </c:pt>
                  <c:pt idx="2">
                    <c:v>0.0423861850072742</c:v>
                  </c:pt>
                </c:numCache>
              </c:numRef>
            </c:plus>
            <c:minus>
              <c:numRef>
                <c:f>('BrdBdSpi-scaleEnv2-3.5'!$G$69,'BrdBdSpi-scaleEnv2-3.5'!$M$69,'BrdBdSpi-scaleEnv2-3.5'!$S$69)</c:f>
                <c:numCache>
                  <c:formatCode>General</c:formatCode>
                  <c:ptCount val="3"/>
                  <c:pt idx="0">
                    <c:v>0.109819217323247</c:v>
                  </c:pt>
                  <c:pt idx="1">
                    <c:v>0.0326939105721366</c:v>
                  </c:pt>
                  <c:pt idx="2">
                    <c:v>0.0423861850072742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('BrdBdSpi-scaleEnv2-3.5'!$G$65,'BrdBdSpi-scaleEnv2-3.5'!$M$65,'BrdBdSpi-scaleEnv2-3.5'!$S$65)</c:f>
              <c:numCache>
                <c:formatCode>0.00</c:formatCode>
                <c:ptCount val="3"/>
                <c:pt idx="0">
                  <c:v>10.6403087077723</c:v>
                </c:pt>
                <c:pt idx="1">
                  <c:v>10.19788065825818</c:v>
                </c:pt>
                <c:pt idx="2">
                  <c:v>11.28912764709092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A2F-48C3-BC51-67745FB54D87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('BrdBdSpi-scaleEnv2-3.5'!$G$70,'BrdBdSpi-scaleEnv2-3.5'!$M$70,'BrdBdSpi-scaleEnv2-3.5'!$S$70)</c:f>
                <c:numCache>
                  <c:formatCode>General</c:formatCode>
                  <c:ptCount val="3"/>
                  <c:pt idx="0">
                    <c:v>0.048580679186571</c:v>
                  </c:pt>
                  <c:pt idx="1">
                    <c:v>0.0343022203972385</c:v>
                  </c:pt>
                  <c:pt idx="2">
                    <c:v>0.0443456169831668</c:v>
                  </c:pt>
                </c:numCache>
              </c:numRef>
            </c:plus>
            <c:minus>
              <c:numRef>
                <c:f>('BrdBdSpi-scaleEnv2-3.5'!$G$70,'BrdBdSpi-scaleEnv2-3.5'!$M$70,'BrdBdSpi-scaleEnv2-3.5'!$S$70)</c:f>
                <c:numCache>
                  <c:formatCode>General</c:formatCode>
                  <c:ptCount val="3"/>
                  <c:pt idx="0">
                    <c:v>0.048580679186571</c:v>
                  </c:pt>
                  <c:pt idx="1">
                    <c:v>0.0343022203972385</c:v>
                  </c:pt>
                  <c:pt idx="2">
                    <c:v>0.0443456169831668</c:v>
                  </c:pt>
                </c:numCache>
              </c:numRef>
            </c:minus>
          </c:errBars>
          <c:val>
            <c:numRef>
              <c:f>('BrdBdSpi-scaleEnv2-3.5'!$G$66,'BrdBdSpi-scaleEnv2-3.5'!$M$66,'BrdBdSpi-scaleEnv2-3.5'!$S$66)</c:f>
              <c:numCache>
                <c:formatCode>0.00</c:formatCode>
                <c:ptCount val="3"/>
                <c:pt idx="0">
                  <c:v>10.68015472849559</c:v>
                </c:pt>
                <c:pt idx="1">
                  <c:v>10.10678318721373</c:v>
                </c:pt>
                <c:pt idx="2">
                  <c:v>11.22916396041987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A2F-48C3-BC51-67745FB54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8131936"/>
        <c:axId val="-2058128912"/>
      </c:barChart>
      <c:catAx>
        <c:axId val="-205813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8128912"/>
        <c:crosses val="autoZero"/>
        <c:auto val="1"/>
        <c:lblAlgn val="ctr"/>
        <c:lblOffset val="100"/>
        <c:noMultiLvlLbl val="0"/>
      </c:catAx>
      <c:valAx>
        <c:axId val="-2058128912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crossAx val="-205813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('BrdBdSpi-scaleEnv2-3.5'!$H$59,'BrdBdSpi-scaleEnv2-3.5'!$N$59,'BrdBdSpi-scaleEnv2-3.5'!$T$59)</c:f>
                <c:numCache>
                  <c:formatCode>General</c:formatCode>
                  <c:ptCount val="3"/>
                  <c:pt idx="0">
                    <c:v>61.62327171799428</c:v>
                  </c:pt>
                  <c:pt idx="1">
                    <c:v>51.7783413566687</c:v>
                  </c:pt>
                  <c:pt idx="2">
                    <c:v>58.12869554035046</c:v>
                  </c:pt>
                </c:numCache>
              </c:numRef>
            </c:plus>
            <c:minus>
              <c:numRef>
                <c:f>('BrdBdSpi-scaleEnv2-3.5'!$H$59,'BrdBdSpi-scaleEnv2-3.5'!$N$59,'BrdBdSpi-scaleEnv2-3.5'!$T$59)</c:f>
                <c:numCache>
                  <c:formatCode>General</c:formatCode>
                  <c:ptCount val="3"/>
                  <c:pt idx="0">
                    <c:v>61.62327171799428</c:v>
                  </c:pt>
                  <c:pt idx="1">
                    <c:v>51.7783413566687</c:v>
                  </c:pt>
                  <c:pt idx="2">
                    <c:v>58.12869554035046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('BrdBdSpi-scaleEnv2-3.5'!$H$55,'BrdBdSpi-scaleEnv2-3.5'!$N$55,'BrdBdSpi-scaleEnv2-3.5'!$T$55)</c:f>
              <c:numCache>
                <c:formatCode>0\.0</c:formatCode>
                <c:ptCount val="3"/>
                <c:pt idx="0">
                  <c:v>1114.176548152951</c:v>
                </c:pt>
                <c:pt idx="1">
                  <c:v>699.1060795618377</c:v>
                </c:pt>
                <c:pt idx="2">
                  <c:v>317.1282342369777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BD-4EB7-A664-CDD31BE4DBE8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('BrdBdSpi-scaleEnv2-3.5'!$H$60,'BrdBdSpi-scaleEnv2-3.5'!$N$60,'BrdBdSpi-scaleEnv2-3.5'!$T$60)</c:f>
                <c:numCache>
                  <c:formatCode>General</c:formatCode>
                  <c:ptCount val="3"/>
                  <c:pt idx="0">
                    <c:v>83.51999789155832</c:v>
                  </c:pt>
                  <c:pt idx="1">
                    <c:v>57.00494143201593</c:v>
                  </c:pt>
                  <c:pt idx="2">
                    <c:v>17.76556007223014</c:v>
                  </c:pt>
                </c:numCache>
              </c:numRef>
            </c:plus>
            <c:minus>
              <c:numRef>
                <c:f>('BrdBdSpi-scaleEnv2-3.5'!$H$60,'BrdBdSpi-scaleEnv2-3.5'!$N$60,'BrdBdSpi-scaleEnv2-3.5'!$T$60)</c:f>
                <c:numCache>
                  <c:formatCode>General</c:formatCode>
                  <c:ptCount val="3"/>
                  <c:pt idx="0">
                    <c:v>83.51999789155832</c:v>
                  </c:pt>
                  <c:pt idx="1">
                    <c:v>57.00494143201593</c:v>
                  </c:pt>
                  <c:pt idx="2">
                    <c:v>17.76556007223014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('BrdBdSpi-scaleEnv2-3.5'!$H$56,'BrdBdSpi-scaleEnv2-3.5'!$N$56,'BrdBdSpi-scaleEnv2-3.5'!$T$56)</c:f>
              <c:numCache>
                <c:formatCode>0\.0</c:formatCode>
                <c:ptCount val="3"/>
                <c:pt idx="0">
                  <c:v>967.7592226728138</c:v>
                </c:pt>
                <c:pt idx="1">
                  <c:v>531.6772703770908</c:v>
                </c:pt>
                <c:pt idx="2">
                  <c:v>197.8748071213288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3BD-4EB7-A664-CDD31BE4DBE8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('BrdBdSpi-scaleEnv2-3.5'!$H$61,'BrdBdSpi-scaleEnv2-3.5'!$N$61,'BrdBdSpi-scaleEnv2-3.5'!$T$61)</c:f>
                <c:numCache>
                  <c:formatCode>General</c:formatCode>
                  <c:ptCount val="3"/>
                  <c:pt idx="0">
                    <c:v>53.39316443142451</c:v>
                  </c:pt>
                  <c:pt idx="1">
                    <c:v>45.54848726948739</c:v>
                  </c:pt>
                  <c:pt idx="2">
                    <c:v>35.20155460479439</c:v>
                  </c:pt>
                </c:numCache>
              </c:numRef>
            </c:plus>
            <c:minus>
              <c:numRef>
                <c:f>('BrdBdSpi-scaleEnv2-3.5'!$H$61,'BrdBdSpi-scaleEnv2-3.5'!$N$61,'BrdBdSpi-scaleEnv2-3.5'!$T$61)</c:f>
                <c:numCache>
                  <c:formatCode>General</c:formatCode>
                  <c:ptCount val="3"/>
                  <c:pt idx="0">
                    <c:v>53.39316443142451</c:v>
                  </c:pt>
                  <c:pt idx="1">
                    <c:v>45.54848726948739</c:v>
                  </c:pt>
                  <c:pt idx="2">
                    <c:v>35.20155460479439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('BrdBdSpi-scaleEnv2-3.5'!$H$57,'BrdBdSpi-scaleEnv2-3.5'!$N$57,'BrdBdSpi-scaleEnv2-3.5'!$T$57)</c:f>
              <c:numCache>
                <c:formatCode>0\.0</c:formatCode>
                <c:ptCount val="3"/>
                <c:pt idx="0">
                  <c:v>1185.806449380526</c:v>
                </c:pt>
                <c:pt idx="1">
                  <c:v>541.0157393628442</c:v>
                </c:pt>
                <c:pt idx="2">
                  <c:v>205.4085720224572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3BD-4EB7-A664-CDD31BE4D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5979248"/>
        <c:axId val="-2055976368"/>
      </c:barChart>
      <c:catAx>
        <c:axId val="-2055979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5976368"/>
        <c:crosses val="autoZero"/>
        <c:auto val="1"/>
        <c:lblAlgn val="ctr"/>
        <c:lblOffset val="100"/>
        <c:noMultiLvlLbl val="0"/>
      </c:catAx>
      <c:valAx>
        <c:axId val="-205597636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597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('BrdBdSpi-scaleEnv2-3.5'!$H$68,'BrdBdSpi-scaleEnv2-3.5'!$N$68,'BrdBdSpi-scaleEnv2-3.5'!$T$68)</c:f>
                <c:numCache>
                  <c:formatCode>General</c:formatCode>
                  <c:ptCount val="3"/>
                  <c:pt idx="0">
                    <c:v>75.9804828455689</c:v>
                  </c:pt>
                  <c:pt idx="1">
                    <c:v>25.75253756524602</c:v>
                  </c:pt>
                  <c:pt idx="2">
                    <c:v>53.04013534795627</c:v>
                  </c:pt>
                </c:numCache>
              </c:numRef>
            </c:plus>
            <c:minus>
              <c:numRef>
                <c:f>('BrdBdSpi-scaleEnv2-3.5'!$H$68,'BrdBdSpi-scaleEnv2-3.5'!$N$68,'BrdBdSpi-scaleEnv2-3.5'!$T$68)</c:f>
                <c:numCache>
                  <c:formatCode>General</c:formatCode>
                  <c:ptCount val="3"/>
                  <c:pt idx="0">
                    <c:v>75.9804828455689</c:v>
                  </c:pt>
                  <c:pt idx="1">
                    <c:v>25.75253756524602</c:v>
                  </c:pt>
                  <c:pt idx="2">
                    <c:v>53.04013534795627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('BrdBdSpi-scaleEnv2-3.5'!$H$64,'BrdBdSpi-scaleEnv2-3.5'!$N$64,'BrdBdSpi-scaleEnv2-3.5'!$T$64)</c:f>
              <c:numCache>
                <c:formatCode>0\.0</c:formatCode>
                <c:ptCount val="3"/>
                <c:pt idx="0">
                  <c:v>1463.347406156746</c:v>
                </c:pt>
                <c:pt idx="1">
                  <c:v>679.2801168061447</c:v>
                </c:pt>
                <c:pt idx="2">
                  <c:v>245.6844218678993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B3-4EA1-9D0F-0792D88018AF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('BrdBdSpi-scaleEnv2-3.5'!$H$69,'BrdBdSpi-scaleEnv2-3.5'!$N$69,'BrdBdSpi-scaleEnv2-3.5'!$T$69)</c:f>
                <c:numCache>
                  <c:formatCode>General</c:formatCode>
                  <c:ptCount val="3"/>
                  <c:pt idx="0">
                    <c:v>48.29407141525697</c:v>
                  </c:pt>
                  <c:pt idx="1">
                    <c:v>67.32983982813288</c:v>
                  </c:pt>
                  <c:pt idx="2">
                    <c:v>45.08239759053843</c:v>
                  </c:pt>
                </c:numCache>
              </c:numRef>
            </c:plus>
            <c:minus>
              <c:numRef>
                <c:f>('BrdBdSpi-scaleEnv2-3.5'!$H$69,'BrdBdSpi-scaleEnv2-3.5'!$N$69,'BrdBdSpi-scaleEnv2-3.5'!$T$69)</c:f>
                <c:numCache>
                  <c:formatCode>General</c:formatCode>
                  <c:ptCount val="3"/>
                  <c:pt idx="0">
                    <c:v>48.29407141525697</c:v>
                  </c:pt>
                  <c:pt idx="1">
                    <c:v>67.32983982813288</c:v>
                  </c:pt>
                  <c:pt idx="2">
                    <c:v>45.08239759053843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('BrdBdSpi-scaleEnv2-3.5'!$H$65,'BrdBdSpi-scaleEnv2-3.5'!$N$65,'BrdBdSpi-scaleEnv2-3.5'!$T$65)</c:f>
              <c:numCache>
                <c:formatCode>0\.0</c:formatCode>
                <c:ptCount val="3"/>
                <c:pt idx="0">
                  <c:v>1057.975266702948</c:v>
                </c:pt>
                <c:pt idx="1">
                  <c:v>476.519450290695</c:v>
                </c:pt>
                <c:pt idx="2">
                  <c:v>175.2792452393699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5B3-4EA1-9D0F-0792D88018AF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('BrdBdSpi-scaleEnv2-3.5'!$H$70,'BrdBdSpi-scaleEnv2-3.5'!$N$70,'BrdBdSpi-scaleEnv2-3.5'!$T$70)</c:f>
                <c:numCache>
                  <c:formatCode>General</c:formatCode>
                  <c:ptCount val="3"/>
                  <c:pt idx="0">
                    <c:v>60.49740745319284</c:v>
                  </c:pt>
                  <c:pt idx="1">
                    <c:v>54.82209915852555</c:v>
                  </c:pt>
                  <c:pt idx="2">
                    <c:v>32.06720735169414</c:v>
                  </c:pt>
                </c:numCache>
              </c:numRef>
            </c:plus>
            <c:minus>
              <c:numRef>
                <c:f>('BrdBdSpi-scaleEnv2-3.5'!$H$70,'BrdBdSpi-scaleEnv2-3.5'!$N$70,'BrdBdSpi-scaleEnv2-3.5'!$T$70)</c:f>
                <c:numCache>
                  <c:formatCode>General</c:formatCode>
                  <c:ptCount val="3"/>
                  <c:pt idx="0">
                    <c:v>60.49740745319284</c:v>
                  </c:pt>
                  <c:pt idx="1">
                    <c:v>54.82209915852555</c:v>
                  </c:pt>
                  <c:pt idx="2">
                    <c:v>32.06720735169414</c:v>
                  </c:pt>
                </c:numCache>
              </c:numRef>
            </c:minus>
          </c:errBars>
          <c:val>
            <c:numRef>
              <c:f>('BrdBdSpi-scaleEnv2-3.5'!$H$66,'BrdBdSpi-scaleEnv2-3.5'!$N$66,'BrdBdSpi-scaleEnv2-3.5'!$T$66)</c:f>
              <c:numCache>
                <c:formatCode>0\.0</c:formatCode>
                <c:ptCount val="3"/>
                <c:pt idx="0">
                  <c:v>1209.009308398917</c:v>
                </c:pt>
                <c:pt idx="1">
                  <c:v>688.3450525163473</c:v>
                </c:pt>
                <c:pt idx="2">
                  <c:v>193.8543468935225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5B3-4EA1-9D0F-0792D8801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2368640"/>
        <c:axId val="-2057890896"/>
      </c:barChart>
      <c:catAx>
        <c:axId val="-206236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57890896"/>
        <c:crosses val="autoZero"/>
        <c:auto val="1"/>
        <c:lblAlgn val="ctr"/>
        <c:lblOffset val="100"/>
        <c:noMultiLvlLbl val="0"/>
      </c:catAx>
      <c:valAx>
        <c:axId val="-205789089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6236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'BrdBdSpi-scaleEnv2-3.5'!$V$59:$X$59</c:f>
                <c:numCache>
                  <c:formatCode>General</c:formatCode>
                  <c:ptCount val="3"/>
                  <c:pt idx="0">
                    <c:v>48.18675425543484</c:v>
                  </c:pt>
                  <c:pt idx="1">
                    <c:v>54.34631597071075</c:v>
                  </c:pt>
                  <c:pt idx="2">
                    <c:v>64.99417997201436</c:v>
                  </c:pt>
                </c:numCache>
              </c:numRef>
            </c:plus>
            <c:minus>
              <c:numRef>
                <c:f>'BrdBdSpi-scaleEnv2-3.5'!$V$59:$X$59</c:f>
                <c:numCache>
                  <c:formatCode>General</c:formatCode>
                  <c:ptCount val="3"/>
                  <c:pt idx="0">
                    <c:v>48.18675425543484</c:v>
                  </c:pt>
                  <c:pt idx="1">
                    <c:v>54.34631597071075</c:v>
                  </c:pt>
                  <c:pt idx="2">
                    <c:v>64.99417997201436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'BrdBdSpi-scaleEnv2-3.5'!$V$55:$X$55</c:f>
              <c:numCache>
                <c:formatCode>0\.0</c:formatCode>
                <c:ptCount val="3"/>
                <c:pt idx="0">
                  <c:v>979.754274620816</c:v>
                </c:pt>
                <c:pt idx="1">
                  <c:v>764.9072177776574</c:v>
                </c:pt>
                <c:pt idx="2">
                  <c:v>358.5514694999435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B96-46F2-B4BF-B45238F9BB21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'BrdBdSpi-scaleEnv2-3.5'!$V$60:$X$60</c:f>
                <c:numCache>
                  <c:formatCode>General</c:formatCode>
                  <c:ptCount val="3"/>
                  <c:pt idx="0">
                    <c:v>64.40713671864428</c:v>
                  </c:pt>
                  <c:pt idx="1">
                    <c:v>62.78436733726263</c:v>
                  </c:pt>
                  <c:pt idx="2">
                    <c:v>19.74852884005235</c:v>
                  </c:pt>
                </c:numCache>
              </c:numRef>
            </c:plus>
            <c:minus>
              <c:numRef>
                <c:f>'BrdBdSpi-scaleEnv2-3.5'!$V$60:$X$60</c:f>
                <c:numCache>
                  <c:formatCode>General</c:formatCode>
                  <c:ptCount val="3"/>
                  <c:pt idx="0">
                    <c:v>64.40713671864428</c:v>
                  </c:pt>
                  <c:pt idx="1">
                    <c:v>62.78436733726263</c:v>
                  </c:pt>
                  <c:pt idx="2">
                    <c:v>19.74852884005235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'BrdBdSpi-scaleEnv2-3.5'!$V$56:$X$56</c:f>
              <c:numCache>
                <c:formatCode>0\.0</c:formatCode>
                <c:ptCount val="3"/>
                <c:pt idx="0">
                  <c:v>839.1743319031988</c:v>
                </c:pt>
                <c:pt idx="1">
                  <c:v>582.0231322419076</c:v>
                </c:pt>
                <c:pt idx="2">
                  <c:v>228.1103319403171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B96-46F2-B4BF-B45238F9BB21}"/>
            </c:ext>
          </c:extLst>
        </c:ser>
        <c:ser>
          <c:idx val="2"/>
          <c:order val="2"/>
          <c:tx>
            <c:v>NoStim-FC</c:v>
          </c:tx>
          <c:invertIfNegative val="0"/>
          <c:errBars>
            <c:errBarType val="both"/>
            <c:errValType val="cust"/>
            <c:noEndCap val="0"/>
            <c:plus>
              <c:numRef>
                <c:f>'BrdBdSpi-scaleEnv2-3.5'!$V$61:$X$61</c:f>
                <c:numCache>
                  <c:formatCode>General</c:formatCode>
                  <c:ptCount val="3"/>
                  <c:pt idx="0">
                    <c:v>43.88037033541136</c:v>
                  </c:pt>
                  <c:pt idx="1">
                    <c:v>44.6891786404137</c:v>
                  </c:pt>
                  <c:pt idx="2">
                    <c:v>38.53327619472046</c:v>
                  </c:pt>
                </c:numCache>
              </c:numRef>
            </c:plus>
            <c:minus>
              <c:numRef>
                <c:f>'BrdBdSpi-scaleEnv2-3.5'!$V$61:$X$61</c:f>
                <c:numCache>
                  <c:formatCode>General</c:formatCode>
                  <c:ptCount val="3"/>
                  <c:pt idx="0">
                    <c:v>43.88037033541136</c:v>
                  </c:pt>
                  <c:pt idx="1">
                    <c:v>44.6891786404137</c:v>
                  </c:pt>
                  <c:pt idx="2">
                    <c:v>38.53327619472046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'BrdBdSpi-scaleEnv2-3.5'!$V$57:$X$57</c:f>
              <c:numCache>
                <c:formatCode>0\.0</c:formatCode>
                <c:ptCount val="3"/>
                <c:pt idx="0">
                  <c:v>985.217084557981</c:v>
                </c:pt>
                <c:pt idx="1">
                  <c:v>587.0847206825422</c:v>
                </c:pt>
                <c:pt idx="2">
                  <c:v>262.5022758955243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B96-46F2-B4BF-B45238F9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57595232"/>
        <c:axId val="-2089439360"/>
      </c:barChart>
      <c:catAx>
        <c:axId val="-205759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89439360"/>
        <c:crosses val="autoZero"/>
        <c:auto val="1"/>
        <c:lblAlgn val="ctr"/>
        <c:lblOffset val="100"/>
        <c:noMultiLvlLbl val="0"/>
      </c:catAx>
      <c:valAx>
        <c:axId val="-208943936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575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7973097112861"/>
          <c:y val="0.00405365995917178"/>
          <c:w val="0.522026902887139"/>
          <c:h val="0.0705960192475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252405949256"/>
          <c:y val="0.0514005540974045"/>
          <c:w val="0.820609580052493"/>
          <c:h val="0.807123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v>IN-ARC</c:v>
          </c:tx>
          <c:invertIfNegative val="0"/>
          <c:errBars>
            <c:errBarType val="both"/>
            <c:errValType val="cust"/>
            <c:noEndCap val="0"/>
            <c:plus>
              <c:numRef>
                <c:f>'BrdBdSpi-scaleEnv2-3.5'!$V$68:$X$68</c:f>
                <c:numCache>
                  <c:formatCode>General</c:formatCode>
                  <c:ptCount val="3"/>
                  <c:pt idx="0">
                    <c:v>75.753070687942</c:v>
                  </c:pt>
                  <c:pt idx="1">
                    <c:v>29.55888341705072</c:v>
                  </c:pt>
                  <c:pt idx="2">
                    <c:v>60.63360551338385</c:v>
                  </c:pt>
                </c:numCache>
              </c:numRef>
            </c:plus>
            <c:minus>
              <c:numRef>
                <c:f>'BrdBdSpi-scaleEnv2-3.5'!$V$68:$X$68</c:f>
                <c:numCache>
                  <c:formatCode>General</c:formatCode>
                  <c:ptCount val="3"/>
                  <c:pt idx="0">
                    <c:v>75.753070687942</c:v>
                  </c:pt>
                  <c:pt idx="1">
                    <c:v>29.55888341705072</c:v>
                  </c:pt>
                  <c:pt idx="2">
                    <c:v>60.63360551338385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'BrdBdSpi-scaleEnv2-3.5'!$V$64:$X$64</c:f>
              <c:numCache>
                <c:formatCode>0\.0</c:formatCode>
                <c:ptCount val="3"/>
                <c:pt idx="0">
                  <c:v>1342.77122174714</c:v>
                </c:pt>
                <c:pt idx="1">
                  <c:v>748.829343023741</c:v>
                </c:pt>
                <c:pt idx="2">
                  <c:v>280.4200457407946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B89-4D1B-9BFC-FF4BB4922EA1}"/>
            </c:ext>
          </c:extLst>
        </c:ser>
        <c:ser>
          <c:idx val="2"/>
          <c:order val="1"/>
          <c:tx>
            <c:v>OUT-ARC</c:v>
          </c:tx>
          <c:spPr>
            <a:solidFill>
              <a:schemeClr val="accent2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'BrdBdSpi-scaleEnv2-3.5'!$V$69:$X$69</c:f>
                <c:numCache>
                  <c:formatCode>General</c:formatCode>
                  <c:ptCount val="3"/>
                  <c:pt idx="0">
                    <c:v>77.75434225155062</c:v>
                  </c:pt>
                  <c:pt idx="1">
                    <c:v>74.48926811769516</c:v>
                  </c:pt>
                  <c:pt idx="2">
                    <c:v>50.82889702502061</c:v>
                  </c:pt>
                </c:numCache>
              </c:numRef>
            </c:plus>
            <c:minus>
              <c:numRef>
                <c:f>'BrdBdSpi-scaleEnv2-3.5'!$V$69:$X$69</c:f>
                <c:numCache>
                  <c:formatCode>General</c:formatCode>
                  <c:ptCount val="3"/>
                  <c:pt idx="0">
                    <c:v>77.75434225155062</c:v>
                  </c:pt>
                  <c:pt idx="1">
                    <c:v>74.48926811769516</c:v>
                  </c:pt>
                  <c:pt idx="2">
                    <c:v>50.82889702502061</c:v>
                  </c:pt>
                </c:numCache>
              </c:numRef>
            </c:minus>
          </c:errBars>
          <c:cat>
            <c:strLit>
              <c:ptCount val="3"/>
              <c:pt idx="0">
                <c:v>FOR</c:v>
              </c:pt>
              <c:pt idx="1">
                <c:v>PAR</c:v>
              </c:pt>
              <c:pt idx="2">
                <c:v>CA1</c:v>
              </c:pt>
            </c:strLit>
          </c:cat>
          <c:val>
            <c:numRef>
              <c:f>'BrdBdSpi-scaleEnv2-3.5'!$V$65:$X$65</c:f>
              <c:numCache>
                <c:formatCode>0\.0</c:formatCode>
                <c:ptCount val="3"/>
                <c:pt idx="0">
                  <c:v>949.2890157044503</c:v>
                </c:pt>
                <c:pt idx="1">
                  <c:v>524.120531863503</c:v>
                </c:pt>
                <c:pt idx="2">
                  <c:v>200.0631230339842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B89-4D1B-9BFC-FF4BB4922EA1}"/>
            </c:ext>
          </c:extLst>
        </c:ser>
        <c:ser>
          <c:idx val="3"/>
          <c:order val="2"/>
          <c:tx>
            <c:v>NoStim-cre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'BrdBdSpi-scaleEnv2-3.5'!$V$70:$X$70</c:f>
                <c:numCache>
                  <c:formatCode>General</c:formatCode>
                  <c:ptCount val="3"/>
                  <c:pt idx="0">
                    <c:v>40.8931158322954</c:v>
                  </c:pt>
                  <c:pt idx="1">
                    <c:v>56.0789108110843</c:v>
                  </c:pt>
                  <c:pt idx="2">
                    <c:v>38.22539674316125</c:v>
                  </c:pt>
                </c:numCache>
              </c:numRef>
            </c:plus>
            <c:minus>
              <c:numRef>
                <c:f>'BrdBdSpi-scaleEnv2-3.5'!$V$70:$X$70</c:f>
                <c:numCache>
                  <c:formatCode>General</c:formatCode>
                  <c:ptCount val="3"/>
                  <c:pt idx="0">
                    <c:v>40.8931158322954</c:v>
                  </c:pt>
                  <c:pt idx="1">
                    <c:v>56.0789108110843</c:v>
                  </c:pt>
                  <c:pt idx="2">
                    <c:v>38.22539674316125</c:v>
                  </c:pt>
                </c:numCache>
              </c:numRef>
            </c:minus>
          </c:errBars>
          <c:val>
            <c:numRef>
              <c:f>'BrdBdSpi-scaleEnv2-3.5'!$V$66:$X$66</c:f>
              <c:numCache>
                <c:formatCode>0\.0</c:formatCode>
                <c:ptCount val="3"/>
                <c:pt idx="0">
                  <c:v>1095.958766265483</c:v>
                </c:pt>
                <c:pt idx="1">
                  <c:v>742.9145423428356</c:v>
                </c:pt>
                <c:pt idx="2">
                  <c:v>217.8405290163754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B89-4D1B-9BFC-FF4BB492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1845632"/>
        <c:axId val="-2062405488"/>
      </c:barChart>
      <c:catAx>
        <c:axId val="-2081845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2405488"/>
        <c:crosses val="autoZero"/>
        <c:auto val="1"/>
        <c:lblAlgn val="ctr"/>
        <c:lblOffset val="100"/>
        <c:noMultiLvlLbl val="0"/>
      </c:catAx>
      <c:valAx>
        <c:axId val="-206240548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818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306430446194"/>
          <c:y val="0.00405365995917178"/>
          <c:w val="0.613693569553806"/>
          <c:h val="0.066350247885680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23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<Relationship Id="rId10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74</xdr:row>
      <xdr:rowOff>0</xdr:rowOff>
    </xdr:from>
    <xdr:to>
      <xdr:col>8</xdr:col>
      <xdr:colOff>178575</xdr:colOff>
      <xdr:row>83</xdr:row>
      <xdr:rowOff>85500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74</xdr:row>
      <xdr:rowOff>0</xdr:rowOff>
    </xdr:from>
    <xdr:to>
      <xdr:col>15</xdr:col>
      <xdr:colOff>7125</xdr:colOff>
      <xdr:row>83</xdr:row>
      <xdr:rowOff>85500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85</xdr:row>
      <xdr:rowOff>0</xdr:rowOff>
    </xdr:from>
    <xdr:to>
      <xdr:col>8</xdr:col>
      <xdr:colOff>178575</xdr:colOff>
      <xdr:row>94</xdr:row>
      <xdr:rowOff>85500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15</xdr:col>
      <xdr:colOff>7125</xdr:colOff>
      <xdr:row>94</xdr:row>
      <xdr:rowOff>85500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96</xdr:row>
      <xdr:rowOff>0</xdr:rowOff>
    </xdr:from>
    <xdr:to>
      <xdr:col>8</xdr:col>
      <xdr:colOff>178575</xdr:colOff>
      <xdr:row>105</xdr:row>
      <xdr:rowOff>85500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96</xdr:row>
      <xdr:rowOff>0</xdr:rowOff>
    </xdr:from>
    <xdr:to>
      <xdr:col>15</xdr:col>
      <xdr:colOff>7125</xdr:colOff>
      <xdr:row>105</xdr:row>
      <xdr:rowOff>85500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107</xdr:row>
      <xdr:rowOff>0</xdr:rowOff>
    </xdr:from>
    <xdr:to>
      <xdr:col>8</xdr:col>
      <xdr:colOff>178575</xdr:colOff>
      <xdr:row>116</xdr:row>
      <xdr:rowOff>85500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107</xdr:row>
      <xdr:rowOff>0</xdr:rowOff>
    </xdr:from>
    <xdr:to>
      <xdr:col>15</xdr:col>
      <xdr:colOff>7125</xdr:colOff>
      <xdr:row>116</xdr:row>
      <xdr:rowOff>85500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117</xdr:row>
      <xdr:rowOff>0</xdr:rowOff>
    </xdr:from>
    <xdr:to>
      <xdr:col>8</xdr:col>
      <xdr:colOff>178575</xdr:colOff>
      <xdr:row>126</xdr:row>
      <xdr:rowOff>85500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117</xdr:row>
      <xdr:rowOff>0</xdr:rowOff>
    </xdr:from>
    <xdr:to>
      <xdr:col>15</xdr:col>
      <xdr:colOff>7125</xdr:colOff>
      <xdr:row>126</xdr:row>
      <xdr:rowOff>85500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128</xdr:row>
      <xdr:rowOff>0</xdr:rowOff>
    </xdr:from>
    <xdr:to>
      <xdr:col>8</xdr:col>
      <xdr:colOff>178575</xdr:colOff>
      <xdr:row>137</xdr:row>
      <xdr:rowOff>85500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128</xdr:row>
      <xdr:rowOff>0</xdr:rowOff>
    </xdr:from>
    <xdr:to>
      <xdr:col>15</xdr:col>
      <xdr:colOff>7125</xdr:colOff>
      <xdr:row>137</xdr:row>
      <xdr:rowOff>85500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74</xdr:row>
      <xdr:rowOff>0</xdr:rowOff>
    </xdr:from>
    <xdr:to>
      <xdr:col>8</xdr:col>
      <xdr:colOff>178575</xdr:colOff>
      <xdr:row>83</xdr:row>
      <xdr:rowOff>85500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74</xdr:row>
      <xdr:rowOff>0</xdr:rowOff>
    </xdr:from>
    <xdr:to>
      <xdr:col>15</xdr:col>
      <xdr:colOff>7125</xdr:colOff>
      <xdr:row>83</xdr:row>
      <xdr:rowOff>85500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85</xdr:row>
      <xdr:rowOff>0</xdr:rowOff>
    </xdr:from>
    <xdr:to>
      <xdr:col>8</xdr:col>
      <xdr:colOff>178575</xdr:colOff>
      <xdr:row>94</xdr:row>
      <xdr:rowOff>85500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15</xdr:col>
      <xdr:colOff>7125</xdr:colOff>
      <xdr:row>94</xdr:row>
      <xdr:rowOff>85500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96</xdr:row>
      <xdr:rowOff>0</xdr:rowOff>
    </xdr:from>
    <xdr:to>
      <xdr:col>8</xdr:col>
      <xdr:colOff>178575</xdr:colOff>
      <xdr:row>105</xdr:row>
      <xdr:rowOff>85500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96</xdr:row>
      <xdr:rowOff>0</xdr:rowOff>
    </xdr:from>
    <xdr:to>
      <xdr:col>15</xdr:col>
      <xdr:colOff>7125</xdr:colOff>
      <xdr:row>105</xdr:row>
      <xdr:rowOff>85500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107</xdr:row>
      <xdr:rowOff>0</xdr:rowOff>
    </xdr:from>
    <xdr:to>
      <xdr:col>8</xdr:col>
      <xdr:colOff>178575</xdr:colOff>
      <xdr:row>116</xdr:row>
      <xdr:rowOff>85500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107</xdr:row>
      <xdr:rowOff>0</xdr:rowOff>
    </xdr:from>
    <xdr:to>
      <xdr:col>15</xdr:col>
      <xdr:colOff>7125</xdr:colOff>
      <xdr:row>116</xdr:row>
      <xdr:rowOff>85500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117</xdr:row>
      <xdr:rowOff>0</xdr:rowOff>
    </xdr:from>
    <xdr:to>
      <xdr:col>8</xdr:col>
      <xdr:colOff>178575</xdr:colOff>
      <xdr:row>126</xdr:row>
      <xdr:rowOff>85500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117</xdr:row>
      <xdr:rowOff>0</xdr:rowOff>
    </xdr:from>
    <xdr:to>
      <xdr:col>15</xdr:col>
      <xdr:colOff>7125</xdr:colOff>
      <xdr:row>126</xdr:row>
      <xdr:rowOff>85500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128</xdr:row>
      <xdr:rowOff>0</xdr:rowOff>
    </xdr:from>
    <xdr:to>
      <xdr:col>8</xdr:col>
      <xdr:colOff>178575</xdr:colOff>
      <xdr:row>137</xdr:row>
      <xdr:rowOff>85500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128</xdr:row>
      <xdr:rowOff>0</xdr:rowOff>
    </xdr:from>
    <xdr:to>
      <xdr:col>15</xdr:col>
      <xdr:colOff>7125</xdr:colOff>
      <xdr:row>137</xdr:row>
      <xdr:rowOff>85500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topLeftCell="A37" workbookViewId="0">
      <selection activeCell="D64" sqref="D64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.83203125" customWidth="1"/>
    <col min="4" max="4" width="6.5" bestFit="1" customWidth="1"/>
    <col min="5" max="5" width="9.6640625" bestFit="1" customWidth="1"/>
    <col min="6" max="6" width="16.5" bestFit="1" customWidth="1"/>
    <col min="7" max="7" width="10.33203125" bestFit="1" customWidth="1"/>
    <col min="8" max="8" width="13.5" bestFit="1" customWidth="1"/>
    <col min="9" max="9" width="9.1640625" style="23"/>
    <col min="10" max="10" width="6.5" bestFit="1" customWidth="1"/>
    <col min="11" max="11" width="9.6640625" bestFit="1" customWidth="1"/>
    <col min="12" max="12" width="16.5" bestFit="1" customWidth="1"/>
    <col min="13" max="13" width="10.33203125" bestFit="1" customWidth="1"/>
    <col min="14" max="14" width="13.5" bestFit="1" customWidth="1"/>
    <col min="15" max="15" width="9.1640625" style="23"/>
    <col min="16" max="16" width="6.5" style="1" bestFit="1" customWidth="1"/>
    <col min="17" max="17" width="9.6640625" style="1" bestFit="1" customWidth="1"/>
    <col min="18" max="18" width="16.5" style="1" bestFit="1" customWidth="1"/>
    <col min="19" max="19" width="10.33203125" style="1" bestFit="1" customWidth="1"/>
    <col min="20" max="20" width="13.5" style="1" bestFit="1" customWidth="1"/>
    <col min="21" max="21" width="9.1640625" style="23"/>
    <col min="22" max="23" width="9.33203125" style="28" bestFit="1" customWidth="1"/>
    <col min="24" max="24" width="10.5" style="28" bestFit="1" customWidth="1"/>
    <col min="26" max="26" width="16.83203125" customWidth="1"/>
  </cols>
  <sheetData>
    <row r="1" spans="1:27" s="2" customFormat="1" x14ac:dyDescent="0.2">
      <c r="D1" s="39" t="s">
        <v>4</v>
      </c>
      <c r="E1" s="39"/>
      <c r="F1" s="39"/>
      <c r="G1" s="39"/>
      <c r="H1" s="39"/>
      <c r="I1" s="22"/>
      <c r="J1" s="39" t="s">
        <v>5</v>
      </c>
      <c r="K1" s="39"/>
      <c r="L1" s="39"/>
      <c r="M1" s="39"/>
      <c r="N1" s="39"/>
      <c r="O1" s="22"/>
      <c r="P1" s="40" t="s">
        <v>6</v>
      </c>
      <c r="Q1" s="40"/>
      <c r="R1" s="40"/>
      <c r="S1" s="40"/>
      <c r="T1" s="40"/>
      <c r="U1" s="22"/>
      <c r="V1" s="25" t="s">
        <v>62</v>
      </c>
      <c r="W1" s="25"/>
      <c r="X1" s="25"/>
    </row>
    <row r="2" spans="1:27" s="2" customFormat="1" x14ac:dyDescent="0.2">
      <c r="A2" s="2" t="s">
        <v>63</v>
      </c>
      <c r="D2" s="2" t="s">
        <v>0</v>
      </c>
      <c r="E2" s="2" t="s">
        <v>72</v>
      </c>
      <c r="F2" s="2" t="s">
        <v>73</v>
      </c>
      <c r="G2" s="2" t="s">
        <v>3</v>
      </c>
      <c r="H2" s="2" t="s">
        <v>74</v>
      </c>
      <c r="I2" s="22"/>
      <c r="J2" s="2" t="s">
        <v>0</v>
      </c>
      <c r="K2" s="2" t="s">
        <v>72</v>
      </c>
      <c r="L2" s="2" t="s">
        <v>73</v>
      </c>
      <c r="M2" s="2" t="s">
        <v>3</v>
      </c>
      <c r="N2" s="2" t="s">
        <v>74</v>
      </c>
      <c r="O2" s="22"/>
      <c r="P2" s="2" t="s">
        <v>0</v>
      </c>
      <c r="Q2" s="2" t="s">
        <v>72</v>
      </c>
      <c r="R2" s="2" t="s">
        <v>73</v>
      </c>
      <c r="S2" s="2" t="s">
        <v>3</v>
      </c>
      <c r="T2" s="2" t="s">
        <v>74</v>
      </c>
      <c r="U2" s="22"/>
      <c r="V2" s="25" t="s">
        <v>4</v>
      </c>
      <c r="W2" s="25" t="s">
        <v>5</v>
      </c>
      <c r="X2" s="25" t="s">
        <v>6</v>
      </c>
      <c r="Z2" s="2" t="s">
        <v>7</v>
      </c>
    </row>
    <row r="3" spans="1:27" x14ac:dyDescent="0.2">
      <c r="A3" s="5" t="s">
        <v>12</v>
      </c>
      <c r="B3" s="5"/>
      <c r="C3" s="5"/>
      <c r="D3" s="5">
        <v>261</v>
      </c>
      <c r="E3" s="6">
        <v>0.66874329501915697</v>
      </c>
      <c r="F3" s="6">
        <v>7.9119040305239796</v>
      </c>
      <c r="G3" s="8">
        <v>8.4213821891673906</v>
      </c>
      <c r="H3" s="6">
        <v>911.92683374707303</v>
      </c>
      <c r="J3" s="5">
        <v>413</v>
      </c>
      <c r="K3" s="6">
        <v>0.65740193704600403</v>
      </c>
      <c r="L3" s="6">
        <v>12.519602929526499</v>
      </c>
      <c r="M3" s="8">
        <v>8.3731101656389395</v>
      </c>
      <c r="N3" s="6">
        <v>591.02917823270604</v>
      </c>
      <c r="P3" s="5">
        <v>371</v>
      </c>
      <c r="Q3" s="6">
        <v>0.641563342318059</v>
      </c>
      <c r="R3" s="6">
        <v>11.246422970591601</v>
      </c>
      <c r="S3" s="8">
        <v>8.6865800356166307</v>
      </c>
      <c r="T3" s="6">
        <v>180.49222860606</v>
      </c>
      <c r="V3" s="7">
        <v>764.18129628303097</v>
      </c>
      <c r="W3" s="7">
        <v>543.78075521955304</v>
      </c>
      <c r="X3" s="7">
        <v>169.12607797577601</v>
      </c>
      <c r="Z3" t="s">
        <v>8</v>
      </c>
      <c r="AA3" t="s">
        <v>82</v>
      </c>
    </row>
    <row r="4" spans="1:27" x14ac:dyDescent="0.2">
      <c r="A4" s="5" t="s">
        <v>13</v>
      </c>
      <c r="B4" s="5"/>
      <c r="C4" s="5"/>
      <c r="D4" s="5">
        <v>493</v>
      </c>
      <c r="E4" s="6">
        <v>0.66433468559837705</v>
      </c>
      <c r="F4" s="6">
        <v>7.7045374985414004</v>
      </c>
      <c r="G4" s="8">
        <v>8.4199306474995197</v>
      </c>
      <c r="H4" s="6">
        <v>800.36830020242803</v>
      </c>
      <c r="J4" s="5">
        <v>695</v>
      </c>
      <c r="K4" s="6">
        <v>0.64325611510791403</v>
      </c>
      <c r="L4" s="6">
        <v>10.8613662504793</v>
      </c>
      <c r="M4" s="8">
        <v>8.4293043604632008</v>
      </c>
      <c r="N4" s="6">
        <v>742.961883477372</v>
      </c>
      <c r="P4" s="5">
        <v>594</v>
      </c>
      <c r="Q4" s="6">
        <v>0.63611279461279402</v>
      </c>
      <c r="R4" s="6">
        <v>9.2829518745103297</v>
      </c>
      <c r="S4" s="8">
        <v>8.61633231872006</v>
      </c>
      <c r="T4" s="6">
        <v>305.88721707714802</v>
      </c>
      <c r="V4" s="7">
        <v>681.06852410482804</v>
      </c>
      <c r="W4" s="7">
        <v>693.99991033627305</v>
      </c>
      <c r="X4" s="7">
        <v>284.79005690629498</v>
      </c>
      <c r="Z4" t="s">
        <v>10</v>
      </c>
      <c r="AA4" t="s">
        <v>79</v>
      </c>
    </row>
    <row r="5" spans="1:27" x14ac:dyDescent="0.2">
      <c r="A5" s="5" t="s">
        <v>14</v>
      </c>
      <c r="B5" s="5"/>
      <c r="C5" s="5"/>
      <c r="D5" s="5">
        <v>1229</v>
      </c>
      <c r="E5" s="6">
        <v>0.65646135069162104</v>
      </c>
      <c r="F5" s="6">
        <v>8.6957547169811296</v>
      </c>
      <c r="G5" s="8">
        <v>8.3339012408334501</v>
      </c>
      <c r="H5" s="6">
        <v>955.11562023685997</v>
      </c>
      <c r="J5" s="5">
        <v>1419</v>
      </c>
      <c r="K5" s="6">
        <v>0.63402959830866801</v>
      </c>
      <c r="L5" s="6">
        <v>10.0400943396226</v>
      </c>
      <c r="M5" s="8">
        <v>8.4765335657568492</v>
      </c>
      <c r="N5" s="6">
        <v>551.60169523997604</v>
      </c>
      <c r="P5" s="5">
        <v>1287</v>
      </c>
      <c r="Q5" s="6">
        <v>0.62066588966589098</v>
      </c>
      <c r="R5" s="6">
        <v>9.1061320754717006</v>
      </c>
      <c r="S5" s="8">
        <v>8.6846688497678901</v>
      </c>
      <c r="T5" s="6">
        <v>202.636728022038</v>
      </c>
      <c r="V5" s="7">
        <v>838.74673717713904</v>
      </c>
      <c r="W5" s="7">
        <v>516.55171782678406</v>
      </c>
      <c r="X5" s="7">
        <v>194.918287664129</v>
      </c>
      <c r="Z5" t="s">
        <v>9</v>
      </c>
      <c r="AA5" t="s">
        <v>64</v>
      </c>
    </row>
    <row r="6" spans="1:27" x14ac:dyDescent="0.2">
      <c r="A6" s="5" t="s">
        <v>15</v>
      </c>
      <c r="B6" s="5"/>
      <c r="C6" s="5"/>
      <c r="D6" s="5">
        <v>1191</v>
      </c>
      <c r="E6" s="6">
        <v>0.65793618807724497</v>
      </c>
      <c r="F6" s="6">
        <v>7.97793953467602</v>
      </c>
      <c r="G6" s="8">
        <v>8.4145418089334107</v>
      </c>
      <c r="H6" s="6">
        <v>755.74679853249904</v>
      </c>
      <c r="J6" s="5">
        <v>1852</v>
      </c>
      <c r="K6" s="6">
        <v>0.66333693304535701</v>
      </c>
      <c r="L6" s="6">
        <v>12.4056624838119</v>
      </c>
      <c r="M6" s="8">
        <v>8.4144996776930796</v>
      </c>
      <c r="N6" s="6">
        <v>456.43735330680499</v>
      </c>
      <c r="P6" s="5">
        <v>1497</v>
      </c>
      <c r="Q6" s="6">
        <v>0.64741549766199202</v>
      </c>
      <c r="R6" s="6">
        <v>10.027687223686</v>
      </c>
      <c r="S6" s="8">
        <v>8.6371338676082292</v>
      </c>
      <c r="T6" s="6">
        <v>443.08009865223198</v>
      </c>
      <c r="V6" s="7">
        <v>647.71677028318504</v>
      </c>
      <c r="W6" s="7">
        <v>417.09583722061302</v>
      </c>
      <c r="X6" s="7">
        <v>415.68817894940702</v>
      </c>
      <c r="Z6" t="s">
        <v>11</v>
      </c>
      <c r="AA6" t="s">
        <v>65</v>
      </c>
    </row>
    <row r="7" spans="1:27" x14ac:dyDescent="0.2">
      <c r="A7" s="5" t="s">
        <v>16</v>
      </c>
      <c r="B7" s="5"/>
      <c r="C7" s="5"/>
      <c r="D7" s="5">
        <v>1136</v>
      </c>
      <c r="E7" s="6">
        <v>0.66689612676056298</v>
      </c>
      <c r="F7" s="6">
        <v>7.4818880351262296</v>
      </c>
      <c r="G7" s="8">
        <v>8.4088887287542793</v>
      </c>
      <c r="H7" s="6">
        <v>817.679137466768</v>
      </c>
      <c r="J7" s="5">
        <v>1650</v>
      </c>
      <c r="K7" s="6">
        <v>0.65539212121212098</v>
      </c>
      <c r="L7" s="6">
        <v>10.8671789242591</v>
      </c>
      <c r="M7" s="8">
        <v>8.4021027488571498</v>
      </c>
      <c r="N7" s="6">
        <v>659.10986734669996</v>
      </c>
      <c r="P7" s="29"/>
      <c r="Q7" s="30"/>
      <c r="R7" s="30"/>
      <c r="S7" s="31"/>
      <c r="T7" s="30"/>
      <c r="V7" s="7">
        <v>693.47846080954105</v>
      </c>
      <c r="W7" s="7">
        <v>601.75698112714599</v>
      </c>
      <c r="X7" s="26"/>
    </row>
    <row r="8" spans="1:27" x14ac:dyDescent="0.2">
      <c r="A8" s="5" t="s">
        <v>17</v>
      </c>
      <c r="B8" s="5"/>
      <c r="C8" s="5"/>
      <c r="D8" s="5">
        <v>868</v>
      </c>
      <c r="E8" s="6">
        <v>0.67464746543778797</v>
      </c>
      <c r="F8" s="6">
        <v>6.4695652173913096</v>
      </c>
      <c r="G8" s="8">
        <v>8.38670665232757</v>
      </c>
      <c r="H8" s="6">
        <v>1020.83096684884</v>
      </c>
      <c r="J8" s="5">
        <v>1458</v>
      </c>
      <c r="K8" s="6">
        <v>0.65784979423868195</v>
      </c>
      <c r="L8" s="6">
        <v>10.8670807453416</v>
      </c>
      <c r="M8" s="8">
        <v>8.4780008819793</v>
      </c>
      <c r="N8" s="6">
        <v>717.42480503138904</v>
      </c>
      <c r="P8" s="5">
        <v>1465</v>
      </c>
      <c r="Q8" s="6">
        <v>0.63936655290102395</v>
      </c>
      <c r="R8" s="6">
        <v>10.9192546583851</v>
      </c>
      <c r="S8" s="8">
        <v>8.6641235490650708</v>
      </c>
      <c r="T8" s="6">
        <v>166.232641833484</v>
      </c>
      <c r="V8" s="7">
        <v>828.756582943186</v>
      </c>
      <c r="W8" s="7">
        <v>651.91388818586904</v>
      </c>
      <c r="X8" s="7">
        <v>157.075726945707</v>
      </c>
    </row>
    <row r="9" spans="1:27" x14ac:dyDescent="0.2">
      <c r="A9" s="5" t="s">
        <v>18</v>
      </c>
      <c r="B9" s="5"/>
      <c r="C9" s="5"/>
      <c r="D9" s="5">
        <v>814</v>
      </c>
      <c r="E9" s="6">
        <v>0.66648157248157203</v>
      </c>
      <c r="F9" s="6">
        <v>6.7272727272727302</v>
      </c>
      <c r="G9" s="8">
        <v>8.4161863046352092</v>
      </c>
      <c r="H9" s="6">
        <v>1196.6649252910399</v>
      </c>
      <c r="J9" s="5">
        <v>1351</v>
      </c>
      <c r="K9" s="6">
        <v>0.65227313101406403</v>
      </c>
      <c r="L9" s="6">
        <v>11.165289256198299</v>
      </c>
      <c r="M9" s="8">
        <v>8.4109040269377608</v>
      </c>
      <c r="N9" s="6">
        <v>713.52734634381704</v>
      </c>
      <c r="P9" s="5">
        <v>1239</v>
      </c>
      <c r="Q9" s="6">
        <v>0.633491525423728</v>
      </c>
      <c r="R9" s="6">
        <v>10.2396694214876</v>
      </c>
      <c r="S9" s="8">
        <v>8.6046881245819709</v>
      </c>
      <c r="T9" s="6">
        <v>111.692427244448</v>
      </c>
      <c r="V9" s="7">
        <v>993.34296475772396</v>
      </c>
      <c r="W9" s="7">
        <v>660.25569074846806</v>
      </c>
      <c r="X9" s="7">
        <v>105.593717445172</v>
      </c>
    </row>
    <row r="10" spans="1:27" x14ac:dyDescent="0.2">
      <c r="A10" s="5" t="s">
        <v>19</v>
      </c>
      <c r="B10" s="5"/>
      <c r="C10" s="5"/>
      <c r="D10" s="5">
        <v>976</v>
      </c>
      <c r="E10" s="6">
        <v>0.66344877049180395</v>
      </c>
      <c r="F10" s="6">
        <v>6.71559633027523</v>
      </c>
      <c r="G10" s="8">
        <v>8.3776673939537503</v>
      </c>
      <c r="H10" s="6">
        <v>1026.31278903936</v>
      </c>
      <c r="J10" s="5">
        <v>1644</v>
      </c>
      <c r="K10" s="6">
        <v>0.64853710462287095</v>
      </c>
      <c r="L10" s="6">
        <v>11.311926605504601</v>
      </c>
      <c r="M10" s="8">
        <v>8.4426596780379501</v>
      </c>
      <c r="N10" s="6">
        <v>892.88448503446102</v>
      </c>
      <c r="P10" s="5">
        <v>1631</v>
      </c>
      <c r="Q10" s="6">
        <v>0.65211404046597299</v>
      </c>
      <c r="R10" s="6">
        <v>11.2224770642202</v>
      </c>
      <c r="S10" s="8">
        <v>8.5753376339660008</v>
      </c>
      <c r="T10" s="6">
        <v>153.99752395905401</v>
      </c>
      <c r="V10" s="7">
        <v>842.25463619500294</v>
      </c>
      <c r="W10" s="7">
        <v>829.52769329042098</v>
      </c>
      <c r="X10" s="7">
        <v>143.353010790269</v>
      </c>
    </row>
    <row r="11" spans="1:27" x14ac:dyDescent="0.2">
      <c r="A11" s="5" t="s">
        <v>20</v>
      </c>
      <c r="B11" s="5"/>
      <c r="C11" s="5"/>
      <c r="D11" s="5">
        <v>1221</v>
      </c>
      <c r="E11" s="6">
        <v>0.65053726453726402</v>
      </c>
      <c r="F11" s="6">
        <v>7.9114470842332603</v>
      </c>
      <c r="G11" s="8">
        <v>8.37017374101287</v>
      </c>
      <c r="H11" s="6">
        <v>794.45105816185003</v>
      </c>
      <c r="J11" s="5">
        <v>1721</v>
      </c>
      <c r="K11" s="6">
        <v>0.65618710052295104</v>
      </c>
      <c r="L11" s="6">
        <v>11.1511879049676</v>
      </c>
      <c r="M11" s="8">
        <v>8.4368388522925404</v>
      </c>
      <c r="N11" s="6">
        <v>874.13745897169599</v>
      </c>
      <c r="P11" s="5">
        <v>1434</v>
      </c>
      <c r="Q11" s="6">
        <v>0.63646582984658295</v>
      </c>
      <c r="R11" s="6">
        <v>9.2915766738660892</v>
      </c>
      <c r="S11" s="8">
        <v>8.64116719682176</v>
      </c>
      <c r="T11" s="6">
        <v>418.81463853405899</v>
      </c>
      <c r="V11" s="7">
        <v>689.90691489760604</v>
      </c>
      <c r="W11" s="7">
        <v>798.947544994704</v>
      </c>
      <c r="X11" s="7">
        <v>394.51291610887102</v>
      </c>
    </row>
    <row r="12" spans="1:27" x14ac:dyDescent="0.2">
      <c r="A12" s="9" t="s">
        <v>21</v>
      </c>
      <c r="B12" s="9"/>
      <c r="C12" s="9"/>
      <c r="D12" s="9">
        <v>1622</v>
      </c>
      <c r="E12" s="10">
        <v>0.64418434032059102</v>
      </c>
      <c r="F12" s="10">
        <v>8.3250641573994901</v>
      </c>
      <c r="G12" s="12">
        <v>8.3670065156151807</v>
      </c>
      <c r="H12" s="10">
        <v>413.96118430464998</v>
      </c>
      <c r="J12" s="9">
        <v>2445</v>
      </c>
      <c r="K12" s="10">
        <v>0.653629447852761</v>
      </c>
      <c r="L12" s="10">
        <v>12.549187339606499</v>
      </c>
      <c r="M12" s="12">
        <v>8.3163667544332096</v>
      </c>
      <c r="N12" s="10">
        <v>499.99021518114</v>
      </c>
      <c r="P12" s="9">
        <v>2053</v>
      </c>
      <c r="Q12" s="10">
        <v>0.64135460301997105</v>
      </c>
      <c r="R12" s="10">
        <v>10.537211291702301</v>
      </c>
      <c r="S12" s="12">
        <v>8.63485433003971</v>
      </c>
      <c r="T12" s="10">
        <v>165.07084629855001</v>
      </c>
      <c r="V12" s="27">
        <v>371.25779630700202</v>
      </c>
      <c r="W12" s="11">
        <v>464.07187548027503</v>
      </c>
      <c r="X12" s="27">
        <v>154.624348244846</v>
      </c>
    </row>
    <row r="13" spans="1:27" x14ac:dyDescent="0.2">
      <c r="A13" s="9" t="s">
        <v>22</v>
      </c>
      <c r="B13" s="9"/>
      <c r="C13" s="9"/>
      <c r="D13" s="9">
        <v>1177</v>
      </c>
      <c r="E13" s="10">
        <v>0.64873491928632099</v>
      </c>
      <c r="F13" s="10">
        <v>7.6760869565217398</v>
      </c>
      <c r="G13" s="12">
        <v>8.3546911162549105</v>
      </c>
      <c r="H13" s="10">
        <v>917.80759756421196</v>
      </c>
      <c r="J13" s="9">
        <v>1684</v>
      </c>
      <c r="K13" s="10">
        <v>0.63675712589073696</v>
      </c>
      <c r="L13" s="10">
        <v>10.9826086956522</v>
      </c>
      <c r="M13" s="12">
        <v>8.3774274285643102</v>
      </c>
      <c r="N13" s="10">
        <v>410.93191444090297</v>
      </c>
      <c r="P13" s="9">
        <v>1567</v>
      </c>
      <c r="Q13" s="10">
        <v>0.63082705807275097</v>
      </c>
      <c r="R13" s="10">
        <v>10.219565217391301</v>
      </c>
      <c r="S13" s="12">
        <v>8.57397670391037</v>
      </c>
      <c r="T13" s="10">
        <v>121.557990377582</v>
      </c>
      <c r="V13" s="11">
        <v>795.57489212460098</v>
      </c>
      <c r="W13" s="11">
        <v>384.98863572963199</v>
      </c>
      <c r="X13" s="11">
        <v>115.578450040091</v>
      </c>
    </row>
    <row r="14" spans="1:27" x14ac:dyDescent="0.2">
      <c r="A14" s="9" t="s">
        <v>23</v>
      </c>
      <c r="B14" s="9"/>
      <c r="C14" s="9"/>
      <c r="D14" s="9">
        <v>930</v>
      </c>
      <c r="E14" s="10">
        <v>0.65467096774193601</v>
      </c>
      <c r="F14" s="10">
        <v>8.3159463487332399</v>
      </c>
      <c r="G14" s="12">
        <v>8.4036920565184605</v>
      </c>
      <c r="H14" s="10">
        <v>789.49031576476796</v>
      </c>
      <c r="J14" s="9">
        <v>1321</v>
      </c>
      <c r="K14" s="10">
        <v>0.65127857683573098</v>
      </c>
      <c r="L14" s="10">
        <v>11.812220566318899</v>
      </c>
      <c r="M14" s="12">
        <v>8.4040759865109802</v>
      </c>
      <c r="N14" s="10">
        <v>336.62658920523302</v>
      </c>
      <c r="P14" s="9">
        <v>1224</v>
      </c>
      <c r="Q14" s="10">
        <v>0.65627941176470495</v>
      </c>
      <c r="R14" s="10">
        <v>10.9448584202683</v>
      </c>
      <c r="S14" s="12">
        <v>8.5958944743384702</v>
      </c>
      <c r="T14" s="10">
        <v>168.326289247359</v>
      </c>
      <c r="V14" s="11">
        <v>683.88831105043596</v>
      </c>
      <c r="W14" s="11">
        <v>309.72807922266202</v>
      </c>
      <c r="X14" s="11">
        <v>155.803612319623</v>
      </c>
    </row>
    <row r="15" spans="1:27" x14ac:dyDescent="0.2">
      <c r="A15" s="9" t="s">
        <v>24</v>
      </c>
      <c r="B15" s="9"/>
      <c r="C15" s="9"/>
      <c r="D15" s="9">
        <v>1546</v>
      </c>
      <c r="E15" s="10">
        <v>0.64022574385511</v>
      </c>
      <c r="F15" s="10">
        <v>8.2673796791443905</v>
      </c>
      <c r="G15" s="12">
        <v>8.3707977485602303</v>
      </c>
      <c r="H15" s="10">
        <v>704.37498493962801</v>
      </c>
      <c r="J15" s="9">
        <v>2142</v>
      </c>
      <c r="K15" s="10">
        <v>0.64343464052287602</v>
      </c>
      <c r="L15" s="10">
        <v>11.454545454545499</v>
      </c>
      <c r="M15" s="12">
        <v>8.4891229187143509</v>
      </c>
      <c r="N15" s="10">
        <v>404.63697678536698</v>
      </c>
      <c r="P15" s="9">
        <v>1980</v>
      </c>
      <c r="Q15" s="10">
        <v>0.63138939393939397</v>
      </c>
      <c r="R15" s="10">
        <v>10.588235294117601</v>
      </c>
      <c r="S15" s="12">
        <v>8.6266690363184804</v>
      </c>
      <c r="T15" s="10">
        <v>130.91645709584299</v>
      </c>
      <c r="V15" s="11">
        <v>628.70844625637505</v>
      </c>
      <c r="W15" s="11">
        <v>378.240299654068</v>
      </c>
      <c r="X15" s="11">
        <v>124.965212023129</v>
      </c>
    </row>
    <row r="16" spans="1:27" x14ac:dyDescent="0.2">
      <c r="A16" s="9" t="s">
        <v>25</v>
      </c>
      <c r="B16" s="9"/>
      <c r="C16" s="9"/>
      <c r="D16" s="9">
        <v>1243</v>
      </c>
      <c r="E16" s="10">
        <v>0.64530893000804601</v>
      </c>
      <c r="F16" s="10">
        <v>8.6048550858408692</v>
      </c>
      <c r="G16" s="12">
        <v>8.3381940630429998</v>
      </c>
      <c r="H16" s="10">
        <v>557.091474204326</v>
      </c>
      <c r="J16" s="9">
        <v>1579</v>
      </c>
      <c r="K16" s="10">
        <v>0.66039265357821397</v>
      </c>
      <c r="L16" s="10">
        <v>10.9308657928743</v>
      </c>
      <c r="M16" s="12">
        <v>8.3968075795892592</v>
      </c>
      <c r="N16" s="10">
        <v>649.73496125012105</v>
      </c>
      <c r="P16" s="9">
        <v>1586</v>
      </c>
      <c r="Q16" s="10">
        <v>0.65753593947036504</v>
      </c>
      <c r="R16" s="10">
        <v>10.979324349270801</v>
      </c>
      <c r="S16" s="12">
        <v>8.5777323241042396</v>
      </c>
      <c r="T16" s="10">
        <v>230.82396979336499</v>
      </c>
      <c r="V16" s="11">
        <v>498.85686058266401</v>
      </c>
      <c r="W16" s="11">
        <v>590.67610752365499</v>
      </c>
      <c r="X16" s="11">
        <v>212.39109940215801</v>
      </c>
    </row>
    <row r="17" spans="1:24" x14ac:dyDescent="0.2">
      <c r="A17" s="9" t="s">
        <v>26</v>
      </c>
      <c r="B17" s="9"/>
      <c r="C17" s="9"/>
      <c r="D17" s="9">
        <v>1071</v>
      </c>
      <c r="E17" s="10">
        <v>0.65900840336134503</v>
      </c>
      <c r="F17" s="10">
        <v>7.6137440758293797</v>
      </c>
      <c r="G17" s="12">
        <v>8.4016056983755298</v>
      </c>
      <c r="H17" s="10">
        <v>723.04154515525101</v>
      </c>
      <c r="J17" s="9">
        <v>1790</v>
      </c>
      <c r="K17" s="10">
        <v>0.66428547486033496</v>
      </c>
      <c r="L17" s="10">
        <v>12.725118483412301</v>
      </c>
      <c r="M17" s="12">
        <v>8.4260229430331002</v>
      </c>
      <c r="N17" s="10">
        <v>393.46026476221999</v>
      </c>
      <c r="P17" s="9">
        <v>1559</v>
      </c>
      <c r="Q17" s="10">
        <v>0.63941372674791497</v>
      </c>
      <c r="R17" s="10">
        <v>11.0829383886256</v>
      </c>
      <c r="S17" s="12">
        <v>8.6443472125672702</v>
      </c>
      <c r="T17" s="10">
        <v>183.11923324729</v>
      </c>
      <c r="V17" s="11">
        <v>616.64892699581503</v>
      </c>
      <c r="W17" s="11">
        <v>359.08839986777002</v>
      </c>
      <c r="X17" s="11">
        <v>173.499805866527</v>
      </c>
    </row>
    <row r="18" spans="1:24" x14ac:dyDescent="0.2">
      <c r="A18" s="9" t="s">
        <v>27</v>
      </c>
      <c r="B18" s="9"/>
      <c r="C18" s="9"/>
      <c r="D18" s="9">
        <v>1294</v>
      </c>
      <c r="E18" s="10">
        <v>0.65609891808346199</v>
      </c>
      <c r="F18" s="10">
        <v>7.4083969465648902</v>
      </c>
      <c r="G18" s="12">
        <v>8.38509581050028</v>
      </c>
      <c r="H18" s="10">
        <v>768.98404803317499</v>
      </c>
      <c r="J18" s="9">
        <v>1884</v>
      </c>
      <c r="K18" s="10">
        <v>0.65869904458598805</v>
      </c>
      <c r="L18" s="10">
        <v>10.7862595419847</v>
      </c>
      <c r="M18" s="12">
        <v>8.4304816813742605</v>
      </c>
      <c r="N18" s="10">
        <v>501.27958762755799</v>
      </c>
      <c r="P18" s="9">
        <v>1888</v>
      </c>
      <c r="Q18" s="10">
        <v>0.6358125</v>
      </c>
      <c r="R18" s="10">
        <v>10.8091603053435</v>
      </c>
      <c r="S18" s="12">
        <v>8.6152779077192498</v>
      </c>
      <c r="T18" s="10">
        <v>158.527456899828</v>
      </c>
      <c r="V18" s="11">
        <v>659.54660708081303</v>
      </c>
      <c r="W18" s="11">
        <v>456.723104351134</v>
      </c>
      <c r="X18" s="11">
        <v>149.893449168546</v>
      </c>
    </row>
    <row r="19" spans="1:24" x14ac:dyDescent="0.2">
      <c r="A19" s="9" t="s">
        <v>28</v>
      </c>
      <c r="B19" s="9"/>
      <c r="C19" s="9"/>
      <c r="D19" s="9">
        <v>1057</v>
      </c>
      <c r="E19" s="10">
        <v>0.66123462630085095</v>
      </c>
      <c r="F19" s="10">
        <v>7.1019036954087298</v>
      </c>
      <c r="G19" s="12">
        <v>8.4144771122664306</v>
      </c>
      <c r="H19" s="10">
        <v>960.22959009066005</v>
      </c>
      <c r="J19" s="9">
        <v>1611</v>
      </c>
      <c r="K19" s="10">
        <v>0.64284109248913701</v>
      </c>
      <c r="L19" s="10">
        <v>10.8241881298992</v>
      </c>
      <c r="M19" s="12">
        <v>8.4374835992623307</v>
      </c>
      <c r="N19" s="10">
        <v>698.40378193554</v>
      </c>
      <c r="P19" s="29"/>
      <c r="Q19" s="30"/>
      <c r="R19" s="30"/>
      <c r="S19" s="31"/>
      <c r="T19" s="30"/>
      <c r="V19" s="11">
        <v>804.40496025995606</v>
      </c>
      <c r="W19" s="11">
        <v>651.68322660196498</v>
      </c>
      <c r="X19" s="26"/>
    </row>
    <row r="20" spans="1:24" x14ac:dyDescent="0.2">
      <c r="A20" s="9" t="s">
        <v>29</v>
      </c>
      <c r="B20" s="9"/>
      <c r="C20" s="9"/>
      <c r="D20" s="9">
        <v>992</v>
      </c>
      <c r="E20" s="10">
        <v>0.67686189516129003</v>
      </c>
      <c r="F20" s="10">
        <v>6.7482993197278898</v>
      </c>
      <c r="G20" s="12">
        <v>8.4205215596755796</v>
      </c>
      <c r="H20" s="10">
        <v>996.23102429970004</v>
      </c>
      <c r="J20" s="9">
        <v>1616</v>
      </c>
      <c r="K20" s="10">
        <v>0.65362561881188097</v>
      </c>
      <c r="L20" s="10">
        <v>10.9931972789116</v>
      </c>
      <c r="M20" s="12">
        <v>8.43730335052045</v>
      </c>
      <c r="N20" s="10">
        <v>872.39609432447799</v>
      </c>
      <c r="P20" s="9">
        <v>1522</v>
      </c>
      <c r="Q20" s="10">
        <v>0.64084954007884498</v>
      </c>
      <c r="R20" s="10">
        <v>10.3537414965986</v>
      </c>
      <c r="S20" s="12">
        <v>8.5933489858306906</v>
      </c>
      <c r="T20" s="10">
        <v>107.53713254587799</v>
      </c>
      <c r="V20" s="11">
        <v>812.08654637939799</v>
      </c>
      <c r="W20" s="11">
        <v>805.95043722618902</v>
      </c>
      <c r="X20" s="11">
        <v>101.07220225414601</v>
      </c>
    </row>
    <row r="21" spans="1:24" x14ac:dyDescent="0.2">
      <c r="A21" s="17" t="s">
        <v>30</v>
      </c>
      <c r="B21" s="17"/>
      <c r="C21" s="17"/>
      <c r="D21" s="17">
        <v>1410</v>
      </c>
      <c r="E21" s="18">
        <v>0.64083475177304905</v>
      </c>
      <c r="F21" s="18">
        <v>8.9618644067796591</v>
      </c>
      <c r="G21" s="20">
        <v>8.4041576350671097</v>
      </c>
      <c r="H21" s="18">
        <v>841.27053318620096</v>
      </c>
      <c r="J21" s="17">
        <v>1623</v>
      </c>
      <c r="K21" s="18">
        <v>0.61337461491065903</v>
      </c>
      <c r="L21" s="18">
        <v>10.315677966101701</v>
      </c>
      <c r="M21" s="20">
        <v>8.2338421532374397</v>
      </c>
      <c r="N21" s="18">
        <v>441.69157564682598</v>
      </c>
      <c r="P21" s="17">
        <v>1459</v>
      </c>
      <c r="Q21" s="18">
        <v>0.61464084989719003</v>
      </c>
      <c r="R21" s="18">
        <v>9.2733050847457594</v>
      </c>
      <c r="S21" s="20">
        <v>8.5991813523331508</v>
      </c>
      <c r="T21" s="18">
        <v>135.92843393227699</v>
      </c>
      <c r="V21" s="19">
        <v>764.20388721575398</v>
      </c>
      <c r="W21" s="19">
        <v>429.11819584269</v>
      </c>
      <c r="X21" s="19">
        <v>132.05638256859601</v>
      </c>
    </row>
    <row r="22" spans="1:24" x14ac:dyDescent="0.2">
      <c r="A22" s="17" t="s">
        <v>31</v>
      </c>
      <c r="B22" s="17"/>
      <c r="C22" s="17"/>
      <c r="D22" s="17">
        <v>901</v>
      </c>
      <c r="E22" s="18">
        <v>0.64541398446170894</v>
      </c>
      <c r="F22" s="18">
        <v>6.7155279503105598</v>
      </c>
      <c r="G22" s="20">
        <v>8.3810591855702992</v>
      </c>
      <c r="H22" s="18">
        <v>932.29331394802705</v>
      </c>
      <c r="J22" s="17">
        <v>1575</v>
      </c>
      <c r="K22" s="18">
        <v>0.67293206349206403</v>
      </c>
      <c r="L22" s="18">
        <v>11.7391304347826</v>
      </c>
      <c r="M22" s="20">
        <v>8.4124608290818603</v>
      </c>
      <c r="N22" s="18">
        <v>531.45176326340504</v>
      </c>
      <c r="P22" s="17">
        <v>1217</v>
      </c>
      <c r="Q22" s="18">
        <v>0.624852917009039</v>
      </c>
      <c r="R22" s="18">
        <v>9.0708074534161494</v>
      </c>
      <c r="S22" s="20">
        <v>8.6005910235562499</v>
      </c>
      <c r="T22" s="18">
        <v>330.22869505163902</v>
      </c>
      <c r="V22" s="19">
        <v>797.11041164635606</v>
      </c>
      <c r="W22" s="19">
        <v>476.98393867885801</v>
      </c>
      <c r="X22" s="19">
        <v>313.56796327855</v>
      </c>
    </row>
    <row r="23" spans="1:24" x14ac:dyDescent="0.2">
      <c r="A23" s="17" t="s">
        <v>32</v>
      </c>
      <c r="B23" s="17"/>
      <c r="C23" s="17"/>
      <c r="D23" s="17">
        <v>1152</v>
      </c>
      <c r="E23" s="18">
        <v>0.66585416666666597</v>
      </c>
      <c r="F23" s="18">
        <v>6.71720116618076</v>
      </c>
      <c r="G23" s="20">
        <v>8.4864766165229994</v>
      </c>
      <c r="H23" s="18">
        <v>910.43785341000296</v>
      </c>
      <c r="J23" s="17">
        <v>2065</v>
      </c>
      <c r="K23" s="18">
        <v>0.66137869249394599</v>
      </c>
      <c r="L23" s="18">
        <v>12.040816326530599</v>
      </c>
      <c r="M23" s="20">
        <v>8.3982491206455308</v>
      </c>
      <c r="N23" s="18">
        <v>464.76691440362498</v>
      </c>
      <c r="P23" s="29"/>
      <c r="Q23" s="30"/>
      <c r="R23" s="30"/>
      <c r="S23" s="31"/>
      <c r="T23" s="30"/>
      <c r="V23" s="19">
        <v>750.12321329422002</v>
      </c>
      <c r="W23" s="19">
        <v>426.489036158901</v>
      </c>
      <c r="X23" s="26"/>
    </row>
    <row r="24" spans="1:24" x14ac:dyDescent="0.2">
      <c r="A24" s="17" t="s">
        <v>33</v>
      </c>
      <c r="B24" s="17"/>
      <c r="C24" s="17"/>
      <c r="D24" s="17">
        <v>807</v>
      </c>
      <c r="E24" s="18">
        <v>0.63346592317224304</v>
      </c>
      <c r="F24" s="18">
        <v>7.72572125878518</v>
      </c>
      <c r="G24" s="20">
        <v>8.4049973354093996</v>
      </c>
      <c r="H24" s="18">
        <v>823.91630213224198</v>
      </c>
      <c r="J24" s="17">
        <v>1054</v>
      </c>
      <c r="K24" s="18">
        <v>0.64998766603415503</v>
      </c>
      <c r="L24" s="18">
        <v>10.090347220272101</v>
      </c>
      <c r="M24" s="20">
        <v>8.5027212966408303</v>
      </c>
      <c r="N24" s="18">
        <v>516.58911595233405</v>
      </c>
      <c r="P24" s="29"/>
      <c r="Q24" s="30"/>
      <c r="R24" s="30"/>
      <c r="S24" s="31"/>
      <c r="T24" s="30"/>
      <c r="V24" s="19">
        <v>736.564042159275</v>
      </c>
      <c r="W24" s="19">
        <v>476.631311570842</v>
      </c>
      <c r="X24" s="26"/>
    </row>
    <row r="25" spans="1:24" x14ac:dyDescent="0.2">
      <c r="A25" s="17" t="s">
        <v>34</v>
      </c>
      <c r="B25" s="17"/>
      <c r="C25" s="17"/>
      <c r="D25" s="17">
        <v>1085</v>
      </c>
      <c r="E25" s="18">
        <v>0.63625898617511401</v>
      </c>
      <c r="F25" s="18">
        <v>6.5492957746478897</v>
      </c>
      <c r="G25" s="20">
        <v>8.4102058907143995</v>
      </c>
      <c r="H25" s="18">
        <v>1059.51430143374</v>
      </c>
      <c r="J25" s="17">
        <v>1830</v>
      </c>
      <c r="K25" s="18">
        <v>0.65101748633879797</v>
      </c>
      <c r="L25" s="18">
        <v>11.046277665996</v>
      </c>
      <c r="M25" s="20">
        <v>8.4578431981477191</v>
      </c>
      <c r="N25" s="18">
        <v>442.96185719644097</v>
      </c>
      <c r="P25" s="17">
        <v>1682</v>
      </c>
      <c r="Q25" s="18">
        <v>0.62837395957193798</v>
      </c>
      <c r="R25" s="18">
        <v>10.152917505030199</v>
      </c>
      <c r="S25" s="20">
        <v>8.6579647010523697</v>
      </c>
      <c r="T25" s="18">
        <v>162.251406454803</v>
      </c>
      <c r="V25" s="19">
        <v>913.35259724166895</v>
      </c>
      <c r="W25" s="19">
        <v>409.767067712683</v>
      </c>
      <c r="X25" s="19">
        <v>155.27833804225099</v>
      </c>
    </row>
    <row r="26" spans="1:24" x14ac:dyDescent="0.2">
      <c r="A26" s="17" t="s">
        <v>35</v>
      </c>
      <c r="B26" s="17"/>
      <c r="C26" s="17"/>
      <c r="D26" s="17">
        <v>1045</v>
      </c>
      <c r="E26" s="18">
        <v>0.63920287081339699</v>
      </c>
      <c r="F26" s="18">
        <v>7.0212765957446797</v>
      </c>
      <c r="G26" s="20">
        <v>8.4895756982517607</v>
      </c>
      <c r="H26" s="18">
        <v>905.72490697671799</v>
      </c>
      <c r="J26" s="17">
        <v>1230</v>
      </c>
      <c r="K26" s="18">
        <v>0.68968211382113798</v>
      </c>
      <c r="L26" s="18">
        <v>8.2642777155655107</v>
      </c>
      <c r="M26" s="20">
        <v>8.4078987238161407</v>
      </c>
      <c r="N26" s="18">
        <v>861.72651639173705</v>
      </c>
      <c r="P26" s="17">
        <v>1466</v>
      </c>
      <c r="Q26" s="18">
        <v>0.63082537517053205</v>
      </c>
      <c r="R26" s="18">
        <v>9.8499440089585697</v>
      </c>
      <c r="S26" s="20">
        <v>8.6285994952014207</v>
      </c>
      <c r="T26" s="18">
        <v>175.11054147138799</v>
      </c>
      <c r="V26" s="19">
        <v>785.00121700461398</v>
      </c>
      <c r="W26" s="19">
        <v>729.67813291375796</v>
      </c>
      <c r="X26" s="19">
        <v>166.912225222904</v>
      </c>
    </row>
    <row r="27" spans="1:24" x14ac:dyDescent="0.2">
      <c r="A27" s="17" t="s">
        <v>36</v>
      </c>
      <c r="B27" s="17"/>
      <c r="C27" s="17"/>
      <c r="D27" s="17">
        <v>1278</v>
      </c>
      <c r="E27" s="18">
        <v>0.64505086071987405</v>
      </c>
      <c r="F27" s="18">
        <v>8.2728441839790801</v>
      </c>
      <c r="G27" s="20">
        <v>8.2924306278217603</v>
      </c>
      <c r="H27" s="18">
        <v>869.39140289427905</v>
      </c>
      <c r="J27" s="17">
        <v>1777</v>
      </c>
      <c r="K27" s="18">
        <v>0.66367810917276204</v>
      </c>
      <c r="L27" s="18">
        <v>11.503007914656401</v>
      </c>
      <c r="M27" s="20">
        <v>8.4158049216785393</v>
      </c>
      <c r="N27" s="18">
        <v>469.55326843854402</v>
      </c>
      <c r="P27" s="17">
        <v>1146</v>
      </c>
      <c r="Q27" s="18">
        <v>0.59828708551483301</v>
      </c>
      <c r="R27" s="18">
        <v>7.4183720147418004</v>
      </c>
      <c r="S27" s="20">
        <v>8.6735488751583798</v>
      </c>
      <c r="T27" s="18">
        <v>204.431776374115</v>
      </c>
      <c r="V27" s="19">
        <v>771.08563999965304</v>
      </c>
      <c r="W27" s="19">
        <v>428.55999787958399</v>
      </c>
      <c r="X27" s="19">
        <v>195.705527936409</v>
      </c>
    </row>
    <row r="28" spans="1:24" x14ac:dyDescent="0.2">
      <c r="A28" s="17" t="s">
        <v>37</v>
      </c>
      <c r="B28" s="17"/>
      <c r="C28" s="17"/>
      <c r="D28" s="17">
        <v>1180</v>
      </c>
      <c r="E28" s="18">
        <v>0.64618474576271201</v>
      </c>
      <c r="F28" s="18">
        <v>7.5239107332624897</v>
      </c>
      <c r="G28" s="20">
        <v>8.4532221049210801</v>
      </c>
      <c r="H28" s="18">
        <v>671.11990497127294</v>
      </c>
      <c r="J28" s="17">
        <v>1859</v>
      </c>
      <c r="K28" s="18">
        <v>0.65606831629908602</v>
      </c>
      <c r="L28" s="18">
        <v>11.8533475026567</v>
      </c>
      <c r="M28" s="20">
        <v>8.3832409138123598</v>
      </c>
      <c r="N28" s="18">
        <v>432.32706455329799</v>
      </c>
      <c r="P28" s="17">
        <v>1792</v>
      </c>
      <c r="Q28" s="18">
        <v>0.65613225446428503</v>
      </c>
      <c r="R28" s="18">
        <v>11.4261424017003</v>
      </c>
      <c r="S28" s="20">
        <v>8.5954338408705002</v>
      </c>
      <c r="T28" s="18">
        <v>154.55278903519601</v>
      </c>
      <c r="V28" s="19">
        <v>583.53818142114301</v>
      </c>
      <c r="W28" s="19">
        <v>399.158806228</v>
      </c>
      <c r="X28" s="19">
        <v>141.78064643739401</v>
      </c>
    </row>
    <row r="29" spans="1:24" x14ac:dyDescent="0.2">
      <c r="A29" s="17" t="s">
        <v>38</v>
      </c>
      <c r="B29" s="17"/>
      <c r="C29" s="17"/>
      <c r="D29" s="17">
        <v>809</v>
      </c>
      <c r="E29" s="18">
        <v>0.65030902348578501</v>
      </c>
      <c r="F29" s="18">
        <v>6.3285528031290701</v>
      </c>
      <c r="G29" s="20">
        <v>8.3525330521826895</v>
      </c>
      <c r="H29" s="18">
        <v>581.71403882297</v>
      </c>
      <c r="J29" s="17">
        <v>1413</v>
      </c>
      <c r="K29" s="18">
        <v>0.66271691436659597</v>
      </c>
      <c r="L29" s="18">
        <v>11.053455019556701</v>
      </c>
      <c r="M29" s="20">
        <v>8.3304339702302403</v>
      </c>
      <c r="N29" s="18">
        <v>478.801512716172</v>
      </c>
      <c r="P29" s="17">
        <v>1161</v>
      </c>
      <c r="Q29" s="18">
        <v>0.63964254952627198</v>
      </c>
      <c r="R29" s="18">
        <v>9.0821382007822695</v>
      </c>
      <c r="S29" s="20">
        <v>8.5926183767367803</v>
      </c>
      <c r="T29" s="18">
        <v>101.413063818602</v>
      </c>
      <c r="V29" s="19">
        <v>488.74455145416198</v>
      </c>
      <c r="W29" s="19">
        <v>435.623586809953</v>
      </c>
      <c r="X29" s="19">
        <v>93.040039100416493</v>
      </c>
    </row>
    <row r="30" spans="1:24" x14ac:dyDescent="0.2">
      <c r="A30" s="17" t="s">
        <v>39</v>
      </c>
      <c r="B30" s="17"/>
      <c r="C30" s="17"/>
      <c r="D30" s="17">
        <v>966</v>
      </c>
      <c r="E30" s="18">
        <v>0.65808385093167698</v>
      </c>
      <c r="F30" s="18">
        <v>6.6928406466512698</v>
      </c>
      <c r="G30" s="20">
        <v>8.4125168204516498</v>
      </c>
      <c r="H30" s="18">
        <v>979.27356736470995</v>
      </c>
      <c r="J30" s="17">
        <v>1529</v>
      </c>
      <c r="K30" s="18">
        <v>0.64453629823413905</v>
      </c>
      <c r="L30" s="18">
        <v>10.593533487297901</v>
      </c>
      <c r="M30" s="20">
        <v>8.4246278235507699</v>
      </c>
      <c r="N30" s="18">
        <v>532.83891548318502</v>
      </c>
      <c r="P30" s="17">
        <v>1582</v>
      </c>
      <c r="Q30" s="18">
        <v>0.63442414664981095</v>
      </c>
      <c r="R30" s="18">
        <v>10.960739030023101</v>
      </c>
      <c r="S30" s="20">
        <v>8.5719699954493098</v>
      </c>
      <c r="T30" s="18">
        <v>90.817008479307006</v>
      </c>
      <c r="V30" s="19">
        <v>819.66638997140603</v>
      </c>
      <c r="W30" s="19">
        <v>492.99406889209001</v>
      </c>
      <c r="X30" s="19">
        <v>85.828587253204205</v>
      </c>
    </row>
    <row r="31" spans="1:24" x14ac:dyDescent="0.2">
      <c r="A31" s="17" t="s">
        <v>40</v>
      </c>
      <c r="B31" s="17"/>
      <c r="C31" s="17"/>
      <c r="D31" s="17">
        <v>1174</v>
      </c>
      <c r="E31" s="18">
        <v>0.67608262350936998</v>
      </c>
      <c r="F31" s="18">
        <v>6.7226980580908302</v>
      </c>
      <c r="G31" s="20">
        <v>8.5734661694038508</v>
      </c>
      <c r="H31" s="18">
        <v>909.75854752640203</v>
      </c>
      <c r="J31" s="17">
        <v>1713</v>
      </c>
      <c r="K31" s="18">
        <v>0.65581085814360895</v>
      </c>
      <c r="L31" s="18">
        <v>9.8091837934493995</v>
      </c>
      <c r="M31" s="20">
        <v>8.3691050727562999</v>
      </c>
      <c r="N31" s="18">
        <v>807.10420010943699</v>
      </c>
      <c r="P31" s="17">
        <v>1541</v>
      </c>
      <c r="Q31" s="18">
        <v>0.64022258273848098</v>
      </c>
      <c r="R31" s="18">
        <v>8.8242569910715201</v>
      </c>
      <c r="S31" s="20">
        <v>8.5882090421392991</v>
      </c>
      <c r="T31" s="18">
        <v>302.67415197703201</v>
      </c>
      <c r="V31" s="19">
        <v>740.50430554563695</v>
      </c>
      <c r="W31" s="19">
        <v>737.95660239632696</v>
      </c>
      <c r="X31" s="19">
        <v>279.688492130491</v>
      </c>
    </row>
    <row r="32" spans="1:24" x14ac:dyDescent="0.2">
      <c r="A32" s="13" t="s">
        <v>41</v>
      </c>
      <c r="B32" s="13"/>
      <c r="C32" s="13"/>
      <c r="D32" s="13">
        <v>1110</v>
      </c>
      <c r="E32" s="14">
        <v>0.61386576576576701</v>
      </c>
      <c r="F32" s="14">
        <v>7.3917869034406198</v>
      </c>
      <c r="G32" s="16">
        <v>8.3295244419957797</v>
      </c>
      <c r="H32" s="14">
        <v>907.75224970310001</v>
      </c>
      <c r="J32" s="13">
        <v>1605</v>
      </c>
      <c r="K32" s="14">
        <v>0.63773520249221205</v>
      </c>
      <c r="L32" s="14">
        <v>10.6881243063263</v>
      </c>
      <c r="M32" s="16">
        <v>8.3475511622134704</v>
      </c>
      <c r="N32" s="14">
        <v>635.43874752214197</v>
      </c>
      <c r="P32" s="13">
        <v>1425</v>
      </c>
      <c r="Q32" s="14">
        <v>0.62418175438596601</v>
      </c>
      <c r="R32" s="14">
        <v>9.4894561598224207</v>
      </c>
      <c r="S32" s="16">
        <v>8.6215683240992504</v>
      </c>
      <c r="T32" s="14">
        <v>118.906993497793</v>
      </c>
      <c r="V32" s="15">
        <v>848.62396040897795</v>
      </c>
      <c r="W32" s="15">
        <v>591.57846443179301</v>
      </c>
      <c r="X32" s="15">
        <v>113.191816014295</v>
      </c>
    </row>
    <row r="33" spans="1:24" x14ac:dyDescent="0.2">
      <c r="A33" s="13" t="s">
        <v>42</v>
      </c>
      <c r="B33" s="13"/>
      <c r="C33" s="13"/>
      <c r="D33" s="13">
        <v>872</v>
      </c>
      <c r="E33" s="14">
        <v>0.64090825688073505</v>
      </c>
      <c r="F33" s="14">
        <v>6.8125</v>
      </c>
      <c r="G33" s="16">
        <v>8.3988118271194203</v>
      </c>
      <c r="H33" s="14">
        <v>1045.83093911951</v>
      </c>
      <c r="J33" s="13">
        <v>1389</v>
      </c>
      <c r="K33" s="14">
        <v>0.63545140388768895</v>
      </c>
      <c r="L33" s="14">
        <v>10.8515625</v>
      </c>
      <c r="M33" s="16">
        <v>8.3806855024203504</v>
      </c>
      <c r="N33" s="14">
        <v>637.83108017140898</v>
      </c>
      <c r="P33" s="13">
        <v>1065</v>
      </c>
      <c r="Q33" s="14">
        <v>0.60102816901408396</v>
      </c>
      <c r="R33" s="14">
        <v>8.3203125</v>
      </c>
      <c r="S33" s="16">
        <v>8.7580412900014597</v>
      </c>
      <c r="T33" s="14">
        <v>404.03110515458599</v>
      </c>
      <c r="V33" s="15">
        <v>904.25838915218003</v>
      </c>
      <c r="W33" s="15">
        <v>602.16873765411697</v>
      </c>
      <c r="X33" s="15">
        <v>394.70160620360502</v>
      </c>
    </row>
    <row r="34" spans="1:24" x14ac:dyDescent="0.2">
      <c r="A34" s="13" t="s">
        <v>43</v>
      </c>
      <c r="B34" s="13"/>
      <c r="C34" s="13"/>
      <c r="D34" s="13">
        <v>1120</v>
      </c>
      <c r="E34" s="14">
        <v>0.66305982142857101</v>
      </c>
      <c r="F34" s="14">
        <v>6.8501529051987804</v>
      </c>
      <c r="G34" s="16">
        <v>8.46977847407409</v>
      </c>
      <c r="H34" s="14">
        <v>1118.2996051160501</v>
      </c>
      <c r="J34" s="13">
        <v>1605</v>
      </c>
      <c r="K34" s="14">
        <v>0.62259626168224302</v>
      </c>
      <c r="L34" s="14">
        <v>9.8165137614678901</v>
      </c>
      <c r="M34" s="16">
        <v>8.311192458391</v>
      </c>
      <c r="N34" s="14">
        <v>751.25466978819895</v>
      </c>
      <c r="P34" s="13">
        <v>1896</v>
      </c>
      <c r="Q34" s="14">
        <v>0.65503270042194195</v>
      </c>
      <c r="R34" s="14">
        <v>11.5963302752294</v>
      </c>
      <c r="S34" s="16">
        <v>8.6112226514197996</v>
      </c>
      <c r="T34" s="14">
        <v>184.068227014923</v>
      </c>
      <c r="V34" s="15">
        <v>938.73713768122195</v>
      </c>
      <c r="W34" s="15">
        <v>710.96793673217496</v>
      </c>
      <c r="X34" s="15">
        <v>170.03028495832601</v>
      </c>
    </row>
    <row r="35" spans="1:24" x14ac:dyDescent="0.2">
      <c r="A35" s="13" t="s">
        <v>44</v>
      </c>
      <c r="B35" s="13"/>
      <c r="C35" s="13"/>
      <c r="D35" s="13">
        <v>1123</v>
      </c>
      <c r="E35" s="14">
        <v>0.64166518254674898</v>
      </c>
      <c r="F35" s="14">
        <v>6.3626062322946204</v>
      </c>
      <c r="G35" s="16">
        <v>8.3948100570363096</v>
      </c>
      <c r="H35" s="14">
        <v>1347.2688564806499</v>
      </c>
      <c r="J35" s="13">
        <v>1702</v>
      </c>
      <c r="K35" s="14">
        <v>0.62429083431257404</v>
      </c>
      <c r="L35" s="14">
        <v>9.6430594900849904</v>
      </c>
      <c r="M35" s="16">
        <v>8.4001872510838798</v>
      </c>
      <c r="N35" s="14">
        <v>730.09285669286203</v>
      </c>
      <c r="P35" s="13">
        <v>1713</v>
      </c>
      <c r="Q35" s="14">
        <v>0.62217746643315697</v>
      </c>
      <c r="R35" s="14">
        <v>9.7053824362606207</v>
      </c>
      <c r="S35" s="16">
        <v>8.6171050926952208</v>
      </c>
      <c r="T35" s="14">
        <v>269.51495487694399</v>
      </c>
      <c r="V35" s="15">
        <v>1151.12774465342</v>
      </c>
      <c r="W35" s="15">
        <v>687.85465634447598</v>
      </c>
      <c r="X35" s="15">
        <v>257.85193082109299</v>
      </c>
    </row>
    <row r="36" spans="1:24" x14ac:dyDescent="0.2">
      <c r="A36" s="13" t="s">
        <v>45</v>
      </c>
      <c r="B36" s="13"/>
      <c r="C36" s="13"/>
      <c r="D36" s="32">
        <v>689</v>
      </c>
      <c r="E36" s="33">
        <v>0.63393613933236603</v>
      </c>
      <c r="F36" s="33">
        <v>6.9713322091062402</v>
      </c>
      <c r="G36" s="34">
        <v>8.3430188675288992</v>
      </c>
      <c r="H36" s="33">
        <v>1261.4858943299</v>
      </c>
      <c r="J36" s="13">
        <v>999</v>
      </c>
      <c r="K36" s="14">
        <v>0.63172572572572505</v>
      </c>
      <c r="L36" s="14">
        <v>10.107925801011801</v>
      </c>
      <c r="M36" s="16">
        <v>8.3520419801621006</v>
      </c>
      <c r="N36" s="14">
        <v>696.376608129131</v>
      </c>
      <c r="P36" s="13">
        <v>911</v>
      </c>
      <c r="Q36" s="14">
        <v>0.613020856201975</v>
      </c>
      <c r="R36" s="14">
        <v>9.2175379426644195</v>
      </c>
      <c r="S36" s="16">
        <v>8.6098930305700403</v>
      </c>
      <c r="T36" s="14">
        <v>121.81464336156201</v>
      </c>
      <c r="V36" s="27">
        <v>1110.24061836079</v>
      </c>
      <c r="W36" s="15">
        <v>651.43792349845398</v>
      </c>
      <c r="X36" s="15">
        <v>116.79109783093</v>
      </c>
    </row>
    <row r="37" spans="1:24" x14ac:dyDescent="0.2">
      <c r="A37" s="13" t="s">
        <v>46</v>
      </c>
      <c r="B37" s="13"/>
      <c r="C37" s="13"/>
      <c r="D37" s="13">
        <v>1086</v>
      </c>
      <c r="E37" s="14">
        <v>0.64368416206261503</v>
      </c>
      <c r="F37" s="14">
        <v>6.6018237082066902</v>
      </c>
      <c r="G37" s="16">
        <v>8.4367528850143501</v>
      </c>
      <c r="H37" s="14">
        <v>1050.7533623145</v>
      </c>
      <c r="J37" s="13">
        <v>1774</v>
      </c>
      <c r="K37" s="14">
        <v>0.62630214205185997</v>
      </c>
      <c r="L37" s="14">
        <v>10.7841945288754</v>
      </c>
      <c r="M37" s="16">
        <v>8.3503224081601406</v>
      </c>
      <c r="N37" s="14">
        <v>596.92887296110598</v>
      </c>
      <c r="P37" s="13">
        <v>1534</v>
      </c>
      <c r="Q37" s="14">
        <v>0.60816753585397598</v>
      </c>
      <c r="R37" s="14">
        <v>9.3252279635258404</v>
      </c>
      <c r="S37" s="16">
        <v>8.6549676842881205</v>
      </c>
      <c r="T37" s="14">
        <v>137.96726147427901</v>
      </c>
      <c r="V37" s="15">
        <v>895.33988643223802</v>
      </c>
      <c r="W37" s="15">
        <v>568.24892162024298</v>
      </c>
      <c r="X37" s="15">
        <v>134.16713839408999</v>
      </c>
    </row>
    <row r="38" spans="1:24" x14ac:dyDescent="0.2">
      <c r="A38" s="13" t="s">
        <v>47</v>
      </c>
      <c r="B38" s="13"/>
      <c r="C38" s="13"/>
      <c r="D38" s="32">
        <v>1228</v>
      </c>
      <c r="E38" s="33">
        <v>0.629343648208468</v>
      </c>
      <c r="F38" s="33">
        <v>6.7287671232876702</v>
      </c>
      <c r="G38" s="34">
        <v>8.3381786709397492</v>
      </c>
      <c r="H38" s="33">
        <v>1526.2560473884701</v>
      </c>
      <c r="J38" s="13">
        <v>1879</v>
      </c>
      <c r="K38" s="14">
        <v>0.631825439063331</v>
      </c>
      <c r="L38" s="14">
        <v>10.295890410958901</v>
      </c>
      <c r="M38" s="16">
        <v>8.3521515512807198</v>
      </c>
      <c r="N38" s="14">
        <v>616.27477403732996</v>
      </c>
      <c r="P38" s="13">
        <v>2389</v>
      </c>
      <c r="Q38" s="14">
        <v>0.663939305148598</v>
      </c>
      <c r="R38" s="14">
        <v>13.0904109589041</v>
      </c>
      <c r="S38" s="16">
        <v>8.5534141854084407</v>
      </c>
      <c r="T38" s="14">
        <v>83.034646799369696</v>
      </c>
      <c r="V38" s="27">
        <v>1350.2603730578201</v>
      </c>
      <c r="W38" s="15">
        <v>577.07646231818705</v>
      </c>
      <c r="X38" s="15">
        <v>75.865896036943099</v>
      </c>
    </row>
    <row r="39" spans="1:24" x14ac:dyDescent="0.2">
      <c r="A39" s="13" t="s">
        <v>48</v>
      </c>
      <c r="B39" s="13"/>
      <c r="C39" s="13"/>
      <c r="D39" s="13">
        <v>1023</v>
      </c>
      <c r="E39" s="14">
        <v>0.64429130009775104</v>
      </c>
      <c r="F39" s="14">
        <v>7.3158522050059602</v>
      </c>
      <c r="G39" s="16">
        <v>8.2889558676234092</v>
      </c>
      <c r="H39" s="14">
        <v>1510.07185214233</v>
      </c>
      <c r="J39" s="13">
        <v>1412</v>
      </c>
      <c r="K39" s="14">
        <v>0.64154178470254897</v>
      </c>
      <c r="L39" s="14">
        <v>10.0977353992849</v>
      </c>
      <c r="M39" s="16">
        <v>8.3809801595159996</v>
      </c>
      <c r="N39" s="14">
        <v>778.92457047346295</v>
      </c>
      <c r="P39" s="13">
        <v>1288</v>
      </c>
      <c r="Q39" s="14">
        <v>0.60661490683229702</v>
      </c>
      <c r="R39" s="14">
        <v>9.2109654350417198</v>
      </c>
      <c r="S39" s="16">
        <v>8.6482694612236592</v>
      </c>
      <c r="T39" s="14">
        <v>156.82810544008001</v>
      </c>
      <c r="V39" s="15">
        <v>1376.2715927322099</v>
      </c>
      <c r="W39" s="15">
        <v>719.42684077801505</v>
      </c>
      <c r="X39" s="15">
        <v>151.94378882292699</v>
      </c>
    </row>
    <row r="40" spans="1:24" x14ac:dyDescent="0.2">
      <c r="A40" s="9" t="s">
        <v>49</v>
      </c>
      <c r="B40" s="9"/>
      <c r="C40" s="9"/>
      <c r="D40" s="9">
        <v>1014</v>
      </c>
      <c r="E40" s="10">
        <v>0.63680276134122205</v>
      </c>
      <c r="F40" s="10">
        <v>7.5860349127182101</v>
      </c>
      <c r="G40" s="12">
        <v>8.4057447160771392</v>
      </c>
      <c r="H40" s="10">
        <v>824.33542061891706</v>
      </c>
      <c r="J40" s="9">
        <v>1422</v>
      </c>
      <c r="K40" s="10">
        <v>0.62965471167370002</v>
      </c>
      <c r="L40" s="10">
        <v>10.6384039900249</v>
      </c>
      <c r="M40" s="12">
        <v>8.3202254814407794</v>
      </c>
      <c r="N40" s="10">
        <v>507.41929339357699</v>
      </c>
      <c r="P40" s="9">
        <v>1382</v>
      </c>
      <c r="Q40" s="10">
        <v>0.61493777134587602</v>
      </c>
      <c r="R40" s="10">
        <v>10.339152119700801</v>
      </c>
      <c r="S40" s="12">
        <v>8.6299722228703093</v>
      </c>
      <c r="T40" s="10">
        <v>81.841734851267901</v>
      </c>
      <c r="V40" s="11">
        <v>732.44178741365795</v>
      </c>
      <c r="W40" s="11">
        <v>479.11987388679898</v>
      </c>
      <c r="X40" s="11">
        <v>79.227341232608595</v>
      </c>
    </row>
    <row r="41" spans="1:24" x14ac:dyDescent="0.2">
      <c r="A41" s="9" t="s">
        <v>50</v>
      </c>
      <c r="B41" s="9"/>
      <c r="C41" s="9"/>
      <c r="D41" s="9">
        <v>932</v>
      </c>
      <c r="E41" s="10">
        <v>0.62429291845493595</v>
      </c>
      <c r="F41" s="10">
        <v>6.3835616438356197</v>
      </c>
      <c r="G41" s="12">
        <v>8.2974071551317508</v>
      </c>
      <c r="H41" s="10">
        <v>838.174152809048</v>
      </c>
      <c r="J41" s="9">
        <v>1575</v>
      </c>
      <c r="K41" s="10">
        <v>0.63019873015872996</v>
      </c>
      <c r="L41" s="10">
        <v>10.787671232876701</v>
      </c>
      <c r="M41" s="12">
        <v>8.2833790164743704</v>
      </c>
      <c r="N41" s="10">
        <v>213.82118342965899</v>
      </c>
      <c r="P41" s="9">
        <v>1389</v>
      </c>
      <c r="Q41" s="10">
        <v>0.61452627789776804</v>
      </c>
      <c r="R41" s="10">
        <v>9.5136986301369895</v>
      </c>
      <c r="S41" s="12">
        <v>8.5435923745018201</v>
      </c>
      <c r="T41" s="10">
        <v>64.090324632101897</v>
      </c>
      <c r="V41" s="11">
        <v>745.29476462670004</v>
      </c>
      <c r="W41" s="11">
        <v>203.41504148459299</v>
      </c>
      <c r="X41" s="11">
        <v>61.400407215953003</v>
      </c>
    </row>
    <row r="42" spans="1:24" x14ac:dyDescent="0.2">
      <c r="A42" s="9" t="s">
        <v>51</v>
      </c>
      <c r="B42" s="9"/>
      <c r="C42" s="9"/>
      <c r="D42" s="9">
        <v>656</v>
      </c>
      <c r="E42" s="10">
        <v>0.60235365853658496</v>
      </c>
      <c r="F42" s="10">
        <v>7.6033875254991701</v>
      </c>
      <c r="G42" s="12">
        <v>8.2422575800738294</v>
      </c>
      <c r="H42" s="10">
        <v>1011.8778796059501</v>
      </c>
      <c r="J42" s="9">
        <v>840</v>
      </c>
      <c r="K42" s="10">
        <v>0.627777380952381</v>
      </c>
      <c r="L42" s="10">
        <v>9.7360450021635696</v>
      </c>
      <c r="M42" s="12">
        <v>8.3257301005367506</v>
      </c>
      <c r="N42" s="10">
        <v>506.668103714376</v>
      </c>
      <c r="P42" s="9">
        <v>475</v>
      </c>
      <c r="Q42" s="10">
        <v>0.57321684210526302</v>
      </c>
      <c r="R42" s="10">
        <v>5.5055016381282096</v>
      </c>
      <c r="S42" s="12">
        <v>8.6202156330894297</v>
      </c>
      <c r="T42" s="10">
        <v>233.33760679752399</v>
      </c>
      <c r="V42" s="11">
        <v>963.38572690665399</v>
      </c>
      <c r="W42" s="11">
        <v>477.56476611924199</v>
      </c>
      <c r="X42" s="11">
        <v>228.16054944066099</v>
      </c>
    </row>
    <row r="43" spans="1:24" x14ac:dyDescent="0.2">
      <c r="A43" s="9" t="s">
        <v>52</v>
      </c>
      <c r="B43" s="9"/>
      <c r="C43" s="9"/>
      <c r="D43" s="9">
        <v>708</v>
      </c>
      <c r="E43" s="10">
        <v>0.61507768361581905</v>
      </c>
      <c r="F43" s="10">
        <v>7.9401869158878498</v>
      </c>
      <c r="G43" s="12">
        <v>8.3283187462855501</v>
      </c>
      <c r="H43" s="10">
        <v>919.40989913598003</v>
      </c>
      <c r="J43" s="9">
        <v>930</v>
      </c>
      <c r="K43" s="10">
        <v>0.63157956989247299</v>
      </c>
      <c r="L43" s="10">
        <v>10.4299065420561</v>
      </c>
      <c r="M43" s="12">
        <v>8.2644336113938905</v>
      </c>
      <c r="N43" s="10">
        <v>608.29070526109899</v>
      </c>
      <c r="P43" s="9">
        <v>1031</v>
      </c>
      <c r="Q43" s="10">
        <v>0.621380213385062</v>
      </c>
      <c r="R43" s="10">
        <v>11.5626168224299</v>
      </c>
      <c r="S43" s="12">
        <v>8.6759557798664098</v>
      </c>
      <c r="T43" s="10">
        <v>87.3379289086445</v>
      </c>
      <c r="V43" s="11">
        <v>862.27372682616397</v>
      </c>
      <c r="W43" s="11">
        <v>573.80098371409701</v>
      </c>
      <c r="X43" s="11">
        <v>84.618772056390995</v>
      </c>
    </row>
    <row r="44" spans="1:24" x14ac:dyDescent="0.2">
      <c r="A44" s="9" t="s">
        <v>53</v>
      </c>
      <c r="B44" s="9"/>
      <c r="C44" s="9"/>
      <c r="D44" s="9">
        <v>926</v>
      </c>
      <c r="E44" s="10">
        <v>0.64460907127429901</v>
      </c>
      <c r="F44" s="10">
        <v>6.6142857142857103</v>
      </c>
      <c r="G44" s="12">
        <v>8.3560411008029902</v>
      </c>
      <c r="H44" s="10">
        <v>615.17842488199199</v>
      </c>
      <c r="J44" s="9">
        <v>1561</v>
      </c>
      <c r="K44" s="10">
        <v>0.640012812299807</v>
      </c>
      <c r="L44" s="10">
        <v>11.15</v>
      </c>
      <c r="M44" s="12">
        <v>8.4242370270128308</v>
      </c>
      <c r="N44" s="10">
        <v>518.37356484882503</v>
      </c>
      <c r="P44" s="9">
        <v>1471</v>
      </c>
      <c r="Q44" s="10">
        <v>0.62346838885112199</v>
      </c>
      <c r="R44" s="10">
        <v>10.507142857142901</v>
      </c>
      <c r="S44" s="12">
        <v>8.7115069624253607</v>
      </c>
      <c r="T44" s="10">
        <v>178.54024201425</v>
      </c>
      <c r="V44" s="11">
        <v>519.02860338187099</v>
      </c>
      <c r="W44" s="11">
        <v>484.20504875987899</v>
      </c>
      <c r="X44" s="11">
        <v>171.20290168227501</v>
      </c>
    </row>
    <row r="45" spans="1:24" x14ac:dyDescent="0.2">
      <c r="A45" s="17" t="s">
        <v>54</v>
      </c>
      <c r="B45" s="17"/>
      <c r="C45" s="17"/>
      <c r="D45" s="17">
        <v>1155</v>
      </c>
      <c r="E45" s="18">
        <v>0.63379740259740303</v>
      </c>
      <c r="F45" s="18">
        <v>7</v>
      </c>
      <c r="G45" s="20">
        <v>8.3951728701589001</v>
      </c>
      <c r="H45" s="18">
        <v>905.06694221894804</v>
      </c>
      <c r="J45" s="17">
        <v>1664</v>
      </c>
      <c r="K45" s="18">
        <v>0.639601562500001</v>
      </c>
      <c r="L45" s="18">
        <v>10.0848484848485</v>
      </c>
      <c r="M45" s="20">
        <v>8.4266644081857294</v>
      </c>
      <c r="N45" s="18">
        <v>716.92619302637002</v>
      </c>
      <c r="P45" s="17">
        <v>1633</v>
      </c>
      <c r="Q45" s="18">
        <v>0.62404960195958303</v>
      </c>
      <c r="R45" s="18">
        <v>9.8969696969697001</v>
      </c>
      <c r="S45" s="20">
        <v>8.6250102181650607</v>
      </c>
      <c r="T45" s="18">
        <v>325.02310035444901</v>
      </c>
      <c r="V45" s="19">
        <v>800.50167026230395</v>
      </c>
      <c r="W45" s="19">
        <v>665.46229786676497</v>
      </c>
      <c r="X45" s="19">
        <v>310.71780131198699</v>
      </c>
    </row>
    <row r="46" spans="1:24" x14ac:dyDescent="0.2">
      <c r="A46" s="17" t="s">
        <v>55</v>
      </c>
      <c r="B46" s="17"/>
      <c r="C46" s="17"/>
      <c r="D46" s="17">
        <v>1174</v>
      </c>
      <c r="E46" s="18">
        <v>0.62304003407154995</v>
      </c>
      <c r="F46" s="18">
        <v>7.4382259767687398</v>
      </c>
      <c r="G46" s="20">
        <v>8.2922283117089801</v>
      </c>
      <c r="H46" s="18">
        <v>1035.4788019128</v>
      </c>
      <c r="J46" s="17">
        <v>1596</v>
      </c>
      <c r="K46" s="18">
        <v>0.62436027568922303</v>
      </c>
      <c r="L46" s="18">
        <v>10.111932418162599</v>
      </c>
      <c r="M46" s="20">
        <v>8.4085833361024491</v>
      </c>
      <c r="N46" s="18">
        <v>804.29896196854804</v>
      </c>
      <c r="P46" s="17">
        <v>1131</v>
      </c>
      <c r="Q46" s="18">
        <v>0.58260300618921401</v>
      </c>
      <c r="R46" s="18">
        <v>7.16578669482577</v>
      </c>
      <c r="S46" s="20">
        <v>8.6409853403059405</v>
      </c>
      <c r="T46" s="18">
        <v>174.34798254546399</v>
      </c>
      <c r="V46" s="19">
        <v>948.38101347847805</v>
      </c>
      <c r="W46" s="19">
        <v>761.55545022505498</v>
      </c>
      <c r="X46" s="19">
        <v>171.254664014837</v>
      </c>
    </row>
    <row r="47" spans="1:24" x14ac:dyDescent="0.2">
      <c r="A47" s="17" t="s">
        <v>56</v>
      </c>
      <c r="B47" s="17"/>
      <c r="C47" s="17"/>
      <c r="D47" s="17">
        <v>1187</v>
      </c>
      <c r="E47" s="18">
        <v>0.63126032013479505</v>
      </c>
      <c r="F47" s="18">
        <v>6.7345225127087902</v>
      </c>
      <c r="G47" s="20">
        <v>8.3175823985085895</v>
      </c>
      <c r="H47" s="18">
        <v>881.42323532231001</v>
      </c>
      <c r="J47" s="17">
        <v>1800</v>
      </c>
      <c r="K47" s="18">
        <v>0.64656000000000102</v>
      </c>
      <c r="L47" s="18">
        <v>10.212418300653599</v>
      </c>
      <c r="M47" s="20">
        <v>8.39454021658862</v>
      </c>
      <c r="N47" s="18">
        <v>737.261487513323</v>
      </c>
      <c r="P47" s="17">
        <v>1641</v>
      </c>
      <c r="Q47" s="18">
        <v>0.62555819622181497</v>
      </c>
      <c r="R47" s="18">
        <v>9.3103213507625302</v>
      </c>
      <c r="S47" s="20">
        <v>8.6514924176290506</v>
      </c>
      <c r="T47" s="18">
        <v>132.222278849254</v>
      </c>
      <c r="V47" s="19">
        <v>775.86851702427703</v>
      </c>
      <c r="W47" s="19">
        <v>675.87324389337198</v>
      </c>
      <c r="X47" s="19">
        <v>123.987375129768</v>
      </c>
    </row>
    <row r="48" spans="1:24" x14ac:dyDescent="0.2">
      <c r="A48" s="17" t="s">
        <v>57</v>
      </c>
      <c r="B48" s="17"/>
      <c r="C48" s="17"/>
      <c r="D48" s="17">
        <v>1095</v>
      </c>
      <c r="E48" s="18">
        <v>0.608846575342466</v>
      </c>
      <c r="F48" s="18">
        <v>7.6041666666666696</v>
      </c>
      <c r="G48" s="20">
        <v>8.1962214031665894</v>
      </c>
      <c r="H48" s="18">
        <v>1057.5110604107199</v>
      </c>
      <c r="J48" s="17">
        <v>1382</v>
      </c>
      <c r="K48" s="18">
        <v>0.63511143270622294</v>
      </c>
      <c r="L48" s="18">
        <v>9.5972222222222197</v>
      </c>
      <c r="M48" s="20">
        <v>8.3611998231921305</v>
      </c>
      <c r="N48" s="18">
        <v>598.50997038647199</v>
      </c>
      <c r="P48" s="17">
        <v>1783</v>
      </c>
      <c r="Q48" s="18">
        <v>0.64893157599551399</v>
      </c>
      <c r="R48" s="18">
        <v>12.3819444444444</v>
      </c>
      <c r="S48" s="20">
        <v>8.6468186755096106</v>
      </c>
      <c r="T48" s="18">
        <v>108.48749283923399</v>
      </c>
      <c r="V48" s="19">
        <v>1004.18835236087</v>
      </c>
      <c r="W48" s="19">
        <v>555.61984968666502</v>
      </c>
      <c r="X48" s="19">
        <v>101.224004090113</v>
      </c>
    </row>
    <row r="49" spans="1:26" x14ac:dyDescent="0.2">
      <c r="A49" s="17" t="s">
        <v>58</v>
      </c>
      <c r="B49" s="17"/>
      <c r="C49" s="17"/>
      <c r="D49" s="17">
        <v>1149</v>
      </c>
      <c r="E49" s="18">
        <v>0.62107397737162795</v>
      </c>
      <c r="F49" s="18">
        <v>7.7722660653889504</v>
      </c>
      <c r="G49" s="20">
        <v>8.3038864579585905</v>
      </c>
      <c r="H49" s="18">
        <v>858.19015108152496</v>
      </c>
      <c r="J49" s="17">
        <v>1623</v>
      </c>
      <c r="K49" s="18">
        <v>0.62703512014787299</v>
      </c>
      <c r="L49" s="18">
        <v>10.978579481398</v>
      </c>
      <c r="M49" s="20">
        <v>8.3756496798157798</v>
      </c>
      <c r="N49" s="18">
        <v>680.01494407073005</v>
      </c>
      <c r="P49" s="17">
        <v>1648</v>
      </c>
      <c r="Q49" s="18">
        <v>0.63908798543689305</v>
      </c>
      <c r="R49" s="18">
        <v>11.1476888387824</v>
      </c>
      <c r="S49" s="20">
        <v>8.5966709684701499</v>
      </c>
      <c r="T49" s="18">
        <v>91.297231482878502</v>
      </c>
      <c r="V49" s="19">
        <v>795.85754328977202</v>
      </c>
      <c r="W49" s="19">
        <v>645.47651659416204</v>
      </c>
      <c r="X49" s="19">
        <v>85.984070052582197</v>
      </c>
    </row>
    <row r="50" spans="1:26" x14ac:dyDescent="0.2">
      <c r="A50" s="17" t="s">
        <v>59</v>
      </c>
      <c r="B50" s="17"/>
      <c r="C50" s="17"/>
      <c r="D50" s="17">
        <v>1080</v>
      </c>
      <c r="E50" s="18">
        <v>0.61535740740740796</v>
      </c>
      <c r="F50" s="18">
        <v>6.1773117254528103</v>
      </c>
      <c r="G50" s="20">
        <v>8.3055955498116099</v>
      </c>
      <c r="H50" s="18">
        <v>1039.78672997997</v>
      </c>
      <c r="J50" s="17">
        <v>1669</v>
      </c>
      <c r="K50" s="18">
        <v>0.62593289394847196</v>
      </c>
      <c r="L50" s="18">
        <v>9.5462345090562408</v>
      </c>
      <c r="M50" s="20">
        <v>8.3718159753506303</v>
      </c>
      <c r="N50" s="18">
        <v>470.95636982884798</v>
      </c>
      <c r="P50" s="17">
        <v>1825</v>
      </c>
      <c r="Q50" s="18">
        <v>0.62918739726027395</v>
      </c>
      <c r="R50" s="18">
        <v>10.4385128693994</v>
      </c>
      <c r="S50" s="20">
        <v>8.5618740316910102</v>
      </c>
      <c r="T50" s="18">
        <v>98.1381304890499</v>
      </c>
      <c r="V50" s="19">
        <v>960.77221046682496</v>
      </c>
      <c r="W50" s="19">
        <v>441.91368987087998</v>
      </c>
      <c r="X50" s="19">
        <v>92.175828781244206</v>
      </c>
    </row>
    <row r="51" spans="1:26" x14ac:dyDescent="0.2">
      <c r="A51" s="17" t="s">
        <v>60</v>
      </c>
      <c r="B51" s="17"/>
      <c r="C51" s="17"/>
      <c r="D51" s="17">
        <v>1210</v>
      </c>
      <c r="E51" s="18">
        <v>0.65255867768594999</v>
      </c>
      <c r="F51" s="18">
        <v>7.4233128834355799</v>
      </c>
      <c r="G51" s="20">
        <v>8.4097038574312499</v>
      </c>
      <c r="H51" s="18">
        <v>888.11760825823603</v>
      </c>
      <c r="J51" s="17">
        <v>1671</v>
      </c>
      <c r="K51" s="18">
        <v>0.61898803111909095</v>
      </c>
      <c r="L51" s="18">
        <v>10.251533742331301</v>
      </c>
      <c r="M51" s="20">
        <v>8.25566895099176</v>
      </c>
      <c r="N51" s="18">
        <v>529.74272441606797</v>
      </c>
      <c r="P51" s="17">
        <v>1462</v>
      </c>
      <c r="Q51" s="18">
        <v>0.59576880984952096</v>
      </c>
      <c r="R51" s="18">
        <v>8.9693251533742302</v>
      </c>
      <c r="S51" s="20">
        <v>8.6145834570214106</v>
      </c>
      <c r="T51" s="18">
        <v>117.266785691431</v>
      </c>
      <c r="V51" s="19">
        <v>766.45849159850002</v>
      </c>
      <c r="W51" s="19">
        <v>506.16005982456198</v>
      </c>
      <c r="X51" s="19">
        <v>115.127441792222</v>
      </c>
    </row>
    <row r="52" spans="1:26" x14ac:dyDescent="0.2">
      <c r="A52" s="17" t="s">
        <v>61</v>
      </c>
      <c r="B52" s="17"/>
      <c r="C52" s="17"/>
      <c r="D52" s="17">
        <v>1041</v>
      </c>
      <c r="E52" s="18">
        <v>0.65695965417867397</v>
      </c>
      <c r="F52" s="18">
        <v>6.099609375</v>
      </c>
      <c r="G52" s="20">
        <v>8.3298566742417108</v>
      </c>
      <c r="H52" s="18">
        <v>1212.0223154201699</v>
      </c>
      <c r="J52" s="17">
        <v>1626</v>
      </c>
      <c r="K52" s="18">
        <v>0.64047662976629705</v>
      </c>
      <c r="L52" s="18">
        <v>9.52734375</v>
      </c>
      <c r="M52" s="20">
        <v>8.3602321049039201</v>
      </c>
      <c r="N52" s="18">
        <v>910.96084228493601</v>
      </c>
      <c r="P52" s="36">
        <v>1469</v>
      </c>
      <c r="Q52" s="37">
        <v>0.62271136827773899</v>
      </c>
      <c r="R52" s="37">
        <v>8.607421875</v>
      </c>
      <c r="S52" s="38">
        <v>8.5752723431702993</v>
      </c>
      <c r="T52" s="37">
        <v>136.56263604757601</v>
      </c>
      <c r="V52" s="19">
        <v>999.40803753627904</v>
      </c>
      <c r="W52" s="19">
        <v>832.51571496613894</v>
      </c>
      <c r="X52" s="35">
        <v>127.163401104974</v>
      </c>
    </row>
    <row r="53" spans="1:26" x14ac:dyDescent="0.2">
      <c r="G53" s="4"/>
      <c r="M53" s="4"/>
      <c r="S53" s="4"/>
    </row>
    <row r="54" spans="1:26" x14ac:dyDescent="0.2">
      <c r="G54" s="4"/>
      <c r="M54" s="4"/>
      <c r="S54" s="4"/>
    </row>
    <row r="55" spans="1:26" x14ac:dyDescent="0.2">
      <c r="A55" s="21" t="s">
        <v>75</v>
      </c>
      <c r="B55" s="5" t="s">
        <v>66</v>
      </c>
      <c r="C55" s="5"/>
      <c r="D55" s="7">
        <f>AVERAGE(D3:D11)</f>
        <v>909.88888888888891</v>
      </c>
      <c r="E55" s="6">
        <f>AVERAGE(E3:E11)</f>
        <v>0.66327630212171018</v>
      </c>
      <c r="F55" s="8">
        <f>AVERAGE(F3:F11)</f>
        <v>7.5106561305579227</v>
      </c>
      <c r="G55" s="8">
        <f>AVERAGE(G3:G11)</f>
        <v>8.3943754119019403</v>
      </c>
      <c r="H55" s="7">
        <f>AVERAGE(H3:H11)</f>
        <v>919.89960328074653</v>
      </c>
      <c r="I55" s="24"/>
      <c r="J55" s="7">
        <f>AVERAGE(J3:J11)</f>
        <v>1355.8888888888889</v>
      </c>
      <c r="K55" s="6">
        <f>AVERAGE(K3:K11)</f>
        <v>0.6520293150131814</v>
      </c>
      <c r="L55" s="8">
        <f>AVERAGE(L3:L11)</f>
        <v>11.243265493301278</v>
      </c>
      <c r="M55" s="8">
        <f>AVERAGE(M3:M11)</f>
        <v>8.4293282175174173</v>
      </c>
      <c r="N55" s="7">
        <f>AVERAGE(N3:N11)</f>
        <v>688.7904525538803</v>
      </c>
      <c r="O55" s="24"/>
      <c r="P55" s="7">
        <f>AVERAGE(P3:P11)</f>
        <v>1189.75</v>
      </c>
      <c r="Q55" s="6">
        <f>AVERAGE(Q3:Q11)</f>
        <v>0.6383994341120055</v>
      </c>
      <c r="R55" s="8">
        <f>AVERAGE(R3:R11)</f>
        <v>10.167021495277327</v>
      </c>
      <c r="S55" s="8">
        <f>AVERAGE(S3:S11)</f>
        <v>8.6387539470184507</v>
      </c>
      <c r="T55" s="7">
        <f>AVERAGE(T3:T11)</f>
        <v>247.85418799106537</v>
      </c>
      <c r="U55" s="24"/>
      <c r="V55" s="7">
        <f>AVERAGE(V3:V11)</f>
        <v>775.49476527236038</v>
      </c>
      <c r="W55" s="7">
        <f>AVERAGE(W3:W11)</f>
        <v>634.87000210553686</v>
      </c>
      <c r="X55" s="7">
        <f>AVERAGE(X3:X11)</f>
        <v>233.13224659820324</v>
      </c>
      <c r="Y55" s="7"/>
      <c r="Z55" s="7"/>
    </row>
    <row r="56" spans="1:26" x14ac:dyDescent="0.2">
      <c r="B56" s="9" t="s">
        <v>67</v>
      </c>
      <c r="C56" s="9"/>
      <c r="D56" s="11">
        <f>AVERAGE(D12:D20)</f>
        <v>1214.6666666666667</v>
      </c>
      <c r="E56" s="10">
        <f>AVERAGE(E12:E20)</f>
        <v>0.65403652712432792</v>
      </c>
      <c r="F56" s="12">
        <f>AVERAGE(F12:F20)</f>
        <v>7.7846306961300691</v>
      </c>
      <c r="G56" s="12">
        <f>AVERAGE(G12:G20)</f>
        <v>8.3840090756455119</v>
      </c>
      <c r="H56" s="11">
        <f>AVERAGE(H12:H20)</f>
        <v>759.02352937292994</v>
      </c>
      <c r="I56" s="24"/>
      <c r="J56" s="11">
        <f>AVERAGE(J12:J20)</f>
        <v>1785.7777777777778</v>
      </c>
      <c r="K56" s="10">
        <f>AVERAGE(K12:K20)</f>
        <v>0.65166040838085104</v>
      </c>
      <c r="L56" s="12">
        <f>AVERAGE(L12:L20)</f>
        <v>11.450910142578357</v>
      </c>
      <c r="M56" s="12">
        <f>AVERAGE(M12:M20)</f>
        <v>8.4127880268891388</v>
      </c>
      <c r="N56" s="11">
        <f>AVERAGE(N12:N20)</f>
        <v>529.71782061250678</v>
      </c>
      <c r="O56" s="24"/>
      <c r="P56" s="11">
        <f>AVERAGE(P12:P20)</f>
        <v>1672.375</v>
      </c>
      <c r="Q56" s="10">
        <f>AVERAGE(Q12:Q20)</f>
        <v>0.64168277163674325</v>
      </c>
      <c r="R56" s="12">
        <f>AVERAGE(R12:R20)</f>
        <v>10.68937934541475</v>
      </c>
      <c r="S56" s="12">
        <f>AVERAGE(S12:S20)</f>
        <v>8.6077626218535599</v>
      </c>
      <c r="T56" s="11">
        <f>AVERAGE(T12:T20)</f>
        <v>158.23492193821187</v>
      </c>
      <c r="U56" s="24"/>
      <c r="V56" s="11">
        <f>AVERAGE(V12:V20)</f>
        <v>652.33037189300671</v>
      </c>
      <c r="W56" s="11">
        <f>AVERAGE(W12:W20)</f>
        <v>489.01668507303879</v>
      </c>
      <c r="X56" s="11">
        <f>AVERAGE(X12:X20)</f>
        <v>148.47852241488326</v>
      </c>
      <c r="Y56" s="11"/>
      <c r="Z56" s="11"/>
    </row>
    <row r="57" spans="1:26" x14ac:dyDescent="0.2">
      <c r="B57" s="17" t="s">
        <v>68</v>
      </c>
      <c r="C57" s="17"/>
      <c r="D57" s="19">
        <f>AVERAGE(D21:D31)</f>
        <v>1073.3636363636363</v>
      </c>
      <c r="E57" s="18">
        <f>AVERAGE(E21:E31)</f>
        <v>0.64879470795196326</v>
      </c>
      <c r="F57" s="20">
        <f>AVERAGE(F21:F31)</f>
        <v>7.2028848706874067</v>
      </c>
      <c r="G57" s="20">
        <f>AVERAGE(G21:G31)</f>
        <v>8.42369464875609</v>
      </c>
      <c r="H57" s="19">
        <f>AVERAGE(H21:H31)</f>
        <v>862.21951569696034</v>
      </c>
      <c r="I57" s="24"/>
      <c r="J57" s="19">
        <f>AVERAGE(J21:J31)</f>
        <v>1606.1818181818182</v>
      </c>
      <c r="K57" s="18">
        <f>AVERAGE(K21:K31)</f>
        <v>0.65647119393699571</v>
      </c>
      <c r="L57" s="20">
        <f>AVERAGE(L21:L31)</f>
        <v>10.755368640624148</v>
      </c>
      <c r="M57" s="20">
        <f>AVERAGE(M21:M31)</f>
        <v>8.394202547599793</v>
      </c>
      <c r="N57" s="19">
        <f>AVERAGE(N21:N31)</f>
        <v>543.6193367413639</v>
      </c>
      <c r="O57" s="24"/>
      <c r="P57" s="19">
        <f>AVERAGE(P21:P31)</f>
        <v>1449.5555555555557</v>
      </c>
      <c r="Q57" s="18">
        <f>AVERAGE(Q21:Q31)</f>
        <v>0.62971130228248684</v>
      </c>
      <c r="R57" s="20">
        <f>AVERAGE(R21:R31)</f>
        <v>9.5620691878299642</v>
      </c>
      <c r="S57" s="20">
        <f>AVERAGE(S21:S31)</f>
        <v>8.6120129669441621</v>
      </c>
      <c r="T57" s="19">
        <f>AVERAGE(T21:T31)</f>
        <v>184.15642962159549</v>
      </c>
      <c r="U57" s="24"/>
      <c r="V57" s="19">
        <f>AVERAGE(V21:V31)</f>
        <v>740.89949426853536</v>
      </c>
      <c r="W57" s="19">
        <f>AVERAGE(W21:W31)</f>
        <v>494.81461318942598</v>
      </c>
      <c r="X57" s="19">
        <f>AVERAGE(X21:X31)</f>
        <v>173.76202244113503</v>
      </c>
      <c r="Y57" s="19"/>
      <c r="Z57" s="19"/>
    </row>
    <row r="58" spans="1:26" x14ac:dyDescent="0.2">
      <c r="E58" s="3"/>
      <c r="F58" s="4"/>
      <c r="G58" s="4"/>
      <c r="K58" s="3"/>
      <c r="L58" s="4"/>
      <c r="M58" s="4"/>
      <c r="P58"/>
      <c r="Q58" s="3"/>
      <c r="R58" s="4"/>
      <c r="S58" s="4"/>
      <c r="T58"/>
    </row>
    <row r="59" spans="1:26" x14ac:dyDescent="0.2">
      <c r="A59" t="s">
        <v>76</v>
      </c>
      <c r="B59" s="5" t="s">
        <v>66</v>
      </c>
      <c r="C59" s="5"/>
      <c r="D59" s="7">
        <f>STDEV(D3:D11)/SQRT(COUNT(D3:D11))</f>
        <v>114.19676542953351</v>
      </c>
      <c r="E59" s="6">
        <f>STDEV(E3:E11)/SQRT(COUNT(E3:E11))</f>
        <v>2.4179928415830262E-3</v>
      </c>
      <c r="F59" s="8">
        <f>STDEV(F3:F11)/SQRT(COUNT(F3:F11))</f>
        <v>0.24473747911719065</v>
      </c>
      <c r="G59" s="8">
        <f>STDEV(G3:G11)/SQRT(COUNT(G3:G11))</f>
        <v>9.8996948881387437E-3</v>
      </c>
      <c r="H59" s="7">
        <f>STDEV(H3:H11)/SQRT(COUNT(H3:H11))</f>
        <v>48.136657239334248</v>
      </c>
      <c r="I59" s="24"/>
      <c r="J59" s="7">
        <f>STDEV(J3:J11)/SQRT(COUNT(J3:J11))</f>
        <v>161.98374785113853</v>
      </c>
      <c r="K59" s="6">
        <f>STDEV(K3:K11)/SQRT(COUNT(K3:K11))</f>
        <v>2.9637034241935538E-3</v>
      </c>
      <c r="L59" s="8">
        <f>STDEV(L3:L11)/SQRT(COUNT(L3:L11))</f>
        <v>0.26023229119857433</v>
      </c>
      <c r="M59" s="8">
        <f>STDEV(M3:M11)/SQRT(COUNT(M3:M11))</f>
        <v>1.1360594116127302E-2</v>
      </c>
      <c r="N59" s="7">
        <f>STDEV(N3:N11)/SQRT(COUNT(N3:N11))</f>
        <v>47.670919481742267</v>
      </c>
      <c r="O59" s="24"/>
      <c r="P59" s="7">
        <f>STDEV(P3:P11)/SQRT(COUNT(P3:P11))</f>
        <v>161.5592273086605</v>
      </c>
      <c r="Q59" s="6">
        <f>STDEV(Q3:Q11)/SQRT(COUNT(Q3:Q11))</f>
        <v>3.3483982717740514E-3</v>
      </c>
      <c r="R59" s="8">
        <f>STDEV(R3:R11)/SQRT(COUNT(R3:R11))</f>
        <v>0.31461738627427605</v>
      </c>
      <c r="S59" s="8">
        <f>STDEV(S3:S11)/SQRT(COUNT(S3:S11))</f>
        <v>1.3843781881611275E-2</v>
      </c>
      <c r="T59" s="7">
        <f>STDEV(T3:T11)/SQRT(COUNT(T3:T11))</f>
        <v>44.581765137713965</v>
      </c>
      <c r="U59" s="24"/>
      <c r="V59" s="7">
        <f>STDEV(V3:V11)/SQRT(COUNT(V3:V11))</f>
        <v>36.926321440777407</v>
      </c>
      <c r="W59" s="7">
        <f>STDEV(W3:W11)/SQRT(COUNT(W3:W11))</f>
        <v>44.105753033745678</v>
      </c>
      <c r="X59" s="7">
        <f>STDEV(X3:X11)/SQRT(COUNT(X3:X11))</f>
        <v>41.770417666889706</v>
      </c>
      <c r="Y59" s="7"/>
      <c r="Z59" s="7"/>
    </row>
    <row r="60" spans="1:26" x14ac:dyDescent="0.2">
      <c r="B60" s="9" t="s">
        <v>67</v>
      </c>
      <c r="C60" s="9"/>
      <c r="D60" s="11">
        <f>STDEV(D12:D20)/SQRT(COUNT(D12:D20))</f>
        <v>79.959364679817213</v>
      </c>
      <c r="E60" s="10">
        <f>STDEV(E12:E20)/SQRT(COUNT(E12:E20))</f>
        <v>3.716081603571203E-3</v>
      </c>
      <c r="F60" s="12">
        <f>STDEV(F12:F20)/SQRT(COUNT(F12:F20))</f>
        <v>0.21091118367646075</v>
      </c>
      <c r="G60" s="12">
        <f>STDEV(G12:G20)/SQRT(COUNT(G12:G20))</f>
        <v>9.4147409087707076E-3</v>
      </c>
      <c r="H60" s="11">
        <f>STDEV(H12:H20)/SQRT(COUNT(H12:H20))</f>
        <v>63.14850610981938</v>
      </c>
      <c r="I60" s="24"/>
      <c r="J60" s="11">
        <f>STDEV(J12:J20)/SQRT(COUNT(J12:J20))</f>
        <v>111.78100834739548</v>
      </c>
      <c r="K60" s="10">
        <f>STDEV(K12:K20)/SQRT(COUNT(K12:K20))</f>
        <v>3.0290794161364123E-3</v>
      </c>
      <c r="L60" s="12">
        <f>STDEV(L12:L20)/SQRT(COUNT(L12:L20))</f>
        <v>0.24983807182586193</v>
      </c>
      <c r="M60" s="12">
        <f>STDEV(M12:M20)/SQRT(COUNT(M12:M20))</f>
        <v>1.5988200749691841E-2</v>
      </c>
      <c r="N60" s="11">
        <f>STDEV(N12:N20)/SQRT(COUNT(N12:N20))</f>
        <v>58.640333183017226</v>
      </c>
      <c r="O60" s="24"/>
      <c r="P60" s="11">
        <f>STDEV(P12:P20)/SQRT(COUNT(P12:P20))</f>
        <v>98.295643251076271</v>
      </c>
      <c r="Q60" s="10">
        <f>STDEV(Q12:Q20)/SQRT(COUNT(Q12:Q20))</f>
        <v>3.6070258773100369E-3</v>
      </c>
      <c r="R60" s="12">
        <f>STDEV(R12:R20)/SQRT(COUNT(R12:R20))</f>
        <v>0.11062623509685066</v>
      </c>
      <c r="S60" s="12">
        <f>STDEV(S12:S20)/SQRT(COUNT(S12:S20))</f>
        <v>9.3333482572594065E-3</v>
      </c>
      <c r="T60" s="11">
        <f>STDEV(T12:T20)/SQRT(COUNT(T12:T20))</f>
        <v>13.822091291720866</v>
      </c>
      <c r="U60" s="24"/>
      <c r="V60" s="11">
        <f>STDEV(V12:V20)/SQRT(COUNT(V12:V20))</f>
        <v>49.244677964736439</v>
      </c>
      <c r="W60" s="11">
        <f>STDEV(W12:W20)/SQRT(COUNT(W12:W20))</f>
        <v>54.137962925770516</v>
      </c>
      <c r="X60" s="11">
        <f>STDEV(X12:X20)/SQRT(COUNT(X12:X20))</f>
        <v>12.454891449255049</v>
      </c>
      <c r="Y60" s="11"/>
      <c r="Z60" s="11"/>
    </row>
    <row r="61" spans="1:26" x14ac:dyDescent="0.2">
      <c r="B61" s="17" t="s">
        <v>68</v>
      </c>
      <c r="C61" s="17"/>
      <c r="D61" s="19">
        <f>STDEV(D21:D31)/SQRT(COUNT(D21:D31))</f>
        <v>57.674363727785973</v>
      </c>
      <c r="E61" s="18">
        <f>STDEV(E21:E31)/SQRT(COUNT(E21:E31))</f>
        <v>3.9358198722375653E-3</v>
      </c>
      <c r="F61" s="20">
        <f>STDEV(F21:F31)/SQRT(COUNT(F21:F31))</f>
        <v>0.24870545163687166</v>
      </c>
      <c r="G61" s="20">
        <f>STDEV(G21:G31)/SQRT(COUNT(G21:G31))</f>
        <v>2.2710718501348318E-2</v>
      </c>
      <c r="H61" s="19">
        <f>STDEV(H21:H31)/SQRT(COUNT(H21:H31))</f>
        <v>40.583776783451469</v>
      </c>
      <c r="I61" s="24"/>
      <c r="J61" s="19">
        <f>STDEV(J21:J31)/SQRT(COUNT(J21:J31))</f>
        <v>88.217893276902061</v>
      </c>
      <c r="K61" s="18">
        <f>STDEV(K21:K31)/SQRT(COUNT(K21:K31))</f>
        <v>5.6897770308148151E-3</v>
      </c>
      <c r="L61" s="20">
        <f>STDEV(L21:L31)/SQRT(COUNT(L21:L31))</f>
        <v>0.33467406660423277</v>
      </c>
      <c r="M61" s="20">
        <f>STDEV(M21:M31)/SQRT(COUNT(M21:M31))</f>
        <v>2.0951906902966624E-2</v>
      </c>
      <c r="N61" s="19">
        <f>STDEV(N21:N31)/SQRT(COUNT(N21:N31))</f>
        <v>44.764368434214219</v>
      </c>
      <c r="O61" s="24"/>
      <c r="P61" s="19">
        <f>STDEV(P21:P31)/SQRT(COUNT(P21:P31))</f>
        <v>77.014989722620442</v>
      </c>
      <c r="Q61" s="18">
        <f>STDEV(Q21:Q31)/SQRT(COUNT(Q21:Q31))</f>
        <v>5.490683764864588E-3</v>
      </c>
      <c r="R61" s="20">
        <f>STDEV(R21:R31)/SQRT(COUNT(R21:R31))</f>
        <v>0.40065711440979007</v>
      </c>
      <c r="S61" s="20">
        <f>STDEV(S21:S31)/SQRT(COUNT(S21:S31))</f>
        <v>1.1358756940097183E-2</v>
      </c>
      <c r="T61" s="19">
        <f>STDEV(T21:T31)/SQRT(COUNT(T21:T31))</f>
        <v>27.668005059556688</v>
      </c>
      <c r="U61" s="24"/>
      <c r="V61" s="19">
        <f>STDEV(V21:V31)/SQRT(COUNT(V21:V31))</f>
        <v>34.503221347337671</v>
      </c>
      <c r="W61" s="19">
        <f>STDEV(W21:W31)/SQRT(COUNT(W21:W31))</f>
        <v>36.704167881380862</v>
      </c>
      <c r="X61" s="19">
        <f>STDEV(X21:X31)/SQRT(COUNT(X21:X31))</f>
        <v>25.993241174196068</v>
      </c>
      <c r="Y61" s="19"/>
      <c r="Z61" s="19"/>
    </row>
    <row r="62" spans="1:26" x14ac:dyDescent="0.2">
      <c r="E62" s="3"/>
      <c r="F62" s="4"/>
      <c r="G62" s="4"/>
      <c r="K62" s="3"/>
      <c r="L62" s="4"/>
      <c r="M62" s="4"/>
      <c r="P62"/>
      <c r="Q62" s="3"/>
      <c r="R62" s="4"/>
      <c r="S62" s="4"/>
      <c r="T62"/>
    </row>
    <row r="63" spans="1:26" x14ac:dyDescent="0.2">
      <c r="E63" s="3"/>
      <c r="F63" s="4"/>
      <c r="G63" s="4"/>
      <c r="K63" s="3"/>
      <c r="L63" s="4"/>
      <c r="M63" s="4"/>
      <c r="P63"/>
      <c r="Q63" s="3"/>
      <c r="R63" s="4"/>
      <c r="S63" s="4"/>
      <c r="T63"/>
    </row>
    <row r="64" spans="1:26" x14ac:dyDescent="0.2">
      <c r="A64" t="s">
        <v>75</v>
      </c>
      <c r="B64" s="13" t="s">
        <v>69</v>
      </c>
      <c r="C64" s="13"/>
      <c r="D64" s="15">
        <f>AVERAGE(D32:D39)</f>
        <v>1031.375</v>
      </c>
      <c r="E64" s="14">
        <f>AVERAGE(E32:E39)</f>
        <v>0.63884428454037767</v>
      </c>
      <c r="F64" s="16">
        <f>AVERAGE(F32:F39)</f>
        <v>6.8793526608175721</v>
      </c>
      <c r="G64" s="16">
        <f>AVERAGE(G32:G39)</f>
        <v>8.3749788864165016</v>
      </c>
      <c r="H64" s="15">
        <f>AVERAGE(H32:H39)</f>
        <v>1220.9648508243138</v>
      </c>
      <c r="I64" s="24"/>
      <c r="J64" s="15">
        <f>AVERAGE(J32:J39)</f>
        <v>1545.625</v>
      </c>
      <c r="K64" s="14">
        <f>AVERAGE(K32:K39)</f>
        <v>0.63143359923977294</v>
      </c>
      <c r="L64" s="16">
        <f>AVERAGE(L32:L39)</f>
        <v>10.285625774751274</v>
      </c>
      <c r="M64" s="16">
        <f>AVERAGE(M32:M39)</f>
        <v>8.3593890591534574</v>
      </c>
      <c r="N64" s="15">
        <f>AVERAGE(N32:N39)</f>
        <v>680.3902724719552</v>
      </c>
      <c r="O64" s="24"/>
      <c r="P64" s="15">
        <f>AVERAGE(P32:P39)</f>
        <v>1527.625</v>
      </c>
      <c r="Q64" s="14">
        <f>AVERAGE(Q32:Q39)</f>
        <v>0.62427033678649935</v>
      </c>
      <c r="R64" s="16">
        <f>AVERAGE(R32:R39)</f>
        <v>9.9944529589310651</v>
      </c>
      <c r="S64" s="16">
        <f>AVERAGE(S32:S39)</f>
        <v>8.63431021496325</v>
      </c>
      <c r="T64" s="15">
        <f>AVERAGE(T32:T39)</f>
        <v>184.52074220244208</v>
      </c>
      <c r="U64" s="24"/>
      <c r="V64" s="15">
        <f>AVERAGE(V32:V39)</f>
        <v>1071.8574628098572</v>
      </c>
      <c r="W64" s="15">
        <f>AVERAGE(W32:W39)</f>
        <v>638.59499292218243</v>
      </c>
      <c r="X64" s="15">
        <f>AVERAGE(X32:X39)</f>
        <v>176.81794488527612</v>
      </c>
      <c r="Y64" s="15"/>
      <c r="Z64" s="15"/>
    </row>
    <row r="65" spans="1:26" x14ac:dyDescent="0.2">
      <c r="B65" s="9" t="s">
        <v>70</v>
      </c>
      <c r="C65" s="9"/>
      <c r="D65" s="11">
        <f>AVERAGE(D40:D44)</f>
        <v>847.2</v>
      </c>
      <c r="E65" s="10">
        <f>AVERAGE(E40:E44)</f>
        <v>0.62462721864457227</v>
      </c>
      <c r="F65" s="12">
        <f>AVERAGE(F40:F44)</f>
        <v>7.225491342445312</v>
      </c>
      <c r="G65" s="12">
        <f>AVERAGE(G40:G44)</f>
        <v>8.3259538596742519</v>
      </c>
      <c r="H65" s="11">
        <f>AVERAGE(H40:H44)</f>
        <v>841.79515541037745</v>
      </c>
      <c r="I65" s="24"/>
      <c r="J65" s="11">
        <f>AVERAGE(J40:J44)</f>
        <v>1265.5999999999999</v>
      </c>
      <c r="K65" s="10">
        <f>AVERAGE(K40:K44)</f>
        <v>0.63184464099541815</v>
      </c>
      <c r="L65" s="12">
        <f>AVERAGE(L40:L44)</f>
        <v>10.548405353424254</v>
      </c>
      <c r="M65" s="12">
        <f>AVERAGE(M40:M44)</f>
        <v>8.3236010473717243</v>
      </c>
      <c r="N65" s="11">
        <f>AVERAGE(N40:N44)</f>
        <v>470.91457012950724</v>
      </c>
      <c r="O65" s="24"/>
      <c r="P65" s="11">
        <f>AVERAGE(P40:P44)</f>
        <v>1149.5999999999999</v>
      </c>
      <c r="Q65" s="10">
        <f>AVERAGE(Q40:Q44)</f>
        <v>0.60950589871701821</v>
      </c>
      <c r="R65" s="12">
        <f>AVERAGE(R40:R44)</f>
        <v>9.4856224135077607</v>
      </c>
      <c r="S65" s="12">
        <f>AVERAGE(S40:S44)</f>
        <v>8.6362485945506648</v>
      </c>
      <c r="T65" s="11">
        <f>AVERAGE(T40:T44)</f>
        <v>129.02956744075766</v>
      </c>
      <c r="U65" s="24"/>
      <c r="V65" s="11">
        <f>AVERAGE(V40:V44)</f>
        <v>764.48492183100939</v>
      </c>
      <c r="W65" s="11">
        <f>AVERAGE(W40:W44)</f>
        <v>443.621142792922</v>
      </c>
      <c r="X65" s="11">
        <f>AVERAGE(X40:X44)</f>
        <v>124.92199432557773</v>
      </c>
      <c r="Y65" s="11"/>
      <c r="Z65" s="11"/>
    </row>
    <row r="66" spans="1:26" x14ac:dyDescent="0.2">
      <c r="B66" s="17" t="s">
        <v>71</v>
      </c>
      <c r="C66" s="17"/>
      <c r="D66" s="19">
        <f>AVERAGE(D45:D52)</f>
        <v>1136.375</v>
      </c>
      <c r="E66" s="18">
        <f>AVERAGE(E45:E52)</f>
        <v>0.63036175609873424</v>
      </c>
      <c r="F66" s="20">
        <f>AVERAGE(F45:F52)</f>
        <v>7.0311769006776919</v>
      </c>
      <c r="G66" s="20">
        <f>AVERAGE(G45:G52)</f>
        <v>8.3187809403732782</v>
      </c>
      <c r="H66" s="19">
        <f>AVERAGE(H45:H52)</f>
        <v>984.69960557558488</v>
      </c>
      <c r="I66" s="24"/>
      <c r="J66" s="19">
        <f>AVERAGE(J45:J52)</f>
        <v>1628.875</v>
      </c>
      <c r="K66" s="18">
        <f>AVERAGE(K45:K52)</f>
        <v>0.63225824323464763</v>
      </c>
      <c r="L66" s="20">
        <f>AVERAGE(L45:L52)</f>
        <v>10.038764113584058</v>
      </c>
      <c r="M66" s="20">
        <f>AVERAGE(M45:M52)</f>
        <v>8.3692943118913767</v>
      </c>
      <c r="N66" s="19">
        <f>AVERAGE(N45:N52)</f>
        <v>681.0839366869119</v>
      </c>
      <c r="O66" s="24"/>
      <c r="P66" s="19">
        <f>AVERAGE(P45:P52)</f>
        <v>1574</v>
      </c>
      <c r="Q66" s="18">
        <f>AVERAGE(Q45:Q52)</f>
        <v>0.6209872426488191</v>
      </c>
      <c r="R66" s="20">
        <f>AVERAGE(R45:R52)</f>
        <v>9.7397463654448035</v>
      </c>
      <c r="S66" s="20">
        <f>AVERAGE(S45:S52)</f>
        <v>8.6140884314953166</v>
      </c>
      <c r="T66" s="19">
        <f>AVERAGE(T45:T52)</f>
        <v>147.91820478741707</v>
      </c>
      <c r="U66" s="24"/>
      <c r="V66" s="19">
        <f>AVERAGE(V45:V52)</f>
        <v>881.42947950216308</v>
      </c>
      <c r="W66" s="19">
        <f>AVERAGE(W45:W52)</f>
        <v>635.57210286595</v>
      </c>
      <c r="X66" s="19">
        <f>AVERAGE(X45:X52)</f>
        <v>140.95432328471591</v>
      </c>
      <c r="Y66" s="19"/>
      <c r="Z66" s="19"/>
    </row>
    <row r="67" spans="1:26" x14ac:dyDescent="0.2">
      <c r="E67" s="3"/>
      <c r="F67" s="4"/>
      <c r="G67" s="4"/>
      <c r="K67" s="3"/>
      <c r="L67" s="4"/>
      <c r="M67" s="4"/>
      <c r="P67"/>
      <c r="Q67" s="3"/>
      <c r="R67" s="4"/>
      <c r="S67" s="4"/>
      <c r="T67"/>
    </row>
    <row r="68" spans="1:26" x14ac:dyDescent="0.2">
      <c r="A68" t="s">
        <v>76</v>
      </c>
      <c r="B68" s="13" t="s">
        <v>69</v>
      </c>
      <c r="C68" s="13"/>
      <c r="D68" s="15">
        <f>STDEV(D32:D39)/SQRT(COUNT(D32:D39))</f>
        <v>60.764162811173968</v>
      </c>
      <c r="E68" s="14">
        <f>STDEV(E32:E39)/SQRT(COUNT(E32:E39))</f>
        <v>4.9820793983246211E-3</v>
      </c>
      <c r="F68" s="16">
        <f>STDEV(F32:F39)/SQRT(COUNT(F32:F39))</f>
        <v>0.12200907763512849</v>
      </c>
      <c r="G68" s="16">
        <f>STDEV(G32:G39)/SQRT(COUNT(G32:G39))</f>
        <v>2.138342067209225E-2</v>
      </c>
      <c r="H68" s="15">
        <f>STDEV(H32:H39)/SQRT(COUNT(H32:H39))</f>
        <v>80.474746898538328</v>
      </c>
      <c r="I68" s="24"/>
      <c r="J68" s="15">
        <f>STDEV(J32:J39)/SQRT(COUNT(J32:J39))</f>
        <v>97.832206481301426</v>
      </c>
      <c r="K68" s="14">
        <f>STDEV(K32:K39)/SQRT(COUNT(K32:K39))</f>
        <v>2.366872281405882E-3</v>
      </c>
      <c r="L68" s="16">
        <f>STDEV(L32:L39)/SQRT(COUNT(L32:L39))</f>
        <v>0.15984385211529689</v>
      </c>
      <c r="M68" s="16">
        <f>STDEV(M32:M39)/SQRT(COUNT(M32:M39))</f>
        <v>9.6693735528381002E-3</v>
      </c>
      <c r="N68" s="15">
        <f>STDEV(N32:N39)/SQRT(COUNT(N32:N39))</f>
        <v>24.040593381687319</v>
      </c>
      <c r="O68" s="24"/>
      <c r="P68" s="15">
        <f>STDEV(P32:P39)/SQRT(COUNT(P32:P39))</f>
        <v>167.66632866457456</v>
      </c>
      <c r="Q68" s="14">
        <f>STDEV(Q32:Q39)/SQRT(COUNT(Q32:Q39))</f>
        <v>8.1963641780897541E-3</v>
      </c>
      <c r="R68" s="16">
        <f>STDEV(R32:R39)/SQRT(COUNT(R32:R39))</f>
        <v>0.5502857767552457</v>
      </c>
      <c r="S68" s="16">
        <f>STDEV(S32:S39)/SQRT(COUNT(S32:S39))</f>
        <v>2.0729010305617905E-2</v>
      </c>
      <c r="T68" s="15">
        <f>STDEV(T32:T39)/SQRT(COUNT(T32:T39))</f>
        <v>37.052032793514918</v>
      </c>
      <c r="U68" s="24"/>
      <c r="V68" s="15">
        <f>STDEV(V32:V39)/SQRT(COUNT(V32:V39))</f>
        <v>73.767892377057933</v>
      </c>
      <c r="W68" s="15">
        <f>STDEV(W32:W39)/SQRT(COUNT(W32:W39))</f>
        <v>21.808259947785967</v>
      </c>
      <c r="X68" s="15">
        <f>STDEV(X32:X39)/SQRT(COUNT(X32:X39))</f>
        <v>36.441368470619501</v>
      </c>
      <c r="Y68" s="15"/>
      <c r="Z68" s="15"/>
    </row>
    <row r="69" spans="1:26" x14ac:dyDescent="0.2">
      <c r="B69" s="9" t="s">
        <v>70</v>
      </c>
      <c r="C69" s="9"/>
      <c r="D69" s="11">
        <f>STDEV(D40:D44)/SQRT(COUNT(D40:D44))</f>
        <v>69.698206576640047</v>
      </c>
      <c r="E69" s="10">
        <f t="shared" ref="E69:X69" si="0">STDEV(E40:E44)/SQRT(COUNT(E40:E44))</f>
        <v>7.5330443057251379E-3</v>
      </c>
      <c r="F69" s="12">
        <f t="shared" si="0"/>
        <v>0.30545088731456826</v>
      </c>
      <c r="G69" s="12">
        <f t="shared" si="0"/>
        <v>2.7474894988078015E-2</v>
      </c>
      <c r="H69" s="11">
        <f t="shared" si="0"/>
        <v>65.812338534495339</v>
      </c>
      <c r="I69" s="24"/>
      <c r="J69" s="11">
        <f t="shared" si="0"/>
        <v>158.30559055194482</v>
      </c>
      <c r="K69" s="10">
        <f t="shared" si="0"/>
        <v>2.1311581630840187E-3</v>
      </c>
      <c r="L69" s="12">
        <f t="shared" si="0"/>
        <v>0.23465243905026564</v>
      </c>
      <c r="M69" s="12">
        <f t="shared" si="0"/>
        <v>2.7624377785533581E-2</v>
      </c>
      <c r="N69" s="11">
        <f t="shared" si="0"/>
        <v>67.019578539651263</v>
      </c>
      <c r="O69" s="24"/>
      <c r="P69" s="11">
        <f t="shared" si="0"/>
        <v>184.90148728444564</v>
      </c>
      <c r="Q69" s="10">
        <f t="shared" si="0"/>
        <v>9.240009623172691E-3</v>
      </c>
      <c r="R69" s="12">
        <f t="shared" si="0"/>
        <v>1.0470929378847051</v>
      </c>
      <c r="S69" s="12">
        <f t="shared" si="0"/>
        <v>2.8391993862081369E-2</v>
      </c>
      <c r="T69" s="11">
        <f t="shared" si="0"/>
        <v>32.797456834122528</v>
      </c>
      <c r="U69" s="24"/>
      <c r="V69" s="11">
        <f t="shared" si="0"/>
        <v>74.420430496450095</v>
      </c>
      <c r="W69" s="11">
        <f t="shared" si="0"/>
        <v>62.731628779005447</v>
      </c>
      <c r="X69" s="11">
        <f t="shared" si="0"/>
        <v>32.052663480201751</v>
      </c>
      <c r="Y69" s="11"/>
      <c r="Z69" s="11"/>
    </row>
    <row r="70" spans="1:26" x14ac:dyDescent="0.2">
      <c r="B70" s="17" t="s">
        <v>71</v>
      </c>
      <c r="C70" s="17"/>
      <c r="D70" s="19">
        <f>STDEV(D45:D52)/SQRT(COUNT(D45:D52))</f>
        <v>20.655280801770765</v>
      </c>
      <c r="E70" s="18">
        <f t="shared" ref="E70:X70" si="1">STDEV(E45:E52)/SQRT(COUNT(E45:E52))</f>
        <v>6.0365945404487345E-3</v>
      </c>
      <c r="F70" s="20">
        <f t="shared" si="1"/>
        <v>0.22689163629271314</v>
      </c>
      <c r="G70" s="20">
        <f t="shared" si="1"/>
        <v>2.3279510666952753E-2</v>
      </c>
      <c r="H70" s="19">
        <f t="shared" si="1"/>
        <v>43.286903007361119</v>
      </c>
      <c r="I70" s="24"/>
      <c r="J70" s="19">
        <f t="shared" si="1"/>
        <v>41.398083763451105</v>
      </c>
      <c r="K70" s="18">
        <f t="shared" si="1"/>
        <v>3.3803915428983196E-3</v>
      </c>
      <c r="L70" s="20">
        <f t="shared" si="1"/>
        <v>0.17244318053374147</v>
      </c>
      <c r="M70" s="20">
        <f t="shared" si="1"/>
        <v>1.8213724979234146E-2</v>
      </c>
      <c r="N70" s="19">
        <f t="shared" si="1"/>
        <v>51.120180226866971</v>
      </c>
      <c r="O70" s="24"/>
      <c r="P70" s="19">
        <f t="shared" si="1"/>
        <v>77.91318428683482</v>
      </c>
      <c r="Q70" s="18">
        <f t="shared" si="1"/>
        <v>7.6977831027853823E-3</v>
      </c>
      <c r="R70" s="20">
        <f t="shared" si="1"/>
        <v>0.56949050419775915</v>
      </c>
      <c r="S70" s="20">
        <f t="shared" si="1"/>
        <v>1.1839478080194121E-2</v>
      </c>
      <c r="T70" s="19">
        <f t="shared" si="1"/>
        <v>26.931881389857963</v>
      </c>
      <c r="U70" s="24"/>
      <c r="V70" s="19">
        <f t="shared" si="1"/>
        <v>37.320946175985341</v>
      </c>
      <c r="W70" s="19">
        <f t="shared" si="1"/>
        <v>45.887617745467516</v>
      </c>
      <c r="X70" s="19">
        <f t="shared" si="1"/>
        <v>26.00220194037836</v>
      </c>
      <c r="Y70" s="19"/>
      <c r="Z70" s="19"/>
    </row>
    <row r="71" spans="1:26" x14ac:dyDescent="0.2">
      <c r="E71" s="3"/>
      <c r="F71" s="4"/>
      <c r="G71" s="4"/>
      <c r="K71" s="3"/>
      <c r="L71" s="4"/>
      <c r="M71" s="4"/>
      <c r="P71"/>
      <c r="Q71" s="3"/>
      <c r="R71" s="4"/>
      <c r="S71" s="4"/>
      <c r="T71"/>
    </row>
    <row r="72" spans="1:26" x14ac:dyDescent="0.2">
      <c r="E72" s="3"/>
      <c r="F72" s="4"/>
      <c r="G72" s="4"/>
      <c r="K72" s="3"/>
      <c r="L72" s="4"/>
      <c r="M72" s="4"/>
      <c r="P72"/>
      <c r="Q72" s="3"/>
      <c r="R72" s="4"/>
      <c r="S72" s="4"/>
      <c r="T72"/>
    </row>
    <row r="75" spans="1:26" x14ac:dyDescent="0.2">
      <c r="B75" t="s">
        <v>0</v>
      </c>
    </row>
    <row r="86" spans="2:2" x14ac:dyDescent="0.2">
      <c r="B86" t="s">
        <v>1</v>
      </c>
    </row>
    <row r="97" spans="2:2" x14ac:dyDescent="0.2">
      <c r="B97" t="s">
        <v>77</v>
      </c>
    </row>
    <row r="108" spans="2:2" x14ac:dyDescent="0.2">
      <c r="B108" t="s">
        <v>3</v>
      </c>
    </row>
    <row r="118" spans="2:2" x14ac:dyDescent="0.2">
      <c r="B118" t="s">
        <v>2</v>
      </c>
    </row>
    <row r="129" spans="2:2" x14ac:dyDescent="0.2">
      <c r="B129" t="s">
        <v>78</v>
      </c>
    </row>
  </sheetData>
  <mergeCells count="3">
    <mergeCell ref="D1:H1"/>
    <mergeCell ref="J1:N1"/>
    <mergeCell ref="P1:T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Views>
    <sheetView tabSelected="1" topLeftCell="B71" workbookViewId="0">
      <selection activeCell="N46" sqref="N46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.83203125" customWidth="1"/>
    <col min="4" max="4" width="6.5" bestFit="1" customWidth="1"/>
    <col min="5" max="5" width="9.6640625" bestFit="1" customWidth="1"/>
    <col min="6" max="6" width="16.5" bestFit="1" customWidth="1"/>
    <col min="7" max="7" width="10.33203125" bestFit="1" customWidth="1"/>
    <col min="8" max="8" width="13.5" bestFit="1" customWidth="1"/>
    <col min="9" max="9" width="9.1640625" style="23"/>
    <col min="10" max="10" width="6.5" bestFit="1" customWidth="1"/>
    <col min="11" max="11" width="9.6640625" bestFit="1" customWidth="1"/>
    <col min="12" max="12" width="16.5" bestFit="1" customWidth="1"/>
    <col min="13" max="13" width="10.33203125" bestFit="1" customWidth="1"/>
    <col min="14" max="14" width="13.5" bestFit="1" customWidth="1"/>
    <col min="15" max="15" width="9.1640625" style="23"/>
    <col min="16" max="16" width="6.5" style="1" bestFit="1" customWidth="1"/>
    <col min="17" max="17" width="9.6640625" style="1" bestFit="1" customWidth="1"/>
    <col min="18" max="18" width="16.5" style="1" bestFit="1" customWidth="1"/>
    <col min="19" max="19" width="10.33203125" style="1" bestFit="1" customWidth="1"/>
    <col min="20" max="20" width="13.5" style="1" bestFit="1" customWidth="1"/>
    <col min="21" max="21" width="9.1640625" style="23"/>
    <col min="22" max="23" width="9.33203125" style="28" bestFit="1" customWidth="1"/>
    <col min="24" max="24" width="10.5" style="28" bestFit="1" customWidth="1"/>
    <col min="26" max="26" width="16.83203125" customWidth="1"/>
  </cols>
  <sheetData>
    <row r="1" spans="1:27" s="2" customFormat="1" x14ac:dyDescent="0.2">
      <c r="D1" s="39" t="s">
        <v>4</v>
      </c>
      <c r="E1" s="39"/>
      <c r="F1" s="39"/>
      <c r="G1" s="39"/>
      <c r="H1" s="39"/>
      <c r="I1" s="22"/>
      <c r="J1" s="39" t="s">
        <v>5</v>
      </c>
      <c r="K1" s="39"/>
      <c r="L1" s="39"/>
      <c r="M1" s="39"/>
      <c r="N1" s="39"/>
      <c r="O1" s="22"/>
      <c r="P1" s="40" t="s">
        <v>6</v>
      </c>
      <c r="Q1" s="40"/>
      <c r="R1" s="40"/>
      <c r="S1" s="40"/>
      <c r="T1" s="40"/>
      <c r="U1" s="22"/>
      <c r="V1" s="25" t="s">
        <v>62</v>
      </c>
      <c r="W1" s="25"/>
      <c r="X1" s="25"/>
    </row>
    <row r="2" spans="1:27" s="2" customFormat="1" x14ac:dyDescent="0.2">
      <c r="A2" s="2" t="s">
        <v>63</v>
      </c>
      <c r="D2" s="2" t="s">
        <v>0</v>
      </c>
      <c r="E2" s="2" t="s">
        <v>72</v>
      </c>
      <c r="F2" s="2" t="s">
        <v>73</v>
      </c>
      <c r="G2" s="2" t="s">
        <v>3</v>
      </c>
      <c r="H2" s="2" t="s">
        <v>74</v>
      </c>
      <c r="I2" s="22"/>
      <c r="J2" s="2" t="s">
        <v>0</v>
      </c>
      <c r="K2" s="2" t="s">
        <v>72</v>
      </c>
      <c r="L2" s="2" t="s">
        <v>73</v>
      </c>
      <c r="M2" s="2" t="s">
        <v>3</v>
      </c>
      <c r="N2" s="2" t="s">
        <v>74</v>
      </c>
      <c r="O2" s="22"/>
      <c r="P2" s="2" t="s">
        <v>0</v>
      </c>
      <c r="Q2" s="2" t="s">
        <v>72</v>
      </c>
      <c r="R2" s="2" t="s">
        <v>73</v>
      </c>
      <c r="S2" s="2" t="s">
        <v>3</v>
      </c>
      <c r="T2" s="2" t="s">
        <v>74</v>
      </c>
      <c r="U2" s="22"/>
      <c r="V2" s="25" t="s">
        <v>4</v>
      </c>
      <c r="W2" s="25" t="s">
        <v>5</v>
      </c>
      <c r="X2" s="25" t="s">
        <v>6</v>
      </c>
      <c r="Z2" s="2" t="s">
        <v>7</v>
      </c>
    </row>
    <row r="3" spans="1:27" x14ac:dyDescent="0.2">
      <c r="A3" s="5" t="s">
        <v>12</v>
      </c>
      <c r="B3" s="5"/>
      <c r="C3" s="5"/>
      <c r="D3" s="5">
        <v>194</v>
      </c>
      <c r="E3" s="6">
        <v>0.62585567010309295</v>
      </c>
      <c r="F3" s="6">
        <v>5.8808788579373701</v>
      </c>
      <c r="G3" s="8">
        <v>10.8254254368158</v>
      </c>
      <c r="H3" s="6">
        <v>1115.9691074919699</v>
      </c>
      <c r="J3" s="5">
        <v>258</v>
      </c>
      <c r="K3" s="6">
        <v>0.53584108527131802</v>
      </c>
      <c r="L3" s="6">
        <v>7.8209626048857803</v>
      </c>
      <c r="M3" s="8">
        <v>10.155421447729699</v>
      </c>
      <c r="N3" s="6">
        <v>569.25658005326898</v>
      </c>
      <c r="P3" s="5">
        <v>224</v>
      </c>
      <c r="Q3" s="6">
        <v>0.53409821428571402</v>
      </c>
      <c r="R3" s="6">
        <v>6.7902931143194403</v>
      </c>
      <c r="S3" s="8">
        <v>11.195408793707299</v>
      </c>
      <c r="T3" s="6">
        <v>224.29213101409599</v>
      </c>
      <c r="V3" s="7">
        <v>980.66494752661401</v>
      </c>
      <c r="W3" s="7">
        <v>639.08821401244904</v>
      </c>
      <c r="X3" s="7">
        <v>254.71250184835799</v>
      </c>
      <c r="Z3" t="s">
        <v>8</v>
      </c>
      <c r="AA3" t="s">
        <v>82</v>
      </c>
    </row>
    <row r="4" spans="1:27" x14ac:dyDescent="0.2">
      <c r="A4" s="5" t="s">
        <v>13</v>
      </c>
      <c r="B4" s="5"/>
      <c r="C4" s="5"/>
      <c r="D4" s="5">
        <v>354</v>
      </c>
      <c r="E4" s="6">
        <v>0.62117231638418102</v>
      </c>
      <c r="F4" s="6">
        <v>5.53226424844555</v>
      </c>
      <c r="G4" s="8">
        <v>10.659244226286299</v>
      </c>
      <c r="H4" s="6">
        <v>997.183361671066</v>
      </c>
      <c r="J4" s="5">
        <v>392</v>
      </c>
      <c r="K4" s="6">
        <v>0.541655612244898</v>
      </c>
      <c r="L4" s="6">
        <v>6.1261231225724702</v>
      </c>
      <c r="M4" s="8">
        <v>10.094188404638601</v>
      </c>
      <c r="N4" s="6">
        <v>755.49950812294799</v>
      </c>
      <c r="P4" s="5">
        <v>368</v>
      </c>
      <c r="Q4" s="6">
        <v>0.52088043478260904</v>
      </c>
      <c r="R4" s="6">
        <v>5.7510543599659902</v>
      </c>
      <c r="S4" s="8">
        <v>11.192989007408601</v>
      </c>
      <c r="T4" s="6">
        <v>375.80790212584702</v>
      </c>
      <c r="V4" s="7">
        <v>869.41589203245496</v>
      </c>
      <c r="W4" s="7">
        <v>829.15511113653804</v>
      </c>
      <c r="X4" s="7">
        <v>430.26641384052601</v>
      </c>
      <c r="Z4" t="s">
        <v>10</v>
      </c>
      <c r="AA4" t="s">
        <v>79</v>
      </c>
    </row>
    <row r="5" spans="1:27" x14ac:dyDescent="0.2">
      <c r="A5" s="5" t="s">
        <v>14</v>
      </c>
      <c r="B5" s="5"/>
      <c r="C5" s="5"/>
      <c r="D5" s="5">
        <v>812</v>
      </c>
      <c r="E5" s="6">
        <v>0.56668965517241399</v>
      </c>
      <c r="F5" s="6">
        <v>5.7452830188679203</v>
      </c>
      <c r="G5" s="8">
        <v>10.4115519722044</v>
      </c>
      <c r="H5" s="6">
        <v>999.84645521201105</v>
      </c>
      <c r="J5" s="5">
        <v>883</v>
      </c>
      <c r="K5" s="6">
        <v>0.53807927519818799</v>
      </c>
      <c r="L5" s="6">
        <v>6.2476415094339597</v>
      </c>
      <c r="M5" s="8">
        <v>10.176075126540599</v>
      </c>
      <c r="N5" s="6">
        <v>569.60498290426096</v>
      </c>
      <c r="P5" s="5">
        <v>656</v>
      </c>
      <c r="Q5" s="6">
        <v>0.52866920731707401</v>
      </c>
      <c r="R5" s="6">
        <v>4.64150943396226</v>
      </c>
      <c r="S5" s="8">
        <v>11.1599413356846</v>
      </c>
      <c r="T5" s="6">
        <v>270.53307434719198</v>
      </c>
      <c r="V5" s="7">
        <v>998.38869483071505</v>
      </c>
      <c r="W5" s="7">
        <v>629.62751826629301</v>
      </c>
      <c r="X5" s="7">
        <v>301.39084053700401</v>
      </c>
      <c r="Z5" t="s">
        <v>9</v>
      </c>
      <c r="AA5" t="s">
        <v>64</v>
      </c>
    </row>
    <row r="6" spans="1:27" x14ac:dyDescent="0.2">
      <c r="A6" s="5" t="s">
        <v>15</v>
      </c>
      <c r="B6" s="5"/>
      <c r="C6" s="5"/>
      <c r="D6" s="5">
        <v>750</v>
      </c>
      <c r="E6" s="6">
        <v>0.64862266666666601</v>
      </c>
      <c r="F6" s="6">
        <v>5.0238913946322503</v>
      </c>
      <c r="G6" s="8">
        <v>10.920697486136801</v>
      </c>
      <c r="H6" s="6">
        <v>1053.3833964113101</v>
      </c>
      <c r="J6" s="5">
        <v>1186</v>
      </c>
      <c r="K6" s="6">
        <v>0.54391062394603695</v>
      </c>
      <c r="L6" s="6">
        <v>7.94444692537847</v>
      </c>
      <c r="M6" s="8">
        <v>10.1436265434437</v>
      </c>
      <c r="N6" s="6">
        <v>456.60379226446003</v>
      </c>
      <c r="P6" s="5">
        <v>666</v>
      </c>
      <c r="Q6" s="6">
        <v>0.53082882882882798</v>
      </c>
      <c r="R6" s="6">
        <v>4.4612155584334401</v>
      </c>
      <c r="S6" s="8">
        <v>11.0630146149574</v>
      </c>
      <c r="T6" s="6">
        <v>577.45857231544198</v>
      </c>
      <c r="V6" s="7">
        <v>862.82898710993197</v>
      </c>
      <c r="W6" s="7">
        <v>503.79876236570698</v>
      </c>
      <c r="X6" s="7">
        <v>643.61703771921304</v>
      </c>
      <c r="Z6" t="s">
        <v>11</v>
      </c>
      <c r="AA6" t="s">
        <v>65</v>
      </c>
    </row>
    <row r="7" spans="1:27" x14ac:dyDescent="0.2">
      <c r="A7" s="5" t="s">
        <v>16</v>
      </c>
      <c r="B7" s="5"/>
      <c r="C7" s="5"/>
      <c r="D7" s="5">
        <v>848</v>
      </c>
      <c r="E7" s="6">
        <v>0.62368278301886804</v>
      </c>
      <c r="F7" s="6">
        <v>5.5850713501646503</v>
      </c>
      <c r="G7" s="8">
        <v>10.7330087652835</v>
      </c>
      <c r="H7" s="6">
        <v>997.48680195185295</v>
      </c>
      <c r="J7" s="5">
        <v>1061</v>
      </c>
      <c r="K7" s="6">
        <v>0.54926861451460895</v>
      </c>
      <c r="L7" s="6">
        <v>6.9879253567508197</v>
      </c>
      <c r="M7" s="8">
        <v>10.0540600573318</v>
      </c>
      <c r="N7" s="6">
        <v>657.71541356761895</v>
      </c>
      <c r="P7" s="29"/>
      <c r="Q7" s="30"/>
      <c r="R7" s="30"/>
      <c r="S7" s="31"/>
      <c r="T7" s="30"/>
      <c r="V7" s="7">
        <v>875.30950397282402</v>
      </c>
      <c r="W7" s="7">
        <v>717.43202381941501</v>
      </c>
      <c r="X7" s="26"/>
    </row>
    <row r="8" spans="1:27" x14ac:dyDescent="0.2">
      <c r="A8" s="5" t="s">
        <v>17</v>
      </c>
      <c r="B8" s="5"/>
      <c r="C8" s="5"/>
      <c r="D8" s="5">
        <v>678</v>
      </c>
      <c r="E8" s="6">
        <v>0.61322123893805403</v>
      </c>
      <c r="F8" s="6">
        <v>5.0534161490683198</v>
      </c>
      <c r="G8" s="8">
        <v>10.691029139372001</v>
      </c>
      <c r="H8" s="6">
        <v>1152.8570284181999</v>
      </c>
      <c r="J8" s="5">
        <v>827</v>
      </c>
      <c r="K8" s="6">
        <v>0.55734099153567096</v>
      </c>
      <c r="L8" s="6">
        <v>6.1639751552795001</v>
      </c>
      <c r="M8" s="8">
        <v>10.198358521589901</v>
      </c>
      <c r="N8" s="6">
        <v>746.00655978398402</v>
      </c>
      <c r="P8" s="5">
        <v>580</v>
      </c>
      <c r="Q8" s="6">
        <v>0.52519482758620695</v>
      </c>
      <c r="R8" s="6">
        <v>4.3229813664596302</v>
      </c>
      <c r="S8" s="8">
        <v>11.1576482740687</v>
      </c>
      <c r="T8" s="6">
        <v>218.887225510229</v>
      </c>
      <c r="V8" s="7">
        <v>1016.39110856638</v>
      </c>
      <c r="W8" s="7">
        <v>794.88480123150998</v>
      </c>
      <c r="X8" s="7">
        <v>247.70570183228699</v>
      </c>
    </row>
    <row r="9" spans="1:27" x14ac:dyDescent="0.2">
      <c r="A9" s="5" t="s">
        <v>18</v>
      </c>
      <c r="B9" s="5"/>
      <c r="C9" s="5"/>
      <c r="D9" s="5">
        <v>621</v>
      </c>
      <c r="E9" s="6">
        <v>0.634966183574879</v>
      </c>
      <c r="F9" s="6">
        <v>5.1322314049586799</v>
      </c>
      <c r="G9" s="8">
        <v>10.9094980800829</v>
      </c>
      <c r="H9" s="6">
        <v>1510.74369222778</v>
      </c>
      <c r="J9" s="5">
        <v>804</v>
      </c>
      <c r="K9" s="6">
        <v>0.536376865671642</v>
      </c>
      <c r="L9" s="6">
        <v>6.6446280991735502</v>
      </c>
      <c r="M9" s="8">
        <v>10.1571608294479</v>
      </c>
      <c r="N9" s="6">
        <v>708.21123138415305</v>
      </c>
      <c r="P9" s="5">
        <v>643</v>
      </c>
      <c r="Q9" s="6">
        <v>0.52090513219284595</v>
      </c>
      <c r="R9" s="6">
        <v>5.3140495867768598</v>
      </c>
      <c r="S9" s="8">
        <v>11.256159241880701</v>
      </c>
      <c r="T9" s="6">
        <v>139.61830807629201</v>
      </c>
      <c r="V9" s="7">
        <v>1293.65646587265</v>
      </c>
      <c r="W9" s="7">
        <v>791.47123376729405</v>
      </c>
      <c r="X9" s="7">
        <v>161.10324698826199</v>
      </c>
    </row>
    <row r="10" spans="1:27" x14ac:dyDescent="0.2">
      <c r="A10" s="5" t="s">
        <v>19</v>
      </c>
      <c r="B10" s="5"/>
      <c r="C10" s="5"/>
      <c r="D10" s="5">
        <v>722</v>
      </c>
      <c r="E10" s="6">
        <v>0.630634349030471</v>
      </c>
      <c r="F10" s="6">
        <v>4.9678899082568799</v>
      </c>
      <c r="G10" s="8">
        <v>10.8586181961342</v>
      </c>
      <c r="H10" s="6">
        <v>1287.38311038487</v>
      </c>
      <c r="J10" s="5">
        <v>962</v>
      </c>
      <c r="K10" s="6">
        <v>0.54541164241164197</v>
      </c>
      <c r="L10" s="6">
        <v>6.6192660550458697</v>
      </c>
      <c r="M10" s="8">
        <v>10.204939295726</v>
      </c>
      <c r="N10" s="6">
        <v>931.89956576554903</v>
      </c>
      <c r="P10" s="5">
        <v>932</v>
      </c>
      <c r="Q10" s="6">
        <v>0.52798283261802603</v>
      </c>
      <c r="R10" s="6">
        <v>6.4128440366972503</v>
      </c>
      <c r="S10" s="8">
        <v>11.277986728061199</v>
      </c>
      <c r="T10" s="6">
        <v>189.956692107831</v>
      </c>
      <c r="V10" s="7">
        <v>1081.9445730595401</v>
      </c>
      <c r="W10" s="7">
        <v>1017.69580611354</v>
      </c>
      <c r="X10" s="7">
        <v>216.69166296863401</v>
      </c>
    </row>
    <row r="11" spans="1:27" x14ac:dyDescent="0.2">
      <c r="A11" s="5" t="s">
        <v>20</v>
      </c>
      <c r="B11" s="5"/>
      <c r="C11" s="5"/>
      <c r="D11" s="5">
        <v>908</v>
      </c>
      <c r="E11" s="6">
        <v>0.60687555066079302</v>
      </c>
      <c r="F11" s="6">
        <v>5.8833693304535597</v>
      </c>
      <c r="G11" s="8">
        <v>10.524774700311299</v>
      </c>
      <c r="H11" s="6">
        <v>912.73597960749896</v>
      </c>
      <c r="J11" s="5">
        <v>1063</v>
      </c>
      <c r="K11" s="6">
        <v>0.550832549388523</v>
      </c>
      <c r="L11" s="6">
        <v>6.8876889848812102</v>
      </c>
      <c r="M11" s="8">
        <v>10.1106383321798</v>
      </c>
      <c r="N11" s="6">
        <v>897.15708221029695</v>
      </c>
      <c r="P11" s="5">
        <v>664</v>
      </c>
      <c r="Q11" s="6">
        <v>0.52167469879518102</v>
      </c>
      <c r="R11" s="6">
        <v>4.3023758099352101</v>
      </c>
      <c r="S11" s="8">
        <v>10.9958515797928</v>
      </c>
      <c r="T11" s="6">
        <v>540.47196839889295</v>
      </c>
      <c r="V11" s="7">
        <v>839.18829861623396</v>
      </c>
      <c r="W11" s="7">
        <v>961.01148928617204</v>
      </c>
      <c r="X11" s="7">
        <v>612.92435026526402</v>
      </c>
    </row>
    <row r="12" spans="1:27" x14ac:dyDescent="0.2">
      <c r="A12" s="9" t="s">
        <v>21</v>
      </c>
      <c r="B12" s="9"/>
      <c r="C12" s="9"/>
      <c r="D12" s="9">
        <v>1038</v>
      </c>
      <c r="E12" s="10">
        <v>0.60967148362235102</v>
      </c>
      <c r="F12" s="10">
        <v>5.3276304533789602</v>
      </c>
      <c r="G12" s="12">
        <v>10.6841788905986</v>
      </c>
      <c r="H12" s="10">
        <v>518.95927356831396</v>
      </c>
      <c r="J12" s="9">
        <v>1557</v>
      </c>
      <c r="K12" s="10">
        <v>0.55405587668593403</v>
      </c>
      <c r="L12" s="10">
        <v>7.9914456800684297</v>
      </c>
      <c r="M12" s="12">
        <v>10.076895774240899</v>
      </c>
      <c r="N12" s="10">
        <v>479.95385674229402</v>
      </c>
      <c r="P12" s="9">
        <v>865</v>
      </c>
      <c r="Q12" s="10">
        <v>0.52032369942196599</v>
      </c>
      <c r="R12" s="10">
        <v>4.4396920444824604</v>
      </c>
      <c r="S12" s="12">
        <v>11.204194320770901</v>
      </c>
      <c r="T12" s="10">
        <v>213.186986923506</v>
      </c>
      <c r="V12" s="27">
        <v>472.15022954499301</v>
      </c>
      <c r="W12" s="11">
        <v>523.792583414614</v>
      </c>
      <c r="X12" s="27">
        <v>243.11665625581301</v>
      </c>
    </row>
    <row r="13" spans="1:27" x14ac:dyDescent="0.2">
      <c r="A13" s="9" t="s">
        <v>22</v>
      </c>
      <c r="B13" s="9"/>
      <c r="C13" s="9"/>
      <c r="D13" s="9">
        <v>766</v>
      </c>
      <c r="E13" s="10">
        <v>0.633976501305484</v>
      </c>
      <c r="F13" s="10">
        <v>4.9956521739130402</v>
      </c>
      <c r="G13" s="12">
        <v>10.8555122602364</v>
      </c>
      <c r="H13" s="10">
        <v>1220.0840801838201</v>
      </c>
      <c r="J13" s="9">
        <v>966</v>
      </c>
      <c r="K13" s="10">
        <v>0.54482194616977198</v>
      </c>
      <c r="L13" s="10">
        <v>6.3</v>
      </c>
      <c r="M13" s="12">
        <v>10.283854970415501</v>
      </c>
      <c r="N13" s="10">
        <v>434.781863550612</v>
      </c>
      <c r="P13" s="9">
        <v>763</v>
      </c>
      <c r="Q13" s="10">
        <v>0.51748099606815201</v>
      </c>
      <c r="R13" s="10">
        <v>4.9760869565217396</v>
      </c>
      <c r="S13" s="12">
        <v>11.119050054296199</v>
      </c>
      <c r="T13" s="10">
        <v>150.211104381165</v>
      </c>
      <c r="V13" s="11">
        <v>1034.2597531593799</v>
      </c>
      <c r="W13" s="11">
        <v>476.37205261930302</v>
      </c>
      <c r="X13" s="11">
        <v>174.57567703629201</v>
      </c>
    </row>
    <row r="14" spans="1:27" x14ac:dyDescent="0.2">
      <c r="A14" s="9" t="s">
        <v>23</v>
      </c>
      <c r="B14" s="9"/>
      <c r="C14" s="9"/>
      <c r="D14" s="9">
        <v>646</v>
      </c>
      <c r="E14" s="10">
        <v>0.60730650154798704</v>
      </c>
      <c r="F14" s="10">
        <v>5.7764530551415803</v>
      </c>
      <c r="G14" s="12">
        <v>10.876025579673</v>
      </c>
      <c r="H14" s="10">
        <v>969.11674972358003</v>
      </c>
      <c r="J14" s="9">
        <v>805</v>
      </c>
      <c r="K14" s="10">
        <v>0.54713043478260903</v>
      </c>
      <c r="L14" s="10">
        <v>7.1982116244411296</v>
      </c>
      <c r="M14" s="12">
        <v>10.2701280082425</v>
      </c>
      <c r="N14" s="10">
        <v>343.66898914942999</v>
      </c>
      <c r="P14" s="9">
        <v>588</v>
      </c>
      <c r="Q14" s="10">
        <v>0.51291836734693796</v>
      </c>
      <c r="R14" s="10">
        <v>5.2578241430700503</v>
      </c>
      <c r="S14" s="12">
        <v>11.136987829245401</v>
      </c>
      <c r="T14" s="10">
        <v>203.401539212355</v>
      </c>
      <c r="V14" s="11">
        <v>877.73804982989998</v>
      </c>
      <c r="W14" s="11">
        <v>374.35250718878899</v>
      </c>
      <c r="X14" s="11">
        <v>240.01069794551199</v>
      </c>
    </row>
    <row r="15" spans="1:27" x14ac:dyDescent="0.2">
      <c r="A15" s="9" t="s">
        <v>24</v>
      </c>
      <c r="B15" s="9"/>
      <c r="C15" s="9"/>
      <c r="D15" s="9">
        <v>956</v>
      </c>
      <c r="E15" s="10">
        <v>0.63455648535564901</v>
      </c>
      <c r="F15" s="10">
        <v>5.1122994652406399</v>
      </c>
      <c r="G15" s="12">
        <v>10.898517340856101</v>
      </c>
      <c r="H15" s="10">
        <v>959.19389551824395</v>
      </c>
      <c r="J15" s="9">
        <v>1205</v>
      </c>
      <c r="K15" s="10">
        <v>0.54244481327800798</v>
      </c>
      <c r="L15" s="10">
        <v>6.4438502673796796</v>
      </c>
      <c r="M15" s="12">
        <v>10.1860642912026</v>
      </c>
      <c r="N15" s="10">
        <v>427.58088961855202</v>
      </c>
      <c r="P15" s="9">
        <v>930</v>
      </c>
      <c r="Q15" s="10">
        <v>0.51456021505376404</v>
      </c>
      <c r="R15" s="10">
        <v>4.9732620320855601</v>
      </c>
      <c r="S15" s="12">
        <v>11.2297753210254</v>
      </c>
      <c r="T15" s="10">
        <v>165.628221643828</v>
      </c>
      <c r="V15" s="11">
        <v>820.42336641842098</v>
      </c>
      <c r="W15" s="11">
        <v>471.24089485075001</v>
      </c>
      <c r="X15" s="11">
        <v>192.907412506507</v>
      </c>
    </row>
    <row r="16" spans="1:27" x14ac:dyDescent="0.2">
      <c r="A16" s="9" t="s">
        <v>25</v>
      </c>
      <c r="B16" s="9"/>
      <c r="C16" s="9"/>
      <c r="D16" s="9">
        <v>746</v>
      </c>
      <c r="E16" s="10">
        <v>0.608605898123324</v>
      </c>
      <c r="F16" s="10">
        <v>5.16429758168728</v>
      </c>
      <c r="G16" s="12">
        <v>10.7378963234314</v>
      </c>
      <c r="H16" s="10">
        <v>694.21429484184296</v>
      </c>
      <c r="J16" s="9">
        <v>1016</v>
      </c>
      <c r="K16" s="10">
        <v>0.54545767716535398</v>
      </c>
      <c r="L16" s="10">
        <v>7.0334133284105604</v>
      </c>
      <c r="M16" s="12">
        <v>10.082666983780801</v>
      </c>
      <c r="N16" s="10">
        <v>634.76199423612002</v>
      </c>
      <c r="P16" s="9">
        <v>917</v>
      </c>
      <c r="Q16" s="10">
        <v>0.53430098146128702</v>
      </c>
      <c r="R16" s="10">
        <v>6.3480708879453598</v>
      </c>
      <c r="S16" s="12">
        <v>11.263593831527899</v>
      </c>
      <c r="T16" s="10">
        <v>289.31972326788099</v>
      </c>
      <c r="V16" s="11">
        <v>630.30782967840503</v>
      </c>
      <c r="W16" s="11">
        <v>690.129849167408</v>
      </c>
      <c r="X16" s="11">
        <v>326.46292851713201</v>
      </c>
    </row>
    <row r="17" spans="1:24" x14ac:dyDescent="0.2">
      <c r="A17" s="9" t="s">
        <v>26</v>
      </c>
      <c r="B17" s="9"/>
      <c r="C17" s="9"/>
      <c r="D17" s="9">
        <v>742</v>
      </c>
      <c r="E17" s="10">
        <v>0.616602425876011</v>
      </c>
      <c r="F17" s="10">
        <v>5.2748815165876799</v>
      </c>
      <c r="G17" s="12">
        <v>10.8612411207306</v>
      </c>
      <c r="H17" s="10">
        <v>948.12044965661698</v>
      </c>
      <c r="J17" s="9">
        <v>1113</v>
      </c>
      <c r="K17" s="10">
        <v>0.55010691823899405</v>
      </c>
      <c r="L17" s="10">
        <v>7.9123222748815198</v>
      </c>
      <c r="M17" s="12">
        <v>10.044940834767999</v>
      </c>
      <c r="N17" s="10">
        <v>388.61563624214801</v>
      </c>
      <c r="P17" s="9">
        <v>682</v>
      </c>
      <c r="Q17" s="10">
        <v>0.51821407624633398</v>
      </c>
      <c r="R17" s="10">
        <v>4.8483412322274901</v>
      </c>
      <c r="S17" s="12">
        <v>10.9817595246019</v>
      </c>
      <c r="T17" s="10">
        <v>231.35317100661601</v>
      </c>
      <c r="V17" s="11">
        <v>816.64489731065601</v>
      </c>
      <c r="W17" s="11">
        <v>425.01004759963899</v>
      </c>
      <c r="X17" s="11">
        <v>267.758836184747</v>
      </c>
    </row>
    <row r="18" spans="1:24" x14ac:dyDescent="0.2">
      <c r="A18" s="9" t="s">
        <v>27</v>
      </c>
      <c r="B18" s="9"/>
      <c r="C18" s="9"/>
      <c r="D18" s="9">
        <v>982</v>
      </c>
      <c r="E18" s="10">
        <v>0.61330855397148598</v>
      </c>
      <c r="F18" s="10">
        <v>5.6221374045801502</v>
      </c>
      <c r="G18" s="12">
        <v>10.7222657184818</v>
      </c>
      <c r="H18" s="10">
        <v>910.28771030088706</v>
      </c>
      <c r="J18" s="9">
        <v>1158</v>
      </c>
      <c r="K18" s="10">
        <v>0.53986873920552703</v>
      </c>
      <c r="L18" s="10">
        <v>6.6297709923664101</v>
      </c>
      <c r="M18" s="12">
        <v>10.1837558621281</v>
      </c>
      <c r="N18" s="10">
        <v>499.31039166411199</v>
      </c>
      <c r="P18" s="9">
        <v>848</v>
      </c>
      <c r="Q18" s="10">
        <v>0.52142334905660503</v>
      </c>
      <c r="R18" s="10">
        <v>4.8549618320610701</v>
      </c>
      <c r="S18" s="12">
        <v>11.0957257519563</v>
      </c>
      <c r="T18" s="10">
        <v>199.92426364189501</v>
      </c>
      <c r="V18" s="11">
        <v>825.67826464170605</v>
      </c>
      <c r="W18" s="11">
        <v>543.63854339278703</v>
      </c>
      <c r="X18" s="11">
        <v>230.16276529350799</v>
      </c>
    </row>
    <row r="19" spans="1:24" x14ac:dyDescent="0.2">
      <c r="A19" s="9" t="s">
        <v>28</v>
      </c>
      <c r="B19" s="9"/>
      <c r="C19" s="9"/>
      <c r="D19" s="9">
        <v>789</v>
      </c>
      <c r="E19" s="10">
        <v>0.63502661596958199</v>
      </c>
      <c r="F19" s="10">
        <v>5.3012318029115297</v>
      </c>
      <c r="G19" s="12">
        <v>10.7502324160069</v>
      </c>
      <c r="H19" s="10">
        <v>1195.34401988897</v>
      </c>
      <c r="J19" s="9">
        <v>948</v>
      </c>
      <c r="K19" s="10">
        <v>0.53938396624472595</v>
      </c>
      <c r="L19" s="10">
        <v>6.3695408734602497</v>
      </c>
      <c r="M19" s="12">
        <v>10.130977030121599</v>
      </c>
      <c r="N19" s="10">
        <v>710.87514285762302</v>
      </c>
      <c r="P19" s="29"/>
      <c r="Q19" s="30"/>
      <c r="R19" s="30"/>
      <c r="S19" s="31"/>
      <c r="T19" s="30"/>
      <c r="V19" s="11">
        <v>1015.93726494088</v>
      </c>
      <c r="W19" s="11">
        <v>783.73271110134897</v>
      </c>
      <c r="X19" s="26"/>
    </row>
    <row r="20" spans="1:24" x14ac:dyDescent="0.2">
      <c r="A20" s="9" t="s">
        <v>29</v>
      </c>
      <c r="B20" s="9"/>
      <c r="C20" s="9"/>
      <c r="D20" s="9">
        <v>792</v>
      </c>
      <c r="E20" s="10">
        <v>0.65052525252525295</v>
      </c>
      <c r="F20" s="10">
        <v>5.3877551020408196</v>
      </c>
      <c r="G20" s="12">
        <v>10.8949086947373</v>
      </c>
      <c r="H20" s="10">
        <v>1294.5125303730499</v>
      </c>
      <c r="J20" s="9">
        <v>1000</v>
      </c>
      <c r="K20" s="10">
        <v>0.54155799999999998</v>
      </c>
      <c r="L20" s="10">
        <v>6.8027210884353702</v>
      </c>
      <c r="M20" s="12">
        <v>10.019289534922899</v>
      </c>
      <c r="N20" s="10">
        <v>865.54666933292697</v>
      </c>
      <c r="P20" s="9">
        <v>765</v>
      </c>
      <c r="Q20" s="10">
        <v>0.52297777777777699</v>
      </c>
      <c r="R20" s="10">
        <v>5.2040816326530601</v>
      </c>
      <c r="S20" s="12">
        <v>11.159249363991099</v>
      </c>
      <c r="T20" s="10">
        <v>129.97344689338399</v>
      </c>
      <c r="V20" s="11">
        <v>1059.42933160445</v>
      </c>
      <c r="W20" s="11">
        <v>949.93900084253005</v>
      </c>
      <c r="X20" s="11">
        <v>149.88768178302601</v>
      </c>
    </row>
    <row r="21" spans="1:24" x14ac:dyDescent="0.2">
      <c r="A21" s="17" t="s">
        <v>30</v>
      </c>
      <c r="B21" s="17"/>
      <c r="C21" s="17"/>
      <c r="D21" s="17">
        <v>893</v>
      </c>
      <c r="E21" s="18">
        <v>0.60087234042553095</v>
      </c>
      <c r="F21" s="18">
        <v>5.6758474576271203</v>
      </c>
      <c r="G21" s="20">
        <v>10.6873509459641</v>
      </c>
      <c r="H21" s="18">
        <v>1050.21726921564</v>
      </c>
      <c r="J21" s="17">
        <v>1058</v>
      </c>
      <c r="K21" s="18">
        <v>0.535498109640832</v>
      </c>
      <c r="L21" s="18">
        <v>6.7245762711864403</v>
      </c>
      <c r="M21" s="20">
        <v>10.0111765144191</v>
      </c>
      <c r="N21" s="18">
        <v>425.05414757819199</v>
      </c>
      <c r="P21" s="17">
        <v>658</v>
      </c>
      <c r="Q21" s="18">
        <v>0.51951063829787303</v>
      </c>
      <c r="R21" s="18">
        <v>4.1822033898305104</v>
      </c>
      <c r="S21" s="20">
        <v>11.198415101204899</v>
      </c>
      <c r="T21" s="18">
        <v>176.47581609990399</v>
      </c>
      <c r="V21" s="19">
        <v>972.697364300441</v>
      </c>
      <c r="W21" s="19">
        <v>470.37599325578299</v>
      </c>
      <c r="X21" s="19">
        <v>199.60076541729001</v>
      </c>
    </row>
    <row r="22" spans="1:24" x14ac:dyDescent="0.2">
      <c r="A22" s="17" t="s">
        <v>31</v>
      </c>
      <c r="B22" s="17"/>
      <c r="C22" s="17"/>
      <c r="D22" s="17">
        <v>666</v>
      </c>
      <c r="E22" s="18">
        <v>0.63214864864864895</v>
      </c>
      <c r="F22" s="18">
        <v>4.9639751552795</v>
      </c>
      <c r="G22" s="20">
        <v>10.7287785345872</v>
      </c>
      <c r="H22" s="18">
        <v>1191.3773101828399</v>
      </c>
      <c r="J22" s="17">
        <v>1003</v>
      </c>
      <c r="K22" s="18">
        <v>0.54017248255234296</v>
      </c>
      <c r="L22" s="18">
        <v>7.4757763975155296</v>
      </c>
      <c r="M22" s="20">
        <v>10.0848142278588</v>
      </c>
      <c r="N22" s="18">
        <v>502.211021794202</v>
      </c>
      <c r="P22" s="17">
        <v>671</v>
      </c>
      <c r="Q22" s="18">
        <v>0.52970342771982204</v>
      </c>
      <c r="R22" s="18">
        <v>5.0012422360248499</v>
      </c>
      <c r="S22" s="20">
        <v>11.2910154504667</v>
      </c>
      <c r="T22" s="18">
        <v>421.68320790810702</v>
      </c>
      <c r="V22" s="19">
        <v>1025.1279993246101</v>
      </c>
      <c r="W22" s="19">
        <v>562.01949783918303</v>
      </c>
      <c r="X22" s="19">
        <v>475.71220293366002</v>
      </c>
    </row>
    <row r="23" spans="1:24" x14ac:dyDescent="0.2">
      <c r="A23" s="17" t="s">
        <v>32</v>
      </c>
      <c r="B23" s="17"/>
      <c r="C23" s="17"/>
      <c r="D23" s="17">
        <v>870</v>
      </c>
      <c r="E23" s="18">
        <v>0.66133908045976997</v>
      </c>
      <c r="F23" s="18">
        <v>5.0728862973760904</v>
      </c>
      <c r="G23" s="20">
        <v>10.994769242865299</v>
      </c>
      <c r="H23" s="18">
        <v>1269.48880767538</v>
      </c>
      <c r="J23" s="17">
        <v>1320</v>
      </c>
      <c r="K23" s="18">
        <v>0.54670833333333302</v>
      </c>
      <c r="L23" s="18">
        <v>7.6967930029154497</v>
      </c>
      <c r="M23" s="20">
        <v>10.1512180760486</v>
      </c>
      <c r="N23" s="18">
        <v>455.24638764564901</v>
      </c>
      <c r="P23" s="29">
        <v>1367</v>
      </c>
      <c r="Q23" s="30">
        <v>0.57285588880760796</v>
      </c>
      <c r="R23" s="30">
        <v>7.9708454810495599</v>
      </c>
      <c r="S23" s="31">
        <v>11.212522942974999</v>
      </c>
      <c r="T23" s="30">
        <v>32.780374003702903</v>
      </c>
      <c r="V23" s="19">
        <v>1019.54499587127</v>
      </c>
      <c r="W23" s="19">
        <v>504.95758601149601</v>
      </c>
      <c r="X23" s="26"/>
    </row>
    <row r="24" spans="1:24" x14ac:dyDescent="0.2">
      <c r="A24" s="17" t="s">
        <v>33</v>
      </c>
      <c r="B24" s="17"/>
      <c r="C24" s="17"/>
      <c r="D24" s="17">
        <v>561</v>
      </c>
      <c r="E24" s="18">
        <v>0.62924064171122995</v>
      </c>
      <c r="F24" s="18">
        <v>5.3706686817577198</v>
      </c>
      <c r="G24" s="20">
        <v>11.114164949112</v>
      </c>
      <c r="H24" s="18">
        <v>1149.87612129686</v>
      </c>
      <c r="J24" s="17">
        <v>641</v>
      </c>
      <c r="K24" s="18">
        <v>0.54326989079563204</v>
      </c>
      <c r="L24" s="18">
        <v>6.1365394385146201</v>
      </c>
      <c r="M24" s="20">
        <v>10.279423916167501</v>
      </c>
      <c r="N24" s="18">
        <v>539.217525796573</v>
      </c>
      <c r="P24" s="29">
        <v>563</v>
      </c>
      <c r="Q24" s="30">
        <v>0.65828774422735303</v>
      </c>
      <c r="R24" s="30">
        <v>5.3898154506766502</v>
      </c>
      <c r="S24" s="31">
        <v>9.7726438076364204</v>
      </c>
      <c r="T24" s="30">
        <v>110.133327695304</v>
      </c>
      <c r="V24" s="19">
        <v>994.24338168530403</v>
      </c>
      <c r="W24" s="19">
        <v>588.56822679362494</v>
      </c>
      <c r="X24" s="26"/>
    </row>
    <row r="25" spans="1:24" x14ac:dyDescent="0.2">
      <c r="A25" s="17" t="s">
        <v>34</v>
      </c>
      <c r="B25" s="17"/>
      <c r="C25" s="17"/>
      <c r="D25" s="17">
        <v>816</v>
      </c>
      <c r="E25" s="18">
        <v>0.63715686274509797</v>
      </c>
      <c r="F25" s="18">
        <v>4.9255533199195201</v>
      </c>
      <c r="G25" s="20">
        <v>10.9106250657582</v>
      </c>
      <c r="H25" s="18">
        <v>1434.3416304326599</v>
      </c>
      <c r="J25" s="17">
        <v>1046</v>
      </c>
      <c r="K25" s="18">
        <v>0.544826959847037</v>
      </c>
      <c r="L25" s="18">
        <v>6.3138832997987899</v>
      </c>
      <c r="M25" s="20">
        <v>10.163169524948</v>
      </c>
      <c r="N25" s="18">
        <v>462.96221717833799</v>
      </c>
      <c r="P25" s="17">
        <v>725</v>
      </c>
      <c r="Q25" s="18">
        <v>0.52326758620689595</v>
      </c>
      <c r="R25" s="18">
        <v>4.3762575452716304</v>
      </c>
      <c r="S25" s="20">
        <v>10.9899052582265</v>
      </c>
      <c r="T25" s="18">
        <v>210.886145472751</v>
      </c>
      <c r="V25" s="19">
        <v>1205.5607258274099</v>
      </c>
      <c r="W25" s="19">
        <v>504.24269859219697</v>
      </c>
      <c r="X25" s="19">
        <v>241.23346326352299</v>
      </c>
    </row>
    <row r="26" spans="1:24" x14ac:dyDescent="0.2">
      <c r="A26" s="17" t="s">
        <v>35</v>
      </c>
      <c r="B26" s="17"/>
      <c r="C26" s="17"/>
      <c r="D26" s="17">
        <v>789</v>
      </c>
      <c r="E26" s="18">
        <v>0.64748288973384005</v>
      </c>
      <c r="F26" s="18">
        <v>5.3012318029115297</v>
      </c>
      <c r="G26" s="20">
        <v>10.891555027921401</v>
      </c>
      <c r="H26" s="18">
        <v>1265.2043944352399</v>
      </c>
      <c r="J26" s="17">
        <v>813</v>
      </c>
      <c r="K26" s="18">
        <v>0.56400246002459997</v>
      </c>
      <c r="L26" s="18">
        <v>5.4624860022396398</v>
      </c>
      <c r="M26" s="20">
        <v>10.3242656202882</v>
      </c>
      <c r="N26" s="18">
        <v>884.171095502772</v>
      </c>
      <c r="P26" s="17">
        <v>754</v>
      </c>
      <c r="Q26" s="18">
        <v>0.53440185676392604</v>
      </c>
      <c r="R26" s="18">
        <v>5.0660694288913799</v>
      </c>
      <c r="S26" s="20">
        <v>11.264409522186501</v>
      </c>
      <c r="T26" s="18">
        <v>232.012047738517</v>
      </c>
      <c r="V26" s="19">
        <v>1055.63890124102</v>
      </c>
      <c r="W26" s="19">
        <v>902.54859132962997</v>
      </c>
      <c r="X26" s="19">
        <v>257.09056123695001</v>
      </c>
    </row>
    <row r="27" spans="1:24" x14ac:dyDescent="0.2">
      <c r="A27" s="17" t="s">
        <v>36</v>
      </c>
      <c r="B27" s="17"/>
      <c r="C27" s="17"/>
      <c r="D27" s="17">
        <v>798</v>
      </c>
      <c r="E27" s="18">
        <v>0.63924937343358401</v>
      </c>
      <c r="F27" s="18">
        <v>5.1656726594798901</v>
      </c>
      <c r="G27" s="20">
        <v>10.9840099149803</v>
      </c>
      <c r="H27" s="18">
        <v>1219.37252675336</v>
      </c>
      <c r="J27" s="17">
        <v>1048</v>
      </c>
      <c r="K27" s="18">
        <v>0.55091221374045796</v>
      </c>
      <c r="L27" s="18">
        <v>6.78399116182322</v>
      </c>
      <c r="M27" s="20">
        <v>10.206943547187899</v>
      </c>
      <c r="N27" s="18">
        <v>486.73574607207797</v>
      </c>
      <c r="P27" s="17">
        <v>532</v>
      </c>
      <c r="Q27" s="18">
        <v>0.52043609022556403</v>
      </c>
      <c r="R27" s="18">
        <v>3.4437817729866</v>
      </c>
      <c r="S27" s="20">
        <v>11.293295409224999</v>
      </c>
      <c r="T27" s="18">
        <v>278.679561008137</v>
      </c>
      <c r="V27" s="19">
        <v>1017.42528962503</v>
      </c>
      <c r="W27" s="19">
        <v>527.71964451973201</v>
      </c>
      <c r="X27" s="19">
        <v>302.83268640201902</v>
      </c>
    </row>
    <row r="28" spans="1:24" x14ac:dyDescent="0.2">
      <c r="A28" s="17" t="s">
        <v>37</v>
      </c>
      <c r="B28" s="17"/>
      <c r="C28" s="17"/>
      <c r="D28" s="17">
        <v>806</v>
      </c>
      <c r="E28" s="18">
        <v>0.65798511166253004</v>
      </c>
      <c r="F28" s="18">
        <v>5.1392136025504804</v>
      </c>
      <c r="G28" s="20">
        <v>11.1569141016664</v>
      </c>
      <c r="H28" s="18">
        <v>989.12097645334302</v>
      </c>
      <c r="J28" s="17">
        <v>1015</v>
      </c>
      <c r="K28" s="18">
        <v>0.53242266009852202</v>
      </c>
      <c r="L28" s="18">
        <v>6.4718384697130702</v>
      </c>
      <c r="M28" s="20">
        <v>10.0782065281513</v>
      </c>
      <c r="N28" s="18">
        <v>426.21555313433601</v>
      </c>
      <c r="P28" s="17">
        <v>859</v>
      </c>
      <c r="Q28" s="18">
        <v>0.51986728754365596</v>
      </c>
      <c r="R28" s="18">
        <v>5.4771519659936203</v>
      </c>
      <c r="S28" s="20">
        <v>11.021166248013101</v>
      </c>
      <c r="T28" s="18">
        <v>181.99485941202499</v>
      </c>
      <c r="V28" s="19">
        <v>800.76482233530305</v>
      </c>
      <c r="W28" s="19">
        <v>478.59005283668699</v>
      </c>
      <c r="X28" s="19">
        <v>212.36333584690101</v>
      </c>
    </row>
    <row r="29" spans="1:24" x14ac:dyDescent="0.2">
      <c r="A29" s="17" t="s">
        <v>38</v>
      </c>
      <c r="B29" s="17"/>
      <c r="C29" s="17"/>
      <c r="D29" s="17">
        <v>555</v>
      </c>
      <c r="E29" s="18">
        <v>0.64929009009009098</v>
      </c>
      <c r="F29" s="18">
        <v>4.3415906127770496</v>
      </c>
      <c r="G29" s="20">
        <v>11.052818342548001</v>
      </c>
      <c r="H29" s="18">
        <v>815.04667661048495</v>
      </c>
      <c r="J29" s="17">
        <v>1010</v>
      </c>
      <c r="K29" s="18">
        <v>0.55702772277227697</v>
      </c>
      <c r="L29" s="18">
        <v>7.9009126466753603</v>
      </c>
      <c r="M29" s="20">
        <v>9.8432851112657307</v>
      </c>
      <c r="N29" s="18">
        <v>449.71319048211001</v>
      </c>
      <c r="P29" s="17">
        <v>698</v>
      </c>
      <c r="Q29" s="18">
        <v>0.53700859598853901</v>
      </c>
      <c r="R29" s="18">
        <v>5.4602346805736603</v>
      </c>
      <c r="S29" s="20">
        <v>11.086564027804201</v>
      </c>
      <c r="T29" s="18">
        <v>124.259972992849</v>
      </c>
      <c r="V29" s="19">
        <v>651.43335518720505</v>
      </c>
      <c r="W29" s="19">
        <v>487.39251837255398</v>
      </c>
      <c r="X29" s="19">
        <v>136.289414219371</v>
      </c>
    </row>
    <row r="30" spans="1:24" x14ac:dyDescent="0.2">
      <c r="A30" s="17" t="s">
        <v>39</v>
      </c>
      <c r="B30" s="17"/>
      <c r="C30" s="17"/>
      <c r="D30" s="17">
        <v>731</v>
      </c>
      <c r="E30" s="18">
        <v>0.66328317373460999</v>
      </c>
      <c r="F30" s="18">
        <v>5.0646651270207901</v>
      </c>
      <c r="G30" s="20">
        <v>10.8163276481246</v>
      </c>
      <c r="H30" s="18">
        <v>1330.4152356520799</v>
      </c>
      <c r="J30" s="17">
        <v>892</v>
      </c>
      <c r="K30" s="18">
        <v>0.54262443946188199</v>
      </c>
      <c r="L30" s="18">
        <v>6.1801385681293297</v>
      </c>
      <c r="M30" s="20">
        <v>10.1337386734814</v>
      </c>
      <c r="N30" s="18">
        <v>538.66061286805302</v>
      </c>
      <c r="P30" s="17">
        <v>902</v>
      </c>
      <c r="Q30" s="18">
        <v>0.52607427937915696</v>
      </c>
      <c r="R30" s="18">
        <v>6.2494226327944604</v>
      </c>
      <c r="S30" s="20">
        <v>11.3612530020572</v>
      </c>
      <c r="T30" s="18">
        <v>116.075116062077</v>
      </c>
      <c r="V30" s="19">
        <v>1070.4938730648</v>
      </c>
      <c r="W30" s="19">
        <v>585.45271090162498</v>
      </c>
      <c r="X30" s="19">
        <v>132.93655105922599</v>
      </c>
    </row>
    <row r="31" spans="1:24" x14ac:dyDescent="0.2">
      <c r="A31" s="17" t="s">
        <v>40</v>
      </c>
      <c r="B31" s="17"/>
      <c r="C31" s="17"/>
      <c r="D31" s="17">
        <v>899</v>
      </c>
      <c r="E31" s="18">
        <v>0.68133147942158001</v>
      </c>
      <c r="F31" s="18">
        <v>5.14796043800993</v>
      </c>
      <c r="G31" s="20">
        <v>11.016634957102401</v>
      </c>
      <c r="H31" s="18">
        <v>1329.4099944779</v>
      </c>
      <c r="J31" s="17">
        <v>1047</v>
      </c>
      <c r="K31" s="18">
        <v>0.54760076408786995</v>
      </c>
      <c r="L31" s="18">
        <v>5.9954555935443796</v>
      </c>
      <c r="M31" s="20">
        <v>10.020481799696</v>
      </c>
      <c r="N31" s="18">
        <v>780.98563493898303</v>
      </c>
      <c r="P31" s="17">
        <v>904</v>
      </c>
      <c r="Q31" s="18">
        <v>0.53880973451327396</v>
      </c>
      <c r="R31" s="18">
        <v>5.1765920311023104</v>
      </c>
      <c r="S31" s="20">
        <v>10.983204302194601</v>
      </c>
      <c r="T31" s="18">
        <v>374.51386385365498</v>
      </c>
      <c r="V31" s="19">
        <v>1024.4572216754</v>
      </c>
      <c r="W31" s="19">
        <v>846.06440705545299</v>
      </c>
      <c r="X31" s="19">
        <v>404.46150268077901</v>
      </c>
    </row>
    <row r="32" spans="1:24" x14ac:dyDescent="0.2">
      <c r="A32" s="13" t="s">
        <v>41</v>
      </c>
      <c r="B32" s="13"/>
      <c r="C32" s="13"/>
      <c r="D32" s="13">
        <v>623</v>
      </c>
      <c r="E32" s="14">
        <v>0.56926163723916501</v>
      </c>
      <c r="F32" s="14">
        <v>4.1487236403995604</v>
      </c>
      <c r="G32" s="16">
        <v>10.5428865533751</v>
      </c>
      <c r="H32" s="14">
        <v>1068.0256391457301</v>
      </c>
      <c r="J32" s="13">
        <v>981</v>
      </c>
      <c r="K32" s="14">
        <v>0.53747298674821598</v>
      </c>
      <c r="L32" s="14">
        <v>6.53274139844617</v>
      </c>
      <c r="M32" s="16">
        <v>10.060365176257299</v>
      </c>
      <c r="N32" s="14">
        <v>614.31654846306503</v>
      </c>
      <c r="P32" s="13">
        <v>644</v>
      </c>
      <c r="Q32" s="14">
        <v>0.51404192546583904</v>
      </c>
      <c r="R32" s="14">
        <v>4.2885682574916801</v>
      </c>
      <c r="S32" s="16">
        <v>11.367167471404599</v>
      </c>
      <c r="T32" s="14">
        <v>157.26067359996401</v>
      </c>
      <c r="V32" s="15">
        <v>1041.9607481266</v>
      </c>
      <c r="W32" s="15">
        <v>680.49847815400801</v>
      </c>
      <c r="X32" s="15">
        <v>177.98603125375701</v>
      </c>
    </row>
    <row r="33" spans="1:24" x14ac:dyDescent="0.2">
      <c r="A33" s="13" t="s">
        <v>42</v>
      </c>
      <c r="B33" s="13"/>
      <c r="C33" s="13"/>
      <c r="D33" s="13">
        <v>626</v>
      </c>
      <c r="E33" s="14">
        <v>0.60744728434504702</v>
      </c>
      <c r="F33" s="14">
        <v>4.890625</v>
      </c>
      <c r="G33" s="16">
        <v>11.061209507284</v>
      </c>
      <c r="H33" s="14">
        <v>1371.3538989495801</v>
      </c>
      <c r="J33" s="13">
        <v>902</v>
      </c>
      <c r="K33" s="14">
        <v>0.53689246119734002</v>
      </c>
      <c r="L33" s="14">
        <v>7.046875</v>
      </c>
      <c r="M33" s="16">
        <v>10.101832945669001</v>
      </c>
      <c r="N33" s="14">
        <v>631.825356464984</v>
      </c>
      <c r="P33" s="13">
        <v>463</v>
      </c>
      <c r="Q33" s="14">
        <v>0.51275809935205197</v>
      </c>
      <c r="R33" s="14">
        <v>3.6171875</v>
      </c>
      <c r="S33" s="16">
        <v>11.232337681514</v>
      </c>
      <c r="T33" s="14">
        <v>569.15629239538805</v>
      </c>
      <c r="V33" s="15">
        <v>1215.9180947961099</v>
      </c>
      <c r="W33" s="15">
        <v>701.57278238783101</v>
      </c>
      <c r="X33" s="15">
        <v>648.98178245358804</v>
      </c>
    </row>
    <row r="34" spans="1:24" x14ac:dyDescent="0.2">
      <c r="A34" s="13" t="s">
        <v>43</v>
      </c>
      <c r="B34" s="13"/>
      <c r="C34" s="13"/>
      <c r="D34" s="13">
        <v>822</v>
      </c>
      <c r="E34" s="14">
        <v>0.65827372262773698</v>
      </c>
      <c r="F34" s="14">
        <v>5.0275229357798201</v>
      </c>
      <c r="G34" s="16">
        <v>11.0982743658451</v>
      </c>
      <c r="H34" s="14">
        <v>1628.13793994716</v>
      </c>
      <c r="J34" s="13">
        <v>937</v>
      </c>
      <c r="K34" s="14">
        <v>0.53463820704375598</v>
      </c>
      <c r="L34" s="14">
        <v>5.7308868501529098</v>
      </c>
      <c r="M34" s="16">
        <v>10.111129270130499</v>
      </c>
      <c r="N34" s="14">
        <v>764.90377068553403</v>
      </c>
      <c r="P34" s="13">
        <v>1080</v>
      </c>
      <c r="Q34" s="14">
        <v>0.53718796296296301</v>
      </c>
      <c r="R34" s="14">
        <v>6.6055045871559601</v>
      </c>
      <c r="S34" s="16">
        <v>11.3997704058925</v>
      </c>
      <c r="T34" s="14">
        <v>241.39636443622999</v>
      </c>
      <c r="V34" s="15">
        <v>1311.6524269939</v>
      </c>
      <c r="W34" s="15">
        <v>831.47142934677402</v>
      </c>
      <c r="X34" s="15">
        <v>271.20326508512898</v>
      </c>
    </row>
    <row r="35" spans="1:24" x14ac:dyDescent="0.2">
      <c r="A35" s="13" t="s">
        <v>44</v>
      </c>
      <c r="B35" s="13"/>
      <c r="C35" s="13"/>
      <c r="D35" s="13">
        <v>840</v>
      </c>
      <c r="E35" s="14">
        <v>0.61561666666666603</v>
      </c>
      <c r="F35" s="14">
        <v>4.7592067988668596</v>
      </c>
      <c r="G35" s="16">
        <v>10.6569554866979</v>
      </c>
      <c r="H35" s="14">
        <v>1649.0369901706099</v>
      </c>
      <c r="J35" s="13">
        <v>1024</v>
      </c>
      <c r="K35" s="14">
        <v>0.53634570312499996</v>
      </c>
      <c r="L35" s="14">
        <v>5.8016997167138804</v>
      </c>
      <c r="M35" s="16">
        <v>10.1585632841426</v>
      </c>
      <c r="N35" s="14">
        <v>737.08279865600696</v>
      </c>
      <c r="P35" s="13">
        <v>832</v>
      </c>
      <c r="Q35" s="14">
        <v>0.51884375000000005</v>
      </c>
      <c r="R35" s="14">
        <v>4.7138810198300298</v>
      </c>
      <c r="S35" s="16">
        <v>11.146017833369701</v>
      </c>
      <c r="T35" s="14">
        <v>347.65018785883598</v>
      </c>
      <c r="V35" s="15">
        <v>1443.0214248666</v>
      </c>
      <c r="W35" s="15">
        <v>809.57698517099004</v>
      </c>
      <c r="X35" s="15">
        <v>399.66646991791299</v>
      </c>
    </row>
    <row r="36" spans="1:24" x14ac:dyDescent="0.2">
      <c r="A36" s="13" t="s">
        <v>45</v>
      </c>
      <c r="B36" s="13"/>
      <c r="C36" s="13"/>
      <c r="D36" s="32">
        <v>491</v>
      </c>
      <c r="E36" s="33">
        <v>0.58203462321792399</v>
      </c>
      <c r="F36" s="33">
        <v>4.96795952782462</v>
      </c>
      <c r="G36" s="34">
        <v>10.731653583440499</v>
      </c>
      <c r="H36" s="33">
        <v>1483.8363119505</v>
      </c>
      <c r="J36" s="13">
        <v>633</v>
      </c>
      <c r="K36" s="14">
        <v>0.53099842022116905</v>
      </c>
      <c r="L36" s="14">
        <v>6.40472175379427</v>
      </c>
      <c r="M36" s="16">
        <v>10.2413753885233</v>
      </c>
      <c r="N36" s="14">
        <v>685.42283475589295</v>
      </c>
      <c r="P36" s="13">
        <v>382</v>
      </c>
      <c r="Q36" s="14">
        <v>0.51142146596858695</v>
      </c>
      <c r="R36" s="14">
        <v>3.8650927487352398</v>
      </c>
      <c r="S36" s="16">
        <v>11.1543621695072</v>
      </c>
      <c r="T36" s="14">
        <v>158.76566206147501</v>
      </c>
      <c r="V36" s="27">
        <v>1388.3277240112</v>
      </c>
      <c r="W36" s="15">
        <v>757.82843620103802</v>
      </c>
      <c r="X36" s="15">
        <v>180.03831851444599</v>
      </c>
    </row>
    <row r="37" spans="1:24" x14ac:dyDescent="0.2">
      <c r="A37" s="13" t="s">
        <v>46</v>
      </c>
      <c r="B37" s="13"/>
      <c r="C37" s="13"/>
      <c r="D37" s="13">
        <v>881</v>
      </c>
      <c r="E37" s="14">
        <v>0.627468785471055</v>
      </c>
      <c r="F37" s="14">
        <v>5.3556231003039496</v>
      </c>
      <c r="G37" s="16">
        <v>10.5814432010123</v>
      </c>
      <c r="H37" s="14">
        <v>1274.7857811055201</v>
      </c>
      <c r="J37" s="13">
        <v>1069</v>
      </c>
      <c r="K37" s="14">
        <v>0.54126753975678199</v>
      </c>
      <c r="L37" s="14">
        <v>6.4984802431611</v>
      </c>
      <c r="M37" s="16">
        <v>10.1289761256053</v>
      </c>
      <c r="N37" s="14">
        <v>607.61928058876504</v>
      </c>
      <c r="P37" s="13">
        <v>697</v>
      </c>
      <c r="Q37" s="14">
        <v>0.50118220946915404</v>
      </c>
      <c r="R37" s="14">
        <v>4.2370820668693003</v>
      </c>
      <c r="S37" s="16">
        <v>11.123865082226899</v>
      </c>
      <c r="T37" s="14">
        <v>178.55175836302999</v>
      </c>
      <c r="V37" s="15">
        <v>1111.4236942273101</v>
      </c>
      <c r="W37" s="15">
        <v>664.59580098845197</v>
      </c>
      <c r="X37" s="15">
        <v>210.98380708509899</v>
      </c>
    </row>
    <row r="38" spans="1:24" x14ac:dyDescent="0.2">
      <c r="A38" s="13" t="s">
        <v>47</v>
      </c>
      <c r="B38" s="13"/>
      <c r="C38" s="13"/>
      <c r="D38" s="32">
        <v>923</v>
      </c>
      <c r="E38" s="33">
        <v>0.58641820151679303</v>
      </c>
      <c r="F38" s="33">
        <v>5.0575342465753401</v>
      </c>
      <c r="G38" s="34">
        <v>10.404044171908501</v>
      </c>
      <c r="H38" s="33">
        <v>1700.80592271618</v>
      </c>
      <c r="J38" s="13">
        <v>1185</v>
      </c>
      <c r="K38" s="14">
        <v>0.54159746835443001</v>
      </c>
      <c r="L38" s="14">
        <v>6.4931506849315097</v>
      </c>
      <c r="M38" s="16">
        <v>10.1250349380055</v>
      </c>
      <c r="N38" s="14">
        <v>612.19788305003794</v>
      </c>
      <c r="P38" s="13">
        <v>1397</v>
      </c>
      <c r="Q38" s="14">
        <v>0.54713171080887701</v>
      </c>
      <c r="R38" s="14">
        <v>7.6547945205479504</v>
      </c>
      <c r="S38" s="16">
        <v>11.0791222435761</v>
      </c>
      <c r="T38" s="14">
        <v>98.683619469644199</v>
      </c>
      <c r="V38" s="27">
        <v>1611.81378788488</v>
      </c>
      <c r="W38" s="15">
        <v>664.82984748745605</v>
      </c>
      <c r="X38" s="15">
        <v>109.947617789098</v>
      </c>
    </row>
    <row r="39" spans="1:24" x14ac:dyDescent="0.2">
      <c r="A39" s="13" t="s">
        <v>48</v>
      </c>
      <c r="B39" s="13"/>
      <c r="C39" s="13"/>
      <c r="D39" s="13">
        <v>440</v>
      </c>
      <c r="E39" s="14">
        <v>0.53177045454545502</v>
      </c>
      <c r="F39" s="14">
        <v>3.1466030989272902</v>
      </c>
      <c r="G39" s="16">
        <v>10.195462285029899</v>
      </c>
      <c r="H39" s="14">
        <v>1530.79676526869</v>
      </c>
      <c r="J39" s="13">
        <v>734</v>
      </c>
      <c r="K39" s="14">
        <v>0.52285831062670196</v>
      </c>
      <c r="L39" s="14">
        <v>5.2491060786650801</v>
      </c>
      <c r="M39" s="16">
        <v>10.1973576853586</v>
      </c>
      <c r="N39" s="14">
        <v>780.87246178487203</v>
      </c>
      <c r="P39" s="13">
        <v>557</v>
      </c>
      <c r="Q39" s="14">
        <v>0.51710592459605098</v>
      </c>
      <c r="R39" s="14">
        <v>3.9833134684147802</v>
      </c>
      <c r="S39" s="16">
        <v>11.291021796295199</v>
      </c>
      <c r="T39" s="14">
        <v>214.01081675862699</v>
      </c>
      <c r="V39" s="15">
        <v>1618.0518730705201</v>
      </c>
      <c r="W39" s="15">
        <v>880.260984453378</v>
      </c>
      <c r="X39" s="15">
        <v>244.55307382732701</v>
      </c>
    </row>
    <row r="40" spans="1:24" x14ac:dyDescent="0.2">
      <c r="A40" s="9" t="s">
        <v>49</v>
      </c>
      <c r="B40" s="9"/>
      <c r="C40" s="9"/>
      <c r="D40" s="9">
        <v>622</v>
      </c>
      <c r="E40" s="10">
        <v>0.64322829581993501</v>
      </c>
      <c r="F40" s="10">
        <v>4.6533665835411497</v>
      </c>
      <c r="G40" s="12">
        <v>10.8563038875243</v>
      </c>
      <c r="H40" s="10">
        <v>1205.6549628637099</v>
      </c>
      <c r="J40" s="9">
        <v>885</v>
      </c>
      <c r="K40" s="10">
        <v>0.53918757062146905</v>
      </c>
      <c r="L40" s="10">
        <v>6.6209476309226902</v>
      </c>
      <c r="M40" s="12">
        <v>10.108346817396299</v>
      </c>
      <c r="N40" s="10">
        <v>498.70287833511202</v>
      </c>
      <c r="P40" s="9">
        <v>706</v>
      </c>
      <c r="Q40" s="10">
        <v>0.52494050991501495</v>
      </c>
      <c r="R40" s="10">
        <v>5.2817955112219499</v>
      </c>
      <c r="S40" s="12">
        <v>11.302104169976401</v>
      </c>
      <c r="T40" s="10">
        <v>109.08350000801499</v>
      </c>
      <c r="V40" s="11">
        <v>995.34813519118495</v>
      </c>
      <c r="W40" s="11">
        <v>548.53152303911997</v>
      </c>
      <c r="X40" s="11">
        <v>125.69403234018</v>
      </c>
    </row>
    <row r="41" spans="1:24" x14ac:dyDescent="0.2">
      <c r="A41" s="9" t="s">
        <v>50</v>
      </c>
      <c r="B41" s="9"/>
      <c r="C41" s="9"/>
      <c r="D41" s="9">
        <v>575</v>
      </c>
      <c r="E41" s="10">
        <v>0.606617391304348</v>
      </c>
      <c r="F41" s="10">
        <v>3.9383561643835598</v>
      </c>
      <c r="G41" s="12">
        <v>10.7361973100529</v>
      </c>
      <c r="H41" s="10">
        <v>1047.2742473327501</v>
      </c>
      <c r="J41" s="9">
        <v>857</v>
      </c>
      <c r="K41" s="10">
        <v>0.53930921820303401</v>
      </c>
      <c r="L41" s="10">
        <v>5.8698630136986303</v>
      </c>
      <c r="M41" s="12">
        <v>10.303548939672799</v>
      </c>
      <c r="N41" s="10">
        <v>216.441243240018</v>
      </c>
      <c r="P41" s="9">
        <v>686</v>
      </c>
      <c r="Q41" s="10">
        <v>0.52214139941690996</v>
      </c>
      <c r="R41" s="10">
        <v>4.6986301369863002</v>
      </c>
      <c r="S41" s="12">
        <v>11.2662176121835</v>
      </c>
      <c r="T41" s="10">
        <v>83.902304090133498</v>
      </c>
      <c r="V41" s="11">
        <v>919.80189951538705</v>
      </c>
      <c r="W41" s="11">
        <v>238.58479966412401</v>
      </c>
      <c r="X41" s="11">
        <v>93.962544827655094</v>
      </c>
    </row>
    <row r="42" spans="1:24" x14ac:dyDescent="0.2">
      <c r="A42" s="9" t="s">
        <v>51</v>
      </c>
      <c r="B42" s="9"/>
      <c r="C42" s="9"/>
      <c r="D42" s="9">
        <v>303</v>
      </c>
      <c r="E42" s="10">
        <v>0.53887458745874595</v>
      </c>
      <c r="F42" s="10">
        <v>3.5119305186375702</v>
      </c>
      <c r="G42" s="12">
        <v>10.280712329221</v>
      </c>
      <c r="H42" s="10">
        <v>1092.76098186373</v>
      </c>
      <c r="J42" s="9">
        <v>464</v>
      </c>
      <c r="K42" s="10">
        <v>0.544508620689655</v>
      </c>
      <c r="L42" s="10">
        <v>5.3780058107189204</v>
      </c>
      <c r="M42" s="12">
        <v>10.2130755663106</v>
      </c>
      <c r="N42" s="10">
        <v>524.89876640925604</v>
      </c>
      <c r="P42" s="9">
        <v>159</v>
      </c>
      <c r="Q42" s="10">
        <v>0.493213836477987</v>
      </c>
      <c r="R42" s="10">
        <v>1.84289423255239</v>
      </c>
      <c r="S42" s="12">
        <v>11.2115762222294</v>
      </c>
      <c r="T42" s="10">
        <v>315.57981298732301</v>
      </c>
      <c r="V42" s="11">
        <v>1128.8053664320901</v>
      </c>
      <c r="W42" s="11">
        <v>571.178931976272</v>
      </c>
      <c r="X42" s="11">
        <v>351.956675679348</v>
      </c>
    </row>
    <row r="43" spans="1:24" x14ac:dyDescent="0.2">
      <c r="A43" s="9" t="s">
        <v>52</v>
      </c>
      <c r="B43" s="9"/>
      <c r="C43" s="9"/>
      <c r="D43" s="9">
        <v>434</v>
      </c>
      <c r="E43" s="10">
        <v>0.568589861751152</v>
      </c>
      <c r="F43" s="10">
        <v>4.8672897196261697</v>
      </c>
      <c r="G43" s="12">
        <v>10.4984712120231</v>
      </c>
      <c r="H43" s="10">
        <v>1038.27839029698</v>
      </c>
      <c r="J43" s="9">
        <v>539</v>
      </c>
      <c r="K43" s="10">
        <v>0.52992578849721705</v>
      </c>
      <c r="L43" s="10">
        <v>6.04485981308411</v>
      </c>
      <c r="M43" s="12">
        <v>10.1550673915368</v>
      </c>
      <c r="N43" s="10">
        <v>604.70437723667203</v>
      </c>
      <c r="P43" s="9">
        <v>532</v>
      </c>
      <c r="Q43" s="10">
        <v>0.52112406015037605</v>
      </c>
      <c r="R43" s="10">
        <v>5.9663551401869199</v>
      </c>
      <c r="S43" s="12">
        <v>11.445558808743099</v>
      </c>
      <c r="T43" s="10">
        <v>120.340871651123</v>
      </c>
      <c r="V43" s="11">
        <v>1033.55279353694</v>
      </c>
      <c r="W43" s="11">
        <v>674.28013426451002</v>
      </c>
      <c r="X43" s="11">
        <v>138.84127265947299</v>
      </c>
    </row>
    <row r="44" spans="1:24" x14ac:dyDescent="0.2">
      <c r="A44" s="9" t="s">
        <v>53</v>
      </c>
      <c r="B44" s="9"/>
      <c r="C44" s="9"/>
      <c r="D44" s="9">
        <v>610</v>
      </c>
      <c r="E44" s="10">
        <v>0.68593278688524595</v>
      </c>
      <c r="F44" s="10">
        <v>4.3571428571428603</v>
      </c>
      <c r="G44" s="12">
        <v>10.829858800040199</v>
      </c>
      <c r="H44" s="10">
        <v>905.90775115757106</v>
      </c>
      <c r="J44" s="9">
        <v>893</v>
      </c>
      <c r="K44" s="10">
        <v>0.53931131019036904</v>
      </c>
      <c r="L44" s="10">
        <v>6.3785714285714299</v>
      </c>
      <c r="M44" s="12">
        <v>10.2093645763744</v>
      </c>
      <c r="N44" s="10">
        <v>537.849986232417</v>
      </c>
      <c r="P44" s="9">
        <v>537</v>
      </c>
      <c r="Q44" s="10">
        <v>0.51099627560521399</v>
      </c>
      <c r="R44" s="10">
        <v>3.8357142857142899</v>
      </c>
      <c r="S44" s="12">
        <v>11.220181422322201</v>
      </c>
      <c r="T44" s="10">
        <v>247.48973746025499</v>
      </c>
      <c r="V44" s="11">
        <v>668.93688384664904</v>
      </c>
      <c r="W44" s="11">
        <v>588.02727037348905</v>
      </c>
      <c r="X44" s="11">
        <v>289.86108966326498</v>
      </c>
    </row>
    <row r="45" spans="1:24" x14ac:dyDescent="0.2">
      <c r="A45" s="17" t="s">
        <v>54</v>
      </c>
      <c r="B45" s="17"/>
      <c r="C45" s="17"/>
      <c r="D45" s="17">
        <v>770</v>
      </c>
      <c r="E45" s="18">
        <v>0.59306623376623402</v>
      </c>
      <c r="F45" s="18">
        <v>4.6666666666666696</v>
      </c>
      <c r="G45" s="20">
        <v>10.735341731722601</v>
      </c>
      <c r="H45" s="18">
        <v>1130.08430493064</v>
      </c>
      <c r="J45" s="17">
        <v>967</v>
      </c>
      <c r="K45" s="18">
        <v>0.526399172699069</v>
      </c>
      <c r="L45" s="18">
        <v>5.8606060606060604</v>
      </c>
      <c r="M45" s="20">
        <v>10.043619745062401</v>
      </c>
      <c r="N45" s="18">
        <v>705.34154516642604</v>
      </c>
      <c r="P45" s="17">
        <v>848</v>
      </c>
      <c r="Q45" s="18">
        <v>0.51172287735848998</v>
      </c>
      <c r="R45" s="18">
        <v>5.1393939393939396</v>
      </c>
      <c r="S45" s="20">
        <v>11.0367062703488</v>
      </c>
      <c r="T45" s="18">
        <v>399.59123117308599</v>
      </c>
      <c r="V45" s="19">
        <v>1019.63843128794</v>
      </c>
      <c r="W45" s="19">
        <v>784.87668849412796</v>
      </c>
      <c r="X45" s="19">
        <v>467.92546080810098</v>
      </c>
    </row>
    <row r="46" spans="1:24" x14ac:dyDescent="0.2">
      <c r="A46" s="17" t="s">
        <v>55</v>
      </c>
      <c r="B46" s="17"/>
      <c r="C46" s="17"/>
      <c r="D46" s="17">
        <v>718</v>
      </c>
      <c r="E46" s="18">
        <v>0.57623955431754903</v>
      </c>
      <c r="F46" s="18">
        <v>4.5491024287222803</v>
      </c>
      <c r="G46" s="20">
        <v>10.630365391165499</v>
      </c>
      <c r="H46" s="18">
        <v>1208.46394430859</v>
      </c>
      <c r="J46" s="17">
        <v>934</v>
      </c>
      <c r="K46" s="18">
        <v>0.53451713062098505</v>
      </c>
      <c r="L46" s="18">
        <v>5.9176346356916598</v>
      </c>
      <c r="M46" s="20">
        <v>10.1137335165718</v>
      </c>
      <c r="N46" s="18">
        <v>826.30728621633398</v>
      </c>
      <c r="P46" s="17">
        <v>431</v>
      </c>
      <c r="Q46" s="18">
        <v>0.50753596287702996</v>
      </c>
      <c r="R46" s="18">
        <v>2.7307286166842699</v>
      </c>
      <c r="S46" s="20">
        <v>11.0571976990585</v>
      </c>
      <c r="T46" s="18">
        <v>234.30665804651201</v>
      </c>
      <c r="V46" s="19">
        <v>1157.18875808095</v>
      </c>
      <c r="W46" s="19">
        <v>903.92604040300603</v>
      </c>
      <c r="X46" s="19">
        <v>258.00156072605603</v>
      </c>
    </row>
    <row r="47" spans="1:24" x14ac:dyDescent="0.2">
      <c r="A47" s="17" t="s">
        <v>56</v>
      </c>
      <c r="B47" s="17"/>
      <c r="C47" s="17"/>
      <c r="D47" s="17">
        <v>714</v>
      </c>
      <c r="E47" s="18">
        <v>0.61549299719887895</v>
      </c>
      <c r="F47" s="18">
        <v>4.05092592592593</v>
      </c>
      <c r="G47" s="20">
        <v>10.7646884641655</v>
      </c>
      <c r="H47" s="18">
        <v>1158.6960836651399</v>
      </c>
      <c r="J47" s="17">
        <v>1121</v>
      </c>
      <c r="K47" s="18">
        <v>0.551514719000891</v>
      </c>
      <c r="L47" s="18">
        <v>6.3600671750181599</v>
      </c>
      <c r="M47" s="20">
        <v>10.011532549397099</v>
      </c>
      <c r="N47" s="18">
        <v>740.14735710166303</v>
      </c>
      <c r="P47" s="17">
        <v>959</v>
      </c>
      <c r="Q47" s="18">
        <v>0.539972888425443</v>
      </c>
      <c r="R47" s="18">
        <v>5.4409495279593303</v>
      </c>
      <c r="S47" s="20">
        <v>11.255491261687901</v>
      </c>
      <c r="T47" s="18">
        <v>178.96309379013601</v>
      </c>
      <c r="V47" s="19">
        <v>984.29209746850495</v>
      </c>
      <c r="W47" s="19">
        <v>782.60578551176195</v>
      </c>
      <c r="X47" s="19">
        <v>193.33638619402299</v>
      </c>
    </row>
    <row r="48" spans="1:24" x14ac:dyDescent="0.2">
      <c r="A48" s="17" t="s">
        <v>57</v>
      </c>
      <c r="B48" s="17"/>
      <c r="C48" s="17"/>
      <c r="D48" s="17">
        <v>610</v>
      </c>
      <c r="E48" s="18">
        <v>0.56175409836065504</v>
      </c>
      <c r="F48" s="18">
        <v>4.2361111111111098</v>
      </c>
      <c r="G48" s="20">
        <v>10.5048984236855</v>
      </c>
      <c r="H48" s="18">
        <v>1193.7395945102701</v>
      </c>
      <c r="J48" s="17">
        <v>847</v>
      </c>
      <c r="K48" s="18">
        <v>0.55467650531286905</v>
      </c>
      <c r="L48" s="18">
        <v>5.88194444444445</v>
      </c>
      <c r="M48" s="20">
        <v>10.020159090658201</v>
      </c>
      <c r="N48" s="18">
        <v>615.91653155352799</v>
      </c>
      <c r="P48" s="17">
        <v>1012</v>
      </c>
      <c r="Q48" s="18">
        <v>0.54164624505928904</v>
      </c>
      <c r="R48" s="18">
        <v>7.0277777777777803</v>
      </c>
      <c r="S48" s="20">
        <v>11.4030007255852</v>
      </c>
      <c r="T48" s="18">
        <v>145.901232772577</v>
      </c>
      <c r="V48" s="19">
        <v>1196.92241109886</v>
      </c>
      <c r="W48" s="19">
        <v>645.81536019993496</v>
      </c>
      <c r="X48" s="19">
        <v>165.003680551315</v>
      </c>
    </row>
    <row r="49" spans="1:26" x14ac:dyDescent="0.2">
      <c r="A49" s="17" t="s">
        <v>58</v>
      </c>
      <c r="B49" s="17"/>
      <c r="C49" s="17"/>
      <c r="D49" s="17">
        <v>653</v>
      </c>
      <c r="E49" s="18">
        <v>0.588987748851454</v>
      </c>
      <c r="F49" s="18">
        <v>4.4171364148816199</v>
      </c>
      <c r="G49" s="20">
        <v>10.592412756701901</v>
      </c>
      <c r="H49" s="18">
        <v>1032.2496986844601</v>
      </c>
      <c r="J49" s="17">
        <v>984</v>
      </c>
      <c r="K49" s="18">
        <v>0.53924999999999901</v>
      </c>
      <c r="L49" s="18">
        <v>6.6561443066516297</v>
      </c>
      <c r="M49" s="20">
        <v>10.0714493074441</v>
      </c>
      <c r="N49" s="18">
        <v>679.53158708990304</v>
      </c>
      <c r="P49" s="17">
        <v>810</v>
      </c>
      <c r="Q49" s="18">
        <v>0.52271604938271699</v>
      </c>
      <c r="R49" s="18">
        <v>5.47914317925592</v>
      </c>
      <c r="S49" s="20">
        <v>11.2062575182439</v>
      </c>
      <c r="T49" s="18">
        <v>117.410526499038</v>
      </c>
      <c r="V49" s="19">
        <v>973.45065311154895</v>
      </c>
      <c r="W49" s="19">
        <v>746.81804318464401</v>
      </c>
      <c r="X49" s="19">
        <v>134.347242359874</v>
      </c>
    </row>
    <row r="50" spans="1:26" x14ac:dyDescent="0.2">
      <c r="A50" s="17" t="s">
        <v>59</v>
      </c>
      <c r="B50" s="17"/>
      <c r="C50" s="17"/>
      <c r="D50" s="17">
        <v>619</v>
      </c>
      <c r="E50" s="18">
        <v>0.571573505654281</v>
      </c>
      <c r="F50" s="18">
        <v>3.5405147759771198</v>
      </c>
      <c r="G50" s="20">
        <v>10.5201741786078</v>
      </c>
      <c r="H50" s="18">
        <v>1196.48692261274</v>
      </c>
      <c r="J50" s="17">
        <v>992</v>
      </c>
      <c r="K50" s="18">
        <v>0.53755141129032202</v>
      </c>
      <c r="L50" s="18">
        <v>5.6739752144899898</v>
      </c>
      <c r="M50" s="20">
        <v>10.201166846114599</v>
      </c>
      <c r="N50" s="18">
        <v>477.94342537934199</v>
      </c>
      <c r="P50" s="17">
        <v>961</v>
      </c>
      <c r="Q50" s="18">
        <v>0.53730280957336096</v>
      </c>
      <c r="R50" s="18">
        <v>5.4966634890371804</v>
      </c>
      <c r="S50" s="20">
        <v>11.306679311043199</v>
      </c>
      <c r="T50" s="18">
        <v>129.988155325132</v>
      </c>
      <c r="V50" s="19">
        <v>1164.3332241774499</v>
      </c>
      <c r="W50" s="19">
        <v>519.40353520002702</v>
      </c>
      <c r="X50" s="19">
        <v>141.636639192898</v>
      </c>
    </row>
    <row r="51" spans="1:26" x14ac:dyDescent="0.2">
      <c r="A51" s="17" t="s">
        <v>60</v>
      </c>
      <c r="B51" s="17"/>
      <c r="C51" s="17"/>
      <c r="D51" s="17">
        <v>787</v>
      </c>
      <c r="E51" s="18">
        <v>0.62037611181702601</v>
      </c>
      <c r="F51" s="18">
        <v>4.8282208588957101</v>
      </c>
      <c r="G51" s="20">
        <v>10.8503241228362</v>
      </c>
      <c r="H51" s="18">
        <v>1143.07657507882</v>
      </c>
      <c r="J51" s="17">
        <v>1007</v>
      </c>
      <c r="K51" s="18">
        <v>0.53282423038728899</v>
      </c>
      <c r="L51" s="18">
        <v>6.1779141104294499</v>
      </c>
      <c r="M51" s="20">
        <v>10.0985946178593</v>
      </c>
      <c r="N51" s="18">
        <v>515.02602916059402</v>
      </c>
      <c r="P51" s="17">
        <v>616</v>
      </c>
      <c r="Q51" s="18">
        <v>0.50962337662337698</v>
      </c>
      <c r="R51" s="18">
        <v>3.7791411042944798</v>
      </c>
      <c r="S51" s="20">
        <v>11.2786893769748</v>
      </c>
      <c r="T51" s="18">
        <v>161.12817700403599</v>
      </c>
      <c r="V51" s="19">
        <v>997.12142911636704</v>
      </c>
      <c r="W51" s="19">
        <v>574.13383287733404</v>
      </c>
      <c r="X51" s="19">
        <v>184.72242003707601</v>
      </c>
    </row>
    <row r="52" spans="1:26" x14ac:dyDescent="0.2">
      <c r="A52" s="17" t="s">
        <v>61</v>
      </c>
      <c r="B52" s="17"/>
      <c r="C52" s="17"/>
      <c r="D52" s="17">
        <v>715</v>
      </c>
      <c r="E52" s="18">
        <v>0.65470629370629296</v>
      </c>
      <c r="F52" s="18">
        <v>4.189453125</v>
      </c>
      <c r="G52" s="20">
        <v>10.8430327590797</v>
      </c>
      <c r="H52" s="18">
        <v>1609.2773434006799</v>
      </c>
      <c r="J52" s="17">
        <v>967</v>
      </c>
      <c r="K52" s="18">
        <v>0.55676628748707302</v>
      </c>
      <c r="L52" s="18">
        <v>5.666015625</v>
      </c>
      <c r="M52" s="20">
        <v>10.2940098246023</v>
      </c>
      <c r="N52" s="18">
        <v>946.54665846298803</v>
      </c>
      <c r="P52" s="36">
        <v>782</v>
      </c>
      <c r="Q52" s="37">
        <v>0.53722122762148306</v>
      </c>
      <c r="R52" s="37">
        <v>4.58203125</v>
      </c>
      <c r="S52" s="38">
        <v>11.2892895204167</v>
      </c>
      <c r="T52" s="37">
        <v>183.54570053766301</v>
      </c>
      <c r="V52" s="19">
        <v>1274.72312578224</v>
      </c>
      <c r="W52" s="19">
        <v>985.73705287184896</v>
      </c>
      <c r="X52" s="35">
        <v>197.75084226166001</v>
      </c>
    </row>
    <row r="53" spans="1:26" x14ac:dyDescent="0.2">
      <c r="G53" s="4"/>
      <c r="M53" s="4"/>
      <c r="S53" s="4"/>
    </row>
    <row r="54" spans="1:26" x14ac:dyDescent="0.2">
      <c r="G54" s="4"/>
      <c r="M54" s="4"/>
      <c r="S54" s="4"/>
    </row>
    <row r="55" spans="1:26" x14ac:dyDescent="0.2">
      <c r="A55" s="21" t="s">
        <v>75</v>
      </c>
      <c r="B55" s="5" t="s">
        <v>66</v>
      </c>
      <c r="C55" s="5"/>
      <c r="D55" s="7">
        <f>AVERAGE(D3:D11)</f>
        <v>654.11111111111109</v>
      </c>
      <c r="E55" s="6">
        <f>AVERAGE(E3:E11)</f>
        <v>0.61908004594993538</v>
      </c>
      <c r="F55" s="8">
        <f>AVERAGE(F3:F11)</f>
        <v>5.422699518087243</v>
      </c>
      <c r="G55" s="8">
        <f>AVERAGE(G3:G11)</f>
        <v>10.725983111403021</v>
      </c>
      <c r="H55" s="7">
        <f>AVERAGE(H3:H11)</f>
        <v>1114.176548152951</v>
      </c>
      <c r="I55" s="24"/>
      <c r="J55" s="7">
        <f>AVERAGE(J3:J11)</f>
        <v>826.22222222222217</v>
      </c>
      <c r="K55" s="6">
        <f>AVERAGE(K3:K11)</f>
        <v>0.54430191779805859</v>
      </c>
      <c r="L55" s="8">
        <f>AVERAGE(L3:L11)</f>
        <v>6.8269619792668488</v>
      </c>
      <c r="M55" s="8">
        <f>AVERAGE(M3:M11)</f>
        <v>10.143829839847557</v>
      </c>
      <c r="N55" s="7">
        <f>AVERAGE(N3:N11)</f>
        <v>699.10607956183776</v>
      </c>
      <c r="O55" s="24"/>
      <c r="P55" s="7">
        <f>AVERAGE(P3:P11)</f>
        <v>591.625</v>
      </c>
      <c r="Q55" s="6">
        <f>AVERAGE(Q3:Q11)</f>
        <v>0.5262792720508106</v>
      </c>
      <c r="R55" s="8">
        <f>AVERAGE(R3:R11)</f>
        <v>5.2495404083187598</v>
      </c>
      <c r="S55" s="8">
        <f>AVERAGE(S3:S11)</f>
        <v>11.162374946945162</v>
      </c>
      <c r="T55" s="7">
        <f>AVERAGE(T3:T11)</f>
        <v>317.12823423697773</v>
      </c>
      <c r="U55" s="24"/>
      <c r="V55" s="7">
        <f>AVERAGE(V3:V11)</f>
        <v>979.75427462081598</v>
      </c>
      <c r="W55" s="7">
        <f>AVERAGE(W3:W11)</f>
        <v>764.90721777765748</v>
      </c>
      <c r="X55" s="7">
        <f>AVERAGE(X3:X11)</f>
        <v>358.55146949994349</v>
      </c>
      <c r="Y55" s="7"/>
      <c r="Z55" s="7"/>
    </row>
    <row r="56" spans="1:26" x14ac:dyDescent="0.2">
      <c r="B56" s="9" t="s">
        <v>67</v>
      </c>
      <c r="C56" s="9"/>
      <c r="D56" s="11">
        <f>AVERAGE(D12:D20)</f>
        <v>828.55555555555554</v>
      </c>
      <c r="E56" s="10">
        <f>AVERAGE(E12:E20)</f>
        <v>0.62328663536634743</v>
      </c>
      <c r="F56" s="12">
        <f>AVERAGE(F12:F20)</f>
        <v>5.3291487283868531</v>
      </c>
      <c r="G56" s="12">
        <f>AVERAGE(G12:G20)</f>
        <v>10.808975371639121</v>
      </c>
      <c r="H56" s="11">
        <f>AVERAGE(H12:H20)</f>
        <v>967.75922267281385</v>
      </c>
      <c r="I56" s="24"/>
      <c r="J56" s="11">
        <f>AVERAGE(J12:J20)</f>
        <v>1085.3333333333333</v>
      </c>
      <c r="K56" s="10">
        <f>AVERAGE(K12:K20)</f>
        <v>0.54498093019676941</v>
      </c>
      <c r="L56" s="12">
        <f>AVERAGE(L12:L20)</f>
        <v>6.9645862366048163</v>
      </c>
      <c r="M56" s="12">
        <f>AVERAGE(M12:M20)</f>
        <v>10.142063698869212</v>
      </c>
      <c r="N56" s="11">
        <f>AVERAGE(N12:N20)</f>
        <v>531.67727037709085</v>
      </c>
      <c r="O56" s="24"/>
      <c r="P56" s="11">
        <f>AVERAGE(P12:P20)</f>
        <v>794.75</v>
      </c>
      <c r="Q56" s="10">
        <f>AVERAGE(Q12:Q20)</f>
        <v>0.52027493280410286</v>
      </c>
      <c r="R56" s="12">
        <f>AVERAGE(R12:R20)</f>
        <v>5.1127900951308485</v>
      </c>
      <c r="S56" s="12">
        <f>AVERAGE(S12:S20)</f>
        <v>11.148791999676886</v>
      </c>
      <c r="T56" s="11">
        <f>AVERAGE(T12:T20)</f>
        <v>197.87480712132879</v>
      </c>
      <c r="U56" s="24"/>
      <c r="V56" s="11">
        <f>AVERAGE(V12:V20)</f>
        <v>839.17433190319889</v>
      </c>
      <c r="W56" s="11">
        <f>AVERAGE(W12:W20)</f>
        <v>582.02313224190766</v>
      </c>
      <c r="X56" s="11">
        <f>AVERAGE(X12:X20)</f>
        <v>228.11033194031714</v>
      </c>
      <c r="Y56" s="11"/>
      <c r="Z56" s="11"/>
    </row>
    <row r="57" spans="1:26" x14ac:dyDescent="0.2">
      <c r="B57" s="17" t="s">
        <v>68</v>
      </c>
      <c r="C57" s="17"/>
      <c r="D57" s="19">
        <f>AVERAGE(D21:D31)</f>
        <v>762.18181818181813</v>
      </c>
      <c r="E57" s="18">
        <f>AVERAGE(E21:E31)</f>
        <v>0.64539815382422838</v>
      </c>
      <c r="F57" s="20">
        <f>AVERAGE(F21:F31)</f>
        <v>5.1062968322463282</v>
      </c>
      <c r="G57" s="20">
        <f>AVERAGE(G21:G31)</f>
        <v>10.941268066420902</v>
      </c>
      <c r="H57" s="19">
        <f>AVERAGE(H21:H31)</f>
        <v>1185.8064493805264</v>
      </c>
      <c r="I57" s="24"/>
      <c r="J57" s="19">
        <f>AVERAGE(J21:J31)</f>
        <v>990.27272727272725</v>
      </c>
      <c r="K57" s="18">
        <f>AVERAGE(K21:K31)</f>
        <v>0.54591509421407158</v>
      </c>
      <c r="L57" s="20">
        <f>AVERAGE(L21:L31)</f>
        <v>6.6493082592778032</v>
      </c>
      <c r="M57" s="20">
        <f>AVERAGE(M21:M31)</f>
        <v>10.117883958137504</v>
      </c>
      <c r="N57" s="19">
        <f>AVERAGE(N21:N31)</f>
        <v>541.01573936284422</v>
      </c>
      <c r="O57" s="24"/>
      <c r="P57" s="19">
        <f>AVERAGE(P21:P31)</f>
        <v>784.81818181818187</v>
      </c>
      <c r="Q57" s="18">
        <f>AVERAGE(Q21:Q31)</f>
        <v>0.54365664815215153</v>
      </c>
      <c r="R57" s="20">
        <f>AVERAGE(R21:R31)</f>
        <v>5.2539651468359301</v>
      </c>
      <c r="S57" s="20">
        <f>AVERAGE(S21:S31)</f>
        <v>11.043126824726375</v>
      </c>
      <c r="T57" s="19">
        <f>AVERAGE(T21:T31)</f>
        <v>205.40857202245715</v>
      </c>
      <c r="U57" s="24"/>
      <c r="V57" s="19">
        <f>AVERAGE(V21:V31)</f>
        <v>985.21708455798102</v>
      </c>
      <c r="W57" s="19">
        <f>AVERAGE(W21:W31)</f>
        <v>587.0847206825423</v>
      </c>
      <c r="X57" s="19">
        <f>AVERAGE(X21:X31)</f>
        <v>262.50227589552435</v>
      </c>
      <c r="Y57" s="19"/>
      <c r="Z57" s="19"/>
    </row>
    <row r="58" spans="1:26" x14ac:dyDescent="0.2">
      <c r="E58" s="3"/>
      <c r="F58" s="4"/>
      <c r="G58" s="4"/>
      <c r="K58" s="3"/>
      <c r="L58" s="4"/>
      <c r="M58" s="4"/>
      <c r="P58"/>
      <c r="Q58" s="3"/>
      <c r="R58" s="4"/>
      <c r="S58" s="4"/>
      <c r="T58"/>
    </row>
    <row r="59" spans="1:26" x14ac:dyDescent="0.2">
      <c r="A59" t="s">
        <v>76</v>
      </c>
      <c r="B59" s="5" t="s">
        <v>66</v>
      </c>
      <c r="C59" s="5"/>
      <c r="D59" s="7">
        <f>STDEV(D3:D11)/SQRT(COUNT(D3:D11))</f>
        <v>78.5476579402673</v>
      </c>
      <c r="E59" s="6">
        <f>STDEV(E3:E11)/SQRT(COUNT(E3:E11))</f>
        <v>7.6903059148219653E-3</v>
      </c>
      <c r="F59" s="8">
        <f>STDEV(F3:F11)/SQRT(COUNT(F3:F11))</f>
        <v>0.12644804446688046</v>
      </c>
      <c r="G59" s="8">
        <f>STDEV(G3:G11)/SQRT(COUNT(G3:G11))</f>
        <v>5.8231966449602129E-2</v>
      </c>
      <c r="H59" s="7">
        <f>STDEV(H3:H11)/SQRT(COUNT(H3:H11))</f>
        <v>61.623271717994278</v>
      </c>
      <c r="I59" s="24"/>
      <c r="J59" s="7">
        <f>STDEV(J3:J11)/SQRT(COUNT(J3:J11))</f>
        <v>103.69583964891665</v>
      </c>
      <c r="K59" s="6">
        <f>STDEV(K3:K11)/SQRT(COUNT(K3:K11))</f>
        <v>2.4118792265070896E-3</v>
      </c>
      <c r="L59" s="8">
        <f>STDEV(L3:L11)/SQRT(COUNT(L3:L11))</f>
        <v>0.22389013011059608</v>
      </c>
      <c r="M59" s="8">
        <f>STDEV(M3:M11)/SQRT(COUNT(M3:M11))</f>
        <v>1.653455361527852E-2</v>
      </c>
      <c r="N59" s="7">
        <f>STDEV(N3:N11)/SQRT(COUNT(N3:N11))</f>
        <v>51.778341356668697</v>
      </c>
      <c r="O59" s="24"/>
      <c r="P59" s="7">
        <f>STDEV(P3:P11)/SQRT(COUNT(P3:P11))</f>
        <v>75.439175475535066</v>
      </c>
      <c r="Q59" s="6">
        <f>STDEV(Q3:Q11)/SQRT(COUNT(Q3:Q11))</f>
        <v>1.7467069601365813E-3</v>
      </c>
      <c r="R59" s="8">
        <f>STDEV(R3:R11)/SQRT(COUNT(R3:R11))</f>
        <v>0.34665910797246274</v>
      </c>
      <c r="S59" s="8">
        <f>STDEV(S3:S11)/SQRT(COUNT(S3:S11))</f>
        <v>3.3225636863741768E-2</v>
      </c>
      <c r="T59" s="7">
        <f>STDEV(T3:T11)/SQRT(COUNT(T3:T11))</f>
        <v>58.128695540350463</v>
      </c>
      <c r="U59" s="24"/>
      <c r="V59" s="7">
        <f>STDEV(V3:V11)/SQRT(COUNT(V3:V11))</f>
        <v>48.186754255434842</v>
      </c>
      <c r="W59" s="7">
        <f>STDEV(W3:W11)/SQRT(COUNT(W3:W11))</f>
        <v>54.346315970710755</v>
      </c>
      <c r="X59" s="7">
        <f>STDEV(X3:X11)/SQRT(COUNT(X3:X11))</f>
        <v>64.994179972014365</v>
      </c>
      <c r="Y59" s="7"/>
      <c r="Z59" s="7"/>
    </row>
    <row r="60" spans="1:26" x14ac:dyDescent="0.2">
      <c r="B60" s="9" t="s">
        <v>67</v>
      </c>
      <c r="C60" s="9"/>
      <c r="D60" s="11">
        <f>STDEV(D12:D20)/SQRT(COUNT(D12:D20))</f>
        <v>43.795963509815415</v>
      </c>
      <c r="E60" s="10">
        <f>STDEV(E12:E20)/SQRT(COUNT(E12:E20))</f>
        <v>5.1660671783503266E-3</v>
      </c>
      <c r="F60" s="12">
        <f>STDEV(F12:F20)/SQRT(COUNT(F12:F20))</f>
        <v>8.1522345066351462E-2</v>
      </c>
      <c r="G60" s="12">
        <f>STDEV(G12:G20)/SQRT(COUNT(G12:G20))</f>
        <v>2.7985887504297591E-2</v>
      </c>
      <c r="H60" s="11">
        <f>STDEV(H12:H20)/SQRT(COUNT(H12:H20))</f>
        <v>83.519997891558319</v>
      </c>
      <c r="I60" s="24"/>
      <c r="J60" s="11">
        <f>STDEV(J12:J20)/SQRT(COUNT(J12:J20))</f>
        <v>71.357083273725067</v>
      </c>
      <c r="K60" s="10">
        <f>STDEV(K12:K20)/SQRT(COUNT(K12:K20))</f>
        <v>1.620665943013128E-3</v>
      </c>
      <c r="L60" s="12">
        <f>STDEV(L12:L20)/SQRT(COUNT(L12:L20))</f>
        <v>0.21138377680649792</v>
      </c>
      <c r="M60" s="12">
        <f>STDEV(M12:M20)/SQRT(COUNT(M12:M20))</f>
        <v>3.175068001817237E-2</v>
      </c>
      <c r="N60" s="11">
        <f>STDEV(N12:N20)/SQRT(COUNT(N12:N20))</f>
        <v>57.004941432015926</v>
      </c>
      <c r="O60" s="24"/>
      <c r="P60" s="11">
        <f>STDEV(P12:P20)/SQRT(COUNT(P12:P20))</f>
        <v>41.9096604956082</v>
      </c>
      <c r="Q60" s="10">
        <f>STDEV(Q12:Q20)/SQRT(COUNT(Q12:Q20))</f>
        <v>2.330645666537593E-3</v>
      </c>
      <c r="R60" s="12">
        <f>STDEV(R12:R20)/SQRT(COUNT(R12:R20))</f>
        <v>0.1974350293486779</v>
      </c>
      <c r="S60" s="12">
        <f>STDEV(S12:S20)/SQRT(COUNT(S12:S20))</f>
        <v>3.1241092649234563E-2</v>
      </c>
      <c r="T60" s="11">
        <f>STDEV(T12:T20)/SQRT(COUNT(T12:T20))</f>
        <v>17.765560072230137</v>
      </c>
      <c r="U60" s="24"/>
      <c r="V60" s="11">
        <f>STDEV(V12:V20)/SQRT(COUNT(V12:V20))</f>
        <v>64.407136718644281</v>
      </c>
      <c r="W60" s="11">
        <f>STDEV(W12:W20)/SQRT(COUNT(W12:W20))</f>
        <v>62.78436733726263</v>
      </c>
      <c r="X60" s="11">
        <f>STDEV(X12:X20)/SQRT(COUNT(X12:X20))</f>
        <v>19.748528840052348</v>
      </c>
      <c r="Y60" s="11"/>
      <c r="Z60" s="11"/>
    </row>
    <row r="61" spans="1:26" x14ac:dyDescent="0.2">
      <c r="B61" s="17" t="s">
        <v>68</v>
      </c>
      <c r="C61" s="17"/>
      <c r="D61" s="19">
        <f>STDEV(D21:D31)/SQRT(COUNT(D21:D31))</f>
        <v>36.667751048327901</v>
      </c>
      <c r="E61" s="18">
        <f>STDEV(E21:E31)/SQRT(COUNT(E21:E31))</f>
        <v>6.4441691684326988E-3</v>
      </c>
      <c r="F61" s="20">
        <f>STDEV(F21:F31)/SQRT(COUNT(F21:F31))</f>
        <v>9.9048823266118177E-2</v>
      </c>
      <c r="G61" s="20">
        <f>STDEV(G21:G31)/SQRT(COUNT(G21:G31))</f>
        <v>4.5512796540807379E-2</v>
      </c>
      <c r="H61" s="19">
        <f>STDEV(H21:H31)/SQRT(COUNT(H21:H31))</f>
        <v>53.393164431424509</v>
      </c>
      <c r="I61" s="24"/>
      <c r="J61" s="19">
        <f>STDEV(J21:J31)/SQRT(COUNT(J21:J31))</f>
        <v>51.097071773259685</v>
      </c>
      <c r="K61" s="18">
        <f>STDEV(K21:K31)/SQRT(COUNT(K21:K31))</f>
        <v>2.73301650047242E-3</v>
      </c>
      <c r="L61" s="20">
        <f>STDEV(L21:L31)/SQRT(COUNT(L21:L31))</f>
        <v>0.23029072619112398</v>
      </c>
      <c r="M61" s="20">
        <f>STDEV(M21:M31)/SQRT(COUNT(M21:M31))</f>
        <v>4.0337166272607819E-2</v>
      </c>
      <c r="N61" s="19">
        <f>STDEV(N21:N31)/SQRT(COUNT(N21:N31))</f>
        <v>45.548487269487389</v>
      </c>
      <c r="O61" s="24"/>
      <c r="P61" s="19">
        <f>STDEV(P21:P31)/SQRT(COUNT(P21:P31))</f>
        <v>69.189964876920016</v>
      </c>
      <c r="Q61" s="18">
        <f>STDEV(Q21:Q31)/SQRT(COUNT(Q21:Q31))</f>
        <v>1.2341330359577768E-2</v>
      </c>
      <c r="R61" s="20">
        <f>STDEV(R21:R31)/SQRT(COUNT(R21:R31))</f>
        <v>0.35399225919538807</v>
      </c>
      <c r="S61" s="20">
        <f>STDEV(S21:S31)/SQRT(COUNT(S21:S31))</f>
        <v>0.13314149275151768</v>
      </c>
      <c r="T61" s="19">
        <f>STDEV(T21:T31)/SQRT(COUNT(T21:T31))</f>
        <v>35.201554604794389</v>
      </c>
      <c r="U61" s="24"/>
      <c r="V61" s="19">
        <f>STDEV(V21:V31)/SQRT(COUNT(V21:V31))</f>
        <v>43.880370335411357</v>
      </c>
      <c r="W61" s="19">
        <f>STDEV(W21:W31)/SQRT(COUNT(W21:W31))</f>
        <v>44.689178640413701</v>
      </c>
      <c r="X61" s="19">
        <f>STDEV(X21:X31)/SQRT(COUNT(X21:X31))</f>
        <v>38.533276194720457</v>
      </c>
      <c r="Y61" s="19"/>
      <c r="Z61" s="19"/>
    </row>
    <row r="62" spans="1:26" x14ac:dyDescent="0.2">
      <c r="E62" s="3"/>
      <c r="F62" s="4"/>
      <c r="G62" s="4"/>
      <c r="K62" s="3"/>
      <c r="L62" s="4"/>
      <c r="M62" s="4"/>
      <c r="P62"/>
      <c r="Q62" s="3"/>
      <c r="R62" s="4"/>
      <c r="S62" s="4"/>
      <c r="T62"/>
    </row>
    <row r="63" spans="1:26" x14ac:dyDescent="0.2">
      <c r="E63" s="3"/>
      <c r="F63" s="4"/>
      <c r="G63" s="4"/>
      <c r="K63" s="3"/>
      <c r="L63" s="4"/>
      <c r="M63" s="4"/>
      <c r="P63"/>
      <c r="Q63" s="3"/>
      <c r="R63" s="4"/>
      <c r="S63" s="4"/>
      <c r="T63"/>
    </row>
    <row r="64" spans="1:26" x14ac:dyDescent="0.2">
      <c r="A64" t="s">
        <v>75</v>
      </c>
      <c r="B64" s="13" t="s">
        <v>69</v>
      </c>
      <c r="C64" s="13"/>
      <c r="D64" s="15">
        <f>AVERAGE(D32:D39)</f>
        <v>705.75</v>
      </c>
      <c r="E64" s="14">
        <f>AVERAGE(E32:E39)</f>
        <v>0.59728642195373027</v>
      </c>
      <c r="F64" s="16">
        <f>AVERAGE(F32:F39)</f>
        <v>4.6692247935846805</v>
      </c>
      <c r="G64" s="16">
        <f>AVERAGE(G32:G39)</f>
        <v>10.658991144324162</v>
      </c>
      <c r="H64" s="15">
        <f>AVERAGE(H32:H39)</f>
        <v>1463.3474061567463</v>
      </c>
      <c r="I64" s="24"/>
      <c r="J64" s="15">
        <f>AVERAGE(J32:J39)</f>
        <v>933.125</v>
      </c>
      <c r="K64" s="14">
        <f>AVERAGE(K32:K39)</f>
        <v>0.53525888713417435</v>
      </c>
      <c r="L64" s="16">
        <f>AVERAGE(L32:L39)</f>
        <v>6.2197077157331142</v>
      </c>
      <c r="M64" s="16">
        <f>AVERAGE(M32:M39)</f>
        <v>10.140579351711512</v>
      </c>
      <c r="N64" s="15">
        <f>AVERAGE(N32:N39)</f>
        <v>679.28011680614475</v>
      </c>
      <c r="O64" s="24"/>
      <c r="P64" s="15">
        <f>AVERAGE(P32:P39)</f>
        <v>756.5</v>
      </c>
      <c r="Q64" s="14">
        <f>AVERAGE(Q32:Q39)</f>
        <v>0.51995913107794034</v>
      </c>
      <c r="R64" s="16">
        <f>AVERAGE(R32:R39)</f>
        <v>4.870678021130618</v>
      </c>
      <c r="S64" s="16">
        <f>AVERAGE(S32:S39)</f>
        <v>11.224208085473276</v>
      </c>
      <c r="T64" s="15">
        <f>AVERAGE(T32:T39)</f>
        <v>245.68442186789929</v>
      </c>
      <c r="U64" s="24"/>
      <c r="V64" s="15">
        <f>AVERAGE(V32:V39)</f>
        <v>1342.7712217471401</v>
      </c>
      <c r="W64" s="15">
        <f>AVERAGE(W32:W39)</f>
        <v>748.82934302374099</v>
      </c>
      <c r="X64" s="15">
        <f>AVERAGE(X32:X39)</f>
        <v>280.42004574079465</v>
      </c>
      <c r="Y64" s="15"/>
      <c r="Z64" s="15"/>
    </row>
    <row r="65" spans="1:26" x14ac:dyDescent="0.2">
      <c r="B65" s="9" t="s">
        <v>70</v>
      </c>
      <c r="C65" s="9"/>
      <c r="D65" s="11">
        <f>AVERAGE(D40:D44)</f>
        <v>508.8</v>
      </c>
      <c r="E65" s="10">
        <f>AVERAGE(E40:E44)</f>
        <v>0.60864858464388538</v>
      </c>
      <c r="F65" s="12">
        <f>AVERAGE(F40:F44)</f>
        <v>4.2656171686662621</v>
      </c>
      <c r="G65" s="12">
        <f>AVERAGE(G40:G44)</f>
        <v>10.6403087077723</v>
      </c>
      <c r="H65" s="11">
        <f>AVERAGE(H40:H44)</f>
        <v>1057.9752667029484</v>
      </c>
      <c r="I65" s="24"/>
      <c r="J65" s="11">
        <f>AVERAGE(J40:J44)</f>
        <v>727.6</v>
      </c>
      <c r="K65" s="10">
        <f>AVERAGE(K40:K44)</f>
        <v>0.53844850164034885</v>
      </c>
      <c r="L65" s="12">
        <f>AVERAGE(L40:L44)</f>
        <v>6.058449539399156</v>
      </c>
      <c r="M65" s="12">
        <f>AVERAGE(M40:M44)</f>
        <v>10.19788065825818</v>
      </c>
      <c r="N65" s="11">
        <f>AVERAGE(N40:N44)</f>
        <v>476.51945029069503</v>
      </c>
      <c r="O65" s="24"/>
      <c r="P65" s="11">
        <f>AVERAGE(P40:P44)</f>
        <v>524</v>
      </c>
      <c r="Q65" s="10">
        <f>AVERAGE(Q40:Q44)</f>
        <v>0.51448321631310034</v>
      </c>
      <c r="R65" s="12">
        <f>AVERAGE(R40:R44)</f>
        <v>4.3250778613323693</v>
      </c>
      <c r="S65" s="12">
        <f>AVERAGE(S40:S44)</f>
        <v>11.289127647090918</v>
      </c>
      <c r="T65" s="11">
        <f>AVERAGE(T40:T44)</f>
        <v>175.27924523936991</v>
      </c>
      <c r="U65" s="24"/>
      <c r="V65" s="11">
        <f>AVERAGE(V40:V44)</f>
        <v>949.28901570445032</v>
      </c>
      <c r="W65" s="11">
        <f>AVERAGE(W40:W44)</f>
        <v>524.12053186350295</v>
      </c>
      <c r="X65" s="11">
        <f>AVERAGE(X40:X44)</f>
        <v>200.06312303398423</v>
      </c>
      <c r="Y65" s="11"/>
      <c r="Z65" s="11"/>
    </row>
    <row r="66" spans="1:26" x14ac:dyDescent="0.2">
      <c r="B66" s="17" t="s">
        <v>71</v>
      </c>
      <c r="C66" s="17"/>
      <c r="D66" s="19">
        <f>AVERAGE(D45:D52)</f>
        <v>698.25</v>
      </c>
      <c r="E66" s="18">
        <f>AVERAGE(E45:E52)</f>
        <v>0.59777456795904638</v>
      </c>
      <c r="F66" s="20">
        <f>AVERAGE(F45:F52)</f>
        <v>4.3097664133975551</v>
      </c>
      <c r="G66" s="20">
        <f>AVERAGE(G45:G52)</f>
        <v>10.680154728495589</v>
      </c>
      <c r="H66" s="19">
        <f>AVERAGE(H45:H52)</f>
        <v>1209.0093083989175</v>
      </c>
      <c r="I66" s="24"/>
      <c r="J66" s="19">
        <f>AVERAGE(J45:J52)</f>
        <v>977.375</v>
      </c>
      <c r="K66" s="18">
        <f>AVERAGE(K45:K52)</f>
        <v>0.54168743209981218</v>
      </c>
      <c r="L66" s="20">
        <f>AVERAGE(L45:L52)</f>
        <v>6.0242876965414247</v>
      </c>
      <c r="M66" s="20">
        <f>AVERAGE(M45:M52)</f>
        <v>10.106783187213725</v>
      </c>
      <c r="N66" s="19">
        <f>AVERAGE(N45:N52)</f>
        <v>688.34505251634732</v>
      </c>
      <c r="O66" s="24"/>
      <c r="P66" s="19">
        <f>AVERAGE(P45:P52)</f>
        <v>802.375</v>
      </c>
      <c r="Q66" s="18">
        <f>AVERAGE(Q45:Q52)</f>
        <v>0.52596767961514868</v>
      </c>
      <c r="R66" s="20">
        <f>AVERAGE(R45:R52)</f>
        <v>4.959478610550363</v>
      </c>
      <c r="S66" s="20">
        <f>AVERAGE(S45:S52)</f>
        <v>11.229163960419875</v>
      </c>
      <c r="T66" s="19">
        <f>AVERAGE(T45:T52)</f>
        <v>193.85434689352249</v>
      </c>
      <c r="U66" s="24"/>
      <c r="V66" s="19">
        <f>AVERAGE(V45:V52)</f>
        <v>1095.9587662654826</v>
      </c>
      <c r="W66" s="19">
        <f>AVERAGE(W45:W52)</f>
        <v>742.9145423428356</v>
      </c>
      <c r="X66" s="19">
        <f>AVERAGE(X45:X52)</f>
        <v>217.84052901637537</v>
      </c>
      <c r="Y66" s="19"/>
      <c r="Z66" s="19"/>
    </row>
    <row r="67" spans="1:26" x14ac:dyDescent="0.2">
      <c r="E67" s="3"/>
      <c r="F67" s="4"/>
      <c r="G67" s="4"/>
      <c r="K67" s="3"/>
      <c r="L67" s="4"/>
      <c r="M67" s="4"/>
      <c r="P67"/>
      <c r="Q67" s="3"/>
      <c r="R67" s="4"/>
      <c r="S67" s="4"/>
      <c r="T67"/>
    </row>
    <row r="68" spans="1:26" x14ac:dyDescent="0.2">
      <c r="A68" t="s">
        <v>76</v>
      </c>
      <c r="B68" s="13" t="s">
        <v>69</v>
      </c>
      <c r="C68" s="13"/>
      <c r="D68" s="15">
        <f>STDEV(D32:D39)/SQRT(COUNT(D32:D39))</f>
        <v>65.382869643792347</v>
      </c>
      <c r="E68" s="14">
        <f>STDEV(E32:E39)/SQRT(COUNT(E32:E39))</f>
        <v>1.3691846524905887E-2</v>
      </c>
      <c r="F68" s="16">
        <f>STDEV(F32:F39)/SQRT(COUNT(F32:F39))</f>
        <v>0.24949806594850793</v>
      </c>
      <c r="G68" s="16">
        <f>STDEV(G32:G39)/SQRT(COUNT(G32:G39))</f>
        <v>0.10851137661439937</v>
      </c>
      <c r="H68" s="15">
        <f>STDEV(H32:H39)/SQRT(COUNT(H32:H39))</f>
        <v>75.980482845568901</v>
      </c>
      <c r="I68" s="24"/>
      <c r="J68" s="15">
        <f>STDEV(J32:J39)/SQRT(COUNT(J32:J39))</f>
        <v>63.127263042885943</v>
      </c>
      <c r="K68" s="14">
        <f>STDEV(K32:K39)/SQRT(COUNT(K32:K39))</f>
        <v>2.1436976080759021E-3</v>
      </c>
      <c r="L68" s="16">
        <f>STDEV(L32:L39)/SQRT(COUNT(L32:L39))</f>
        <v>0.20374420413125785</v>
      </c>
      <c r="M68" s="16">
        <f>STDEV(M32:M39)/SQRT(COUNT(M32:M39))</f>
        <v>2.0215893198732623E-2</v>
      </c>
      <c r="N68" s="15">
        <f>STDEV(N32:N39)/SQRT(COUNT(N32:N39))</f>
        <v>25.752537565246016</v>
      </c>
      <c r="O68" s="24"/>
      <c r="P68" s="15">
        <f>STDEV(P32:P39)/SQRT(COUNT(P32:P39))</f>
        <v>119.74541446633471</v>
      </c>
      <c r="Q68" s="14">
        <f>STDEV(Q32:Q39)/SQRT(COUNT(Q32:Q39))</f>
        <v>5.272738666157066E-3</v>
      </c>
      <c r="R68" s="16">
        <f>STDEV(R32:R39)/SQRT(COUNT(R32:R39))</f>
        <v>0.51574607682102114</v>
      </c>
      <c r="S68" s="16">
        <f>STDEV(S32:S39)/SQRT(COUNT(S32:S39))</f>
        <v>4.1811751591230698E-2</v>
      </c>
      <c r="T68" s="15">
        <f>STDEV(T32:T39)/SQRT(COUNT(T32:T39))</f>
        <v>53.040135347956273</v>
      </c>
      <c r="U68" s="24"/>
      <c r="V68" s="15">
        <f>STDEV(V32:V39)/SQRT(COUNT(V32:V39))</f>
        <v>75.753070687941999</v>
      </c>
      <c r="W68" s="15">
        <f>STDEV(W32:W39)/SQRT(COUNT(W32:W39))</f>
        <v>29.558883417050719</v>
      </c>
      <c r="X68" s="15">
        <f>STDEV(X32:X39)/SQRT(COUNT(X32:X39))</f>
        <v>60.633605513383849</v>
      </c>
      <c r="Y68" s="15"/>
      <c r="Z68" s="15"/>
    </row>
    <row r="69" spans="1:26" x14ac:dyDescent="0.2">
      <c r="B69" s="9" t="s">
        <v>70</v>
      </c>
      <c r="C69" s="9"/>
      <c r="D69" s="11">
        <f>STDEV(D40:D44)/SQRT(COUNT(D40:D44))</f>
        <v>61.394950932466763</v>
      </c>
      <c r="E69" s="10">
        <f t="shared" ref="E69:X69" si="0">STDEV(E40:E44)/SQRT(COUNT(E40:E44))</f>
        <v>2.6120721707557928E-2</v>
      </c>
      <c r="F69" s="12">
        <f t="shared" si="0"/>
        <v>0.24452809146610743</v>
      </c>
      <c r="G69" s="12">
        <f t="shared" si="0"/>
        <v>0.10981921732324652</v>
      </c>
      <c r="H69" s="11">
        <f t="shared" si="0"/>
        <v>48.294071415256965</v>
      </c>
      <c r="I69" s="24"/>
      <c r="J69" s="11">
        <f t="shared" si="0"/>
        <v>93.255348372090751</v>
      </c>
      <c r="K69" s="10">
        <f t="shared" si="0"/>
        <v>2.360012465708574E-3</v>
      </c>
      <c r="L69" s="12">
        <f t="shared" si="0"/>
        <v>0.21420029798441209</v>
      </c>
      <c r="M69" s="12">
        <f t="shared" si="0"/>
        <v>3.2693910572136615E-2</v>
      </c>
      <c r="N69" s="11">
        <f t="shared" si="0"/>
        <v>67.329839828132876</v>
      </c>
      <c r="O69" s="24"/>
      <c r="P69" s="11">
        <f t="shared" si="0"/>
        <v>98.190121702745643</v>
      </c>
      <c r="Q69" s="10">
        <f t="shared" si="0"/>
        <v>5.8165661642838847E-3</v>
      </c>
      <c r="R69" s="12">
        <f t="shared" si="0"/>
        <v>0.7123676489870151</v>
      </c>
      <c r="S69" s="12">
        <f t="shared" si="0"/>
        <v>4.238618500727425E-2</v>
      </c>
      <c r="T69" s="11">
        <f t="shared" si="0"/>
        <v>45.082397590538427</v>
      </c>
      <c r="U69" s="24"/>
      <c r="V69" s="11">
        <f t="shared" si="0"/>
        <v>77.754342251550625</v>
      </c>
      <c r="W69" s="11">
        <f t="shared" si="0"/>
        <v>74.489268117695161</v>
      </c>
      <c r="X69" s="11">
        <f t="shared" si="0"/>
        <v>50.828897025020609</v>
      </c>
      <c r="Y69" s="11"/>
      <c r="Z69" s="11"/>
    </row>
    <row r="70" spans="1:26" x14ac:dyDescent="0.2">
      <c r="B70" s="17" t="s">
        <v>71</v>
      </c>
      <c r="C70" s="17"/>
      <c r="D70" s="19">
        <f>STDEV(D45:D52)/SQRT(COUNT(D45:D52))</f>
        <v>23.168443748216788</v>
      </c>
      <c r="E70" s="18">
        <f t="shared" ref="E70:X70" si="1">STDEV(E45:E52)/SQRT(COUNT(E45:E52))</f>
        <v>1.086696930535528E-2</v>
      </c>
      <c r="F70" s="20">
        <f t="shared" si="1"/>
        <v>0.14290542069838863</v>
      </c>
      <c r="G70" s="20">
        <f t="shared" si="1"/>
        <v>4.8580679186570996E-2</v>
      </c>
      <c r="H70" s="19">
        <f t="shared" si="1"/>
        <v>60.497407453192842</v>
      </c>
      <c r="I70" s="24"/>
      <c r="J70" s="19">
        <f t="shared" si="1"/>
        <v>27.011199727414656</v>
      </c>
      <c r="K70" s="18">
        <f t="shared" si="1"/>
        <v>3.9627994644309663E-3</v>
      </c>
      <c r="L70" s="20">
        <f t="shared" si="1"/>
        <v>0.12284554588314978</v>
      </c>
      <c r="M70" s="20">
        <f t="shared" si="1"/>
        <v>3.4302220397238459E-2</v>
      </c>
      <c r="N70" s="19">
        <f t="shared" si="1"/>
        <v>54.822099158525553</v>
      </c>
      <c r="O70" s="24"/>
      <c r="P70" s="19">
        <f t="shared" si="1"/>
        <v>69.287944091512557</v>
      </c>
      <c r="Q70" s="18">
        <f t="shared" si="1"/>
        <v>5.2054962622066032E-3</v>
      </c>
      <c r="R70" s="20">
        <f t="shared" si="1"/>
        <v>0.45520116719500359</v>
      </c>
      <c r="S70" s="20">
        <f t="shared" si="1"/>
        <v>4.4345616983166795E-2</v>
      </c>
      <c r="T70" s="19">
        <f t="shared" si="1"/>
        <v>32.067207351694144</v>
      </c>
      <c r="U70" s="24"/>
      <c r="V70" s="19">
        <f t="shared" si="1"/>
        <v>40.8931158322954</v>
      </c>
      <c r="W70" s="19">
        <f t="shared" si="1"/>
        <v>56.078910811084292</v>
      </c>
      <c r="X70" s="19">
        <f t="shared" si="1"/>
        <v>38.225396743161255</v>
      </c>
      <c r="Y70" s="19"/>
      <c r="Z70" s="19"/>
    </row>
    <row r="71" spans="1:26" x14ac:dyDescent="0.2">
      <c r="E71" s="3"/>
      <c r="F71" s="4"/>
      <c r="G71" s="4"/>
      <c r="K71" s="3"/>
      <c r="L71" s="4"/>
      <c r="M71" s="4"/>
      <c r="P71"/>
      <c r="Q71" s="3"/>
      <c r="R71" s="4"/>
      <c r="S71" s="4"/>
      <c r="T71"/>
    </row>
    <row r="72" spans="1:26" x14ac:dyDescent="0.2">
      <c r="E72" s="3"/>
      <c r="F72" s="4"/>
      <c r="G72" s="4"/>
      <c r="K72" s="3"/>
      <c r="L72" s="4"/>
      <c r="M72" s="4"/>
      <c r="P72"/>
      <c r="Q72" s="3"/>
      <c r="R72" s="4"/>
      <c r="S72" s="4"/>
      <c r="T72"/>
    </row>
    <row r="75" spans="1:26" x14ac:dyDescent="0.2">
      <c r="B75" t="s">
        <v>0</v>
      </c>
    </row>
    <row r="86" spans="2:2" x14ac:dyDescent="0.2">
      <c r="B86" t="s">
        <v>1</v>
      </c>
    </row>
    <row r="97" spans="2:2" x14ac:dyDescent="0.2">
      <c r="B97" t="s">
        <v>77</v>
      </c>
    </row>
    <row r="108" spans="2:2" x14ac:dyDescent="0.2">
      <c r="B108" t="s">
        <v>3</v>
      </c>
    </row>
    <row r="118" spans="2:2" x14ac:dyDescent="0.2">
      <c r="B118" t="s">
        <v>2</v>
      </c>
    </row>
    <row r="129" spans="2:2" x14ac:dyDescent="0.2">
      <c r="B129" t="s">
        <v>78</v>
      </c>
    </row>
  </sheetData>
  <mergeCells count="3">
    <mergeCell ref="D1:H1"/>
    <mergeCell ref="J1:N1"/>
    <mergeCell ref="P1:T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opLeftCell="A40" workbookViewId="0">
      <selection activeCell="N27" sqref="N27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.83203125" customWidth="1"/>
    <col min="4" max="4" width="6.5" style="1" bestFit="1" customWidth="1"/>
    <col min="5" max="5" width="9.6640625" style="1" bestFit="1" customWidth="1"/>
    <col min="6" max="6" width="16.5" style="1" bestFit="1" customWidth="1"/>
    <col min="7" max="7" width="10.33203125" style="1" bestFit="1" customWidth="1"/>
    <col min="8" max="8" width="13.5" style="1" bestFit="1" customWidth="1"/>
    <col min="9" max="9" width="9.1640625" style="23"/>
    <col min="10" max="10" width="10.5" style="28" bestFit="1" customWidth="1"/>
    <col min="12" max="12" width="16.83203125" customWidth="1"/>
  </cols>
  <sheetData>
    <row r="1" spans="1:13" s="2" customFormat="1" x14ac:dyDescent="0.2">
      <c r="D1" s="40" t="s">
        <v>6</v>
      </c>
      <c r="E1" s="40"/>
      <c r="F1" s="40"/>
      <c r="G1" s="40"/>
      <c r="H1" s="40"/>
      <c r="I1" s="22"/>
      <c r="J1" s="25" t="s">
        <v>62</v>
      </c>
    </row>
    <row r="2" spans="1:13" s="2" customFormat="1" x14ac:dyDescent="0.2">
      <c r="A2" s="2" t="s">
        <v>63</v>
      </c>
      <c r="D2" s="2" t="s">
        <v>0</v>
      </c>
      <c r="E2" s="2" t="s">
        <v>72</v>
      </c>
      <c r="F2" s="2" t="s">
        <v>73</v>
      </c>
      <c r="G2" s="2" t="s">
        <v>3</v>
      </c>
      <c r="H2" s="2" t="s">
        <v>74</v>
      </c>
      <c r="I2" s="22"/>
      <c r="J2" s="25" t="s">
        <v>6</v>
      </c>
      <c r="L2" s="2" t="s">
        <v>7</v>
      </c>
    </row>
    <row r="3" spans="1:13" x14ac:dyDescent="0.2">
      <c r="A3" s="5" t="s">
        <v>12</v>
      </c>
      <c r="B3" s="5"/>
      <c r="C3" s="5"/>
      <c r="D3" s="5">
        <v>821</v>
      </c>
      <c r="E3" s="6">
        <v>5.5124238733252097E-2</v>
      </c>
      <c r="F3" s="6">
        <v>24.887636816322601</v>
      </c>
      <c r="G3" s="8">
        <v>175.140287343859</v>
      </c>
      <c r="H3" s="6">
        <v>17.859851435316099</v>
      </c>
      <c r="J3" s="7">
        <v>154.02286554746601</v>
      </c>
      <c r="L3" t="s">
        <v>8</v>
      </c>
      <c r="M3" t="s">
        <v>80</v>
      </c>
    </row>
    <row r="4" spans="1:13" x14ac:dyDescent="0.2">
      <c r="A4" s="5" t="s">
        <v>13</v>
      </c>
      <c r="B4" s="5"/>
      <c r="C4" s="5"/>
      <c r="D4" s="5">
        <v>1542</v>
      </c>
      <c r="E4" s="6">
        <v>5.2837224383917102E-2</v>
      </c>
      <c r="F4" s="6">
        <v>24.098167997466199</v>
      </c>
      <c r="G4" s="8">
        <v>177.024279419816</v>
      </c>
      <c r="H4" s="6">
        <v>35.600893619512398</v>
      </c>
      <c r="J4" s="7">
        <v>344.408076765283</v>
      </c>
      <c r="L4" t="s">
        <v>10</v>
      </c>
      <c r="M4" t="s">
        <v>81</v>
      </c>
    </row>
    <row r="5" spans="1:13" x14ac:dyDescent="0.2">
      <c r="A5" s="5" t="s">
        <v>14</v>
      </c>
      <c r="B5" s="5"/>
      <c r="C5" s="5"/>
      <c r="D5" s="5">
        <v>2859</v>
      </c>
      <c r="E5" s="6">
        <v>5.4410982861140503E-2</v>
      </c>
      <c r="F5" s="6">
        <v>20.228773584905699</v>
      </c>
      <c r="G5" s="8">
        <v>173.21000914044399</v>
      </c>
      <c r="H5" s="6">
        <v>30.465076200642301</v>
      </c>
      <c r="J5" s="7">
        <v>246.60712581193201</v>
      </c>
      <c r="L5" t="s">
        <v>9</v>
      </c>
      <c r="M5" t="s">
        <v>79</v>
      </c>
    </row>
    <row r="6" spans="1:13" x14ac:dyDescent="0.2">
      <c r="A6" s="5" t="s">
        <v>15</v>
      </c>
      <c r="B6" s="5"/>
      <c r="C6" s="5"/>
      <c r="D6" s="5">
        <v>3699</v>
      </c>
      <c r="E6" s="6">
        <v>5.3818869964855298E-2</v>
      </c>
      <c r="F6" s="6">
        <v>24.7778323583263</v>
      </c>
      <c r="G6" s="8">
        <v>168.91117567130999</v>
      </c>
      <c r="H6" s="6">
        <v>21.428114933965599</v>
      </c>
      <c r="J6" s="7">
        <v>190.03849409535101</v>
      </c>
    </row>
    <row r="7" spans="1:13" x14ac:dyDescent="0.2">
      <c r="A7" s="5" t="s">
        <v>16</v>
      </c>
      <c r="B7" s="5"/>
      <c r="C7" s="5"/>
      <c r="D7" s="29"/>
      <c r="E7" s="30"/>
      <c r="F7" s="30"/>
      <c r="G7" s="31"/>
      <c r="H7" s="30"/>
      <c r="J7" s="26"/>
    </row>
    <row r="8" spans="1:13" x14ac:dyDescent="0.2">
      <c r="A8" s="5" t="s">
        <v>17</v>
      </c>
      <c r="B8" s="5"/>
      <c r="C8" s="5"/>
      <c r="D8" s="5">
        <v>2045</v>
      </c>
      <c r="E8" s="6">
        <v>5.2490953545232602E-2</v>
      </c>
      <c r="F8" s="6">
        <v>15.242236024844701</v>
      </c>
      <c r="G8" s="8">
        <v>165.72713541524999</v>
      </c>
      <c r="H8" s="6">
        <v>49.9438551928192</v>
      </c>
      <c r="J8" s="7">
        <v>342.86395200804998</v>
      </c>
    </row>
    <row r="9" spans="1:13" x14ac:dyDescent="0.2">
      <c r="A9" s="5" t="s">
        <v>18</v>
      </c>
      <c r="B9" s="5"/>
      <c r="C9" s="5"/>
      <c r="D9" s="5">
        <v>2030</v>
      </c>
      <c r="E9" s="6">
        <v>5.0732512315271303E-2</v>
      </c>
      <c r="F9" s="6">
        <v>16.776859504132201</v>
      </c>
      <c r="G9" s="8">
        <v>166.578078745765</v>
      </c>
      <c r="H9" s="6">
        <v>39.5775529621014</v>
      </c>
      <c r="J9" s="7">
        <v>283.535728320479</v>
      </c>
    </row>
    <row r="10" spans="1:13" x14ac:dyDescent="0.2">
      <c r="A10" s="5" t="s">
        <v>19</v>
      </c>
      <c r="B10" s="5"/>
      <c r="C10" s="5"/>
      <c r="D10" s="5">
        <v>3859</v>
      </c>
      <c r="E10" s="6">
        <v>5.61790619331431E-2</v>
      </c>
      <c r="F10" s="6">
        <v>26.552752293577999</v>
      </c>
      <c r="G10" s="8">
        <v>175.67737697072201</v>
      </c>
      <c r="H10" s="6">
        <v>15.504409305255701</v>
      </c>
      <c r="J10" s="7">
        <v>134.80383074918899</v>
      </c>
    </row>
    <row r="11" spans="1:13" x14ac:dyDescent="0.2">
      <c r="A11" s="5" t="s">
        <v>20</v>
      </c>
      <c r="B11" s="5"/>
      <c r="C11" s="5"/>
      <c r="D11" s="5">
        <v>3838</v>
      </c>
      <c r="E11" s="6">
        <v>5.4637832204273103E-2</v>
      </c>
      <c r="F11" s="6">
        <v>24.868250539956801</v>
      </c>
      <c r="G11" s="8">
        <v>171.31065425694399</v>
      </c>
      <c r="H11" s="6">
        <v>16.507351228093398</v>
      </c>
      <c r="J11" s="7">
        <v>145.83483396619101</v>
      </c>
    </row>
    <row r="12" spans="1:13" x14ac:dyDescent="0.2">
      <c r="A12" s="9" t="s">
        <v>21</v>
      </c>
      <c r="B12" s="9"/>
      <c r="C12" s="9"/>
      <c r="D12" s="9">
        <v>3209</v>
      </c>
      <c r="E12" s="10">
        <v>5.1398878155188503E-2</v>
      </c>
      <c r="F12" s="10">
        <v>16.470487596236101</v>
      </c>
      <c r="G12" s="12">
        <v>166.59664979064101</v>
      </c>
      <c r="H12" s="10">
        <v>53.527737497707797</v>
      </c>
      <c r="J12" s="27">
        <v>383.883321415419</v>
      </c>
    </row>
    <row r="13" spans="1:13" x14ac:dyDescent="0.2">
      <c r="A13" s="9" t="s">
        <v>22</v>
      </c>
      <c r="B13" s="9"/>
      <c r="C13" s="9"/>
      <c r="D13" s="9">
        <v>2974</v>
      </c>
      <c r="E13" s="10">
        <v>5.1226630800269103E-2</v>
      </c>
      <c r="F13" s="10">
        <v>19.395652173913</v>
      </c>
      <c r="G13" s="12">
        <v>166.142518863173</v>
      </c>
      <c r="H13" s="10">
        <v>37.450989596875999</v>
      </c>
      <c r="J13" s="11">
        <v>288.44897694764097</v>
      </c>
    </row>
    <row r="14" spans="1:13" x14ac:dyDescent="0.2">
      <c r="A14" s="9" t="s">
        <v>23</v>
      </c>
      <c r="B14" s="9"/>
      <c r="C14" s="9"/>
      <c r="D14" s="9">
        <v>1834</v>
      </c>
      <c r="E14" s="10">
        <v>4.9642311886587097E-2</v>
      </c>
      <c r="F14" s="10">
        <v>16.3994038748137</v>
      </c>
      <c r="G14" s="12">
        <v>168.83755321928999</v>
      </c>
      <c r="H14" s="10">
        <v>67.663309370839002</v>
      </c>
      <c r="J14" s="11">
        <v>520.23274920251697</v>
      </c>
    </row>
    <row r="15" spans="1:13" x14ac:dyDescent="0.2">
      <c r="A15" s="9" t="s">
        <v>24</v>
      </c>
      <c r="B15" s="9"/>
      <c r="C15" s="9"/>
      <c r="D15" s="9">
        <v>3013</v>
      </c>
      <c r="E15" s="10">
        <v>5.0445735147693502E-2</v>
      </c>
      <c r="F15" s="10">
        <v>16.1122994652406</v>
      </c>
      <c r="G15" s="12">
        <v>164.99451216756199</v>
      </c>
      <c r="H15" s="10">
        <v>54.063630173776097</v>
      </c>
      <c r="J15" s="11">
        <v>389.82156719864201</v>
      </c>
    </row>
    <row r="16" spans="1:13" x14ac:dyDescent="0.2">
      <c r="A16" s="9" t="s">
        <v>25</v>
      </c>
      <c r="B16" s="9"/>
      <c r="C16" s="9"/>
      <c r="D16" s="9">
        <v>3700</v>
      </c>
      <c r="E16" s="10">
        <v>5.34575675675674E-2</v>
      </c>
      <c r="F16" s="10">
        <v>25.6138083810227</v>
      </c>
      <c r="G16" s="12">
        <v>174.295386147361</v>
      </c>
      <c r="H16" s="10">
        <v>15.6164613354249</v>
      </c>
      <c r="J16" s="11">
        <v>147.976672962382</v>
      </c>
    </row>
    <row r="17" spans="1:10" x14ac:dyDescent="0.2">
      <c r="A17" s="9" t="s">
        <v>26</v>
      </c>
      <c r="B17" s="9"/>
      <c r="C17" s="9"/>
      <c r="D17" s="9">
        <v>2967</v>
      </c>
      <c r="E17" s="10">
        <v>5.2784293899561997E-2</v>
      </c>
      <c r="F17" s="10">
        <v>21.0924170616114</v>
      </c>
      <c r="G17" s="12">
        <v>165.8030291282</v>
      </c>
      <c r="H17" s="10">
        <v>18.942875612074999</v>
      </c>
      <c r="J17" s="11">
        <v>145.49991745299499</v>
      </c>
    </row>
    <row r="18" spans="1:10" x14ac:dyDescent="0.2">
      <c r="A18" s="9" t="s">
        <v>27</v>
      </c>
      <c r="B18" s="9"/>
      <c r="C18" s="9"/>
      <c r="D18" s="9">
        <v>3953</v>
      </c>
      <c r="E18" s="10">
        <v>5.4772830761446803E-2</v>
      </c>
      <c r="F18" s="10">
        <v>22.631679389313</v>
      </c>
      <c r="G18" s="12">
        <v>168.41840881510601</v>
      </c>
      <c r="H18" s="10">
        <v>15.595233620502899</v>
      </c>
      <c r="J18" s="11">
        <v>123.47366376387301</v>
      </c>
    </row>
    <row r="19" spans="1:10" x14ac:dyDescent="0.2">
      <c r="A19" s="9" t="s">
        <v>28</v>
      </c>
      <c r="B19" s="9"/>
      <c r="C19" s="9"/>
      <c r="D19" s="29"/>
      <c r="E19" s="30"/>
      <c r="F19" s="30"/>
      <c r="G19" s="31"/>
      <c r="H19" s="30"/>
      <c r="J19" s="26"/>
    </row>
    <row r="20" spans="1:10" x14ac:dyDescent="0.2">
      <c r="A20" s="9" t="s">
        <v>29</v>
      </c>
      <c r="B20" s="9"/>
      <c r="C20" s="9"/>
      <c r="D20" s="9">
        <v>2763</v>
      </c>
      <c r="E20" s="10">
        <v>5.1349258052841601E-2</v>
      </c>
      <c r="F20" s="10">
        <v>18.7959183673469</v>
      </c>
      <c r="G20" s="12">
        <v>169.83758820009501</v>
      </c>
      <c r="H20" s="10">
        <v>32.328358032531497</v>
      </c>
      <c r="J20" s="11">
        <v>244.12488593463101</v>
      </c>
    </row>
    <row r="21" spans="1:10" x14ac:dyDescent="0.2">
      <c r="A21" s="17" t="s">
        <v>30</v>
      </c>
      <c r="B21" s="17"/>
      <c r="C21" s="17"/>
      <c r="D21" s="17">
        <v>3427</v>
      </c>
      <c r="E21" s="18">
        <v>5.3841552378173202E-2</v>
      </c>
      <c r="F21" s="18">
        <v>21.781779661016898</v>
      </c>
      <c r="G21" s="20">
        <v>169.45846066557101</v>
      </c>
      <c r="H21" s="18">
        <v>24.8214574847512</v>
      </c>
      <c r="J21" s="19">
        <v>193.06766477260601</v>
      </c>
    </row>
    <row r="22" spans="1:10" x14ac:dyDescent="0.2">
      <c r="A22" s="17" t="s">
        <v>31</v>
      </c>
      <c r="B22" s="17"/>
      <c r="C22" s="17"/>
      <c r="D22" s="17">
        <v>2953</v>
      </c>
      <c r="E22" s="18">
        <v>5.2309854385371002E-2</v>
      </c>
      <c r="F22" s="18">
        <v>22.009937888198799</v>
      </c>
      <c r="G22" s="20">
        <v>177.80049369616299</v>
      </c>
      <c r="H22" s="18">
        <v>39.666678017541201</v>
      </c>
      <c r="J22" s="19">
        <v>386.28039253046501</v>
      </c>
    </row>
    <row r="23" spans="1:10" x14ac:dyDescent="0.2">
      <c r="A23" s="17" t="s">
        <v>32</v>
      </c>
      <c r="B23" s="17"/>
      <c r="C23" s="17"/>
      <c r="D23" s="29"/>
      <c r="E23" s="30"/>
      <c r="F23" s="30"/>
      <c r="G23" s="31"/>
      <c r="H23" s="30"/>
      <c r="J23" s="26"/>
    </row>
    <row r="24" spans="1:10" x14ac:dyDescent="0.2">
      <c r="A24" s="17" t="s">
        <v>33</v>
      </c>
      <c r="B24" s="17"/>
      <c r="C24" s="17"/>
      <c r="D24" s="29"/>
      <c r="E24" s="30"/>
      <c r="F24" s="30"/>
      <c r="G24" s="31"/>
      <c r="H24" s="30"/>
      <c r="J24" s="26"/>
    </row>
    <row r="25" spans="1:10" x14ac:dyDescent="0.2">
      <c r="A25" s="17" t="s">
        <v>34</v>
      </c>
      <c r="B25" s="17"/>
      <c r="C25" s="17"/>
      <c r="D25" s="17">
        <v>4368</v>
      </c>
      <c r="E25" s="18">
        <v>5.5398580586080298E-2</v>
      </c>
      <c r="F25" s="18">
        <v>26.366197183098599</v>
      </c>
      <c r="G25" s="20">
        <v>169.29142056890299</v>
      </c>
      <c r="H25" s="18">
        <v>15.379011802679299</v>
      </c>
      <c r="J25" s="19">
        <v>122.194326106281</v>
      </c>
    </row>
    <row r="26" spans="1:10" x14ac:dyDescent="0.2">
      <c r="A26" s="17" t="s">
        <v>35</v>
      </c>
      <c r="B26" s="17"/>
      <c r="C26" s="17"/>
      <c r="D26" s="17">
        <v>3231</v>
      </c>
      <c r="E26" s="18">
        <v>5.5116682141751902E-2</v>
      </c>
      <c r="F26" s="18">
        <v>21.7088465845465</v>
      </c>
      <c r="G26" s="20">
        <v>174.635105821271</v>
      </c>
      <c r="H26" s="18">
        <v>24.405530087348101</v>
      </c>
      <c r="J26" s="19">
        <v>201.35991437178501</v>
      </c>
    </row>
    <row r="27" spans="1:10" x14ac:dyDescent="0.2">
      <c r="A27" s="17" t="s">
        <v>36</v>
      </c>
      <c r="B27" s="17"/>
      <c r="C27" s="17"/>
      <c r="D27" s="17">
        <v>2957</v>
      </c>
      <c r="E27" s="18">
        <v>5.4160635779506403E-2</v>
      </c>
      <c r="F27" s="18">
        <v>19.1414712457169</v>
      </c>
      <c r="G27" s="20">
        <v>170.27278760973999</v>
      </c>
      <c r="H27" s="18">
        <v>32.868697881681697</v>
      </c>
      <c r="J27" s="19">
        <v>251.07834699467799</v>
      </c>
    </row>
    <row r="28" spans="1:10" x14ac:dyDescent="0.2">
      <c r="A28" s="17" t="s">
        <v>37</v>
      </c>
      <c r="B28" s="17"/>
      <c r="C28" s="17"/>
      <c r="D28" s="17">
        <v>2818</v>
      </c>
      <c r="E28" s="18">
        <v>5.2054648687012497E-2</v>
      </c>
      <c r="F28" s="18">
        <v>17.968119022316699</v>
      </c>
      <c r="G28" s="20">
        <v>166.191416046977</v>
      </c>
      <c r="H28" s="18">
        <v>47.659188797374803</v>
      </c>
      <c r="J28" s="19">
        <v>350.98739596017498</v>
      </c>
    </row>
    <row r="29" spans="1:10" x14ac:dyDescent="0.2">
      <c r="A29" s="17" t="s">
        <v>38</v>
      </c>
      <c r="B29" s="17"/>
      <c r="C29" s="17"/>
      <c r="D29" s="17">
        <v>3737</v>
      </c>
      <c r="E29" s="18">
        <v>5.5059673534921E-2</v>
      </c>
      <c r="F29" s="18">
        <v>29.233376792698799</v>
      </c>
      <c r="G29" s="20">
        <v>181.86612330178201</v>
      </c>
      <c r="H29" s="18">
        <v>7.3970393745594096</v>
      </c>
      <c r="J29" s="19">
        <v>69.389860093572807</v>
      </c>
    </row>
    <row r="30" spans="1:10" x14ac:dyDescent="0.2">
      <c r="A30" s="17" t="s">
        <v>39</v>
      </c>
      <c r="B30" s="17"/>
      <c r="C30" s="17"/>
      <c r="D30" s="17">
        <v>3119</v>
      </c>
      <c r="E30" s="18">
        <v>5.2052580955434601E-2</v>
      </c>
      <c r="F30" s="18">
        <v>21.609699769053101</v>
      </c>
      <c r="G30" s="20">
        <v>169.87956225511999</v>
      </c>
      <c r="H30" s="18">
        <v>27.244705204582498</v>
      </c>
      <c r="J30" s="19">
        <v>206.442329342443</v>
      </c>
    </row>
    <row r="31" spans="1:10" x14ac:dyDescent="0.2">
      <c r="A31" s="17" t="s">
        <v>40</v>
      </c>
      <c r="B31" s="17"/>
      <c r="C31" s="17"/>
      <c r="D31" s="17">
        <v>4770</v>
      </c>
      <c r="E31" s="18">
        <v>5.2936897274632702E-2</v>
      </c>
      <c r="F31" s="18">
        <v>27.314539810130501</v>
      </c>
      <c r="G31" s="20">
        <v>174.55904417973599</v>
      </c>
      <c r="H31" s="18">
        <v>12.7675390349235</v>
      </c>
      <c r="J31" s="19">
        <v>123.505905120195</v>
      </c>
    </row>
    <row r="32" spans="1:10" x14ac:dyDescent="0.2">
      <c r="A32" s="13" t="s">
        <v>41</v>
      </c>
      <c r="B32" s="13"/>
      <c r="C32" s="13"/>
      <c r="D32" s="13">
        <v>3767</v>
      </c>
      <c r="E32" s="14">
        <v>5.5735333156357897E-2</v>
      </c>
      <c r="F32" s="14">
        <v>25.085460599334102</v>
      </c>
      <c r="G32" s="16">
        <v>175.698714241272</v>
      </c>
      <c r="H32" s="14">
        <v>18.532855523828001</v>
      </c>
      <c r="J32" s="15">
        <v>149.395959152957</v>
      </c>
    </row>
    <row r="33" spans="1:10" x14ac:dyDescent="0.2">
      <c r="A33" s="13" t="s">
        <v>42</v>
      </c>
      <c r="B33" s="13"/>
      <c r="C33" s="13"/>
      <c r="D33" s="13">
        <v>2609</v>
      </c>
      <c r="E33" s="14">
        <v>5.30107320812577E-2</v>
      </c>
      <c r="F33" s="14">
        <v>20.3828125</v>
      </c>
      <c r="G33" s="16">
        <v>171.850466142442</v>
      </c>
      <c r="H33" s="14">
        <v>24.303831162148601</v>
      </c>
      <c r="J33" s="15">
        <v>231.82088372179001</v>
      </c>
    </row>
    <row r="34" spans="1:10" x14ac:dyDescent="0.2">
      <c r="A34" s="13" t="s">
        <v>43</v>
      </c>
      <c r="B34" s="13"/>
      <c r="C34" s="13"/>
      <c r="D34" s="13">
        <v>4617</v>
      </c>
      <c r="E34" s="14">
        <v>5.44359974009095E-2</v>
      </c>
      <c r="F34" s="14">
        <v>28.2385321100917</v>
      </c>
      <c r="G34" s="16">
        <v>174.89363288036299</v>
      </c>
      <c r="H34" s="14">
        <v>14.7837353616932</v>
      </c>
      <c r="J34" s="15">
        <v>134.47108253534799</v>
      </c>
    </row>
    <row r="35" spans="1:10" x14ac:dyDescent="0.2">
      <c r="A35" s="13" t="s">
        <v>44</v>
      </c>
      <c r="B35" s="13"/>
      <c r="C35" s="13"/>
      <c r="D35" s="13">
        <v>4139</v>
      </c>
      <c r="E35" s="14">
        <v>5.4810823870499799E-2</v>
      </c>
      <c r="F35" s="14">
        <v>23.450424929178499</v>
      </c>
      <c r="G35" s="16">
        <v>172.50931975428401</v>
      </c>
      <c r="H35" s="14">
        <v>17.743222368314399</v>
      </c>
      <c r="J35" s="15">
        <v>151.13352115584101</v>
      </c>
    </row>
    <row r="36" spans="1:10" x14ac:dyDescent="0.2">
      <c r="A36" s="13" t="s">
        <v>45</v>
      </c>
      <c r="B36" s="13"/>
      <c r="C36" s="13"/>
      <c r="D36" s="13">
        <v>1974</v>
      </c>
      <c r="E36" s="14">
        <v>5.0921985815603199E-2</v>
      </c>
      <c r="F36" s="14">
        <v>19.973018549747099</v>
      </c>
      <c r="G36" s="16">
        <v>168.35994170032299</v>
      </c>
      <c r="H36" s="14">
        <v>30.118234898725198</v>
      </c>
      <c r="J36" s="15">
        <v>242.099074843697</v>
      </c>
    </row>
    <row r="37" spans="1:10" x14ac:dyDescent="0.2">
      <c r="A37" s="13" t="s">
        <v>46</v>
      </c>
      <c r="B37" s="13"/>
      <c r="C37" s="13"/>
      <c r="D37" s="13">
        <v>2903</v>
      </c>
      <c r="E37" s="14">
        <v>5.1364106097141399E-2</v>
      </c>
      <c r="F37" s="14">
        <v>17.6474164133739</v>
      </c>
      <c r="G37" s="16">
        <v>165.59632342725399</v>
      </c>
      <c r="H37" s="14">
        <v>49.1365198791474</v>
      </c>
      <c r="J37" s="15">
        <v>375.07839030421002</v>
      </c>
    </row>
    <row r="38" spans="1:10" x14ac:dyDescent="0.2">
      <c r="A38" s="13" t="s">
        <v>47</v>
      </c>
      <c r="B38" s="13"/>
      <c r="C38" s="13"/>
      <c r="D38" s="13">
        <v>3024</v>
      </c>
      <c r="E38" s="14">
        <v>5.0493386243386403E-2</v>
      </c>
      <c r="F38" s="14">
        <v>16.569863013698601</v>
      </c>
      <c r="G38" s="16">
        <v>176.39821666001501</v>
      </c>
      <c r="H38" s="14">
        <v>27.026019548131</v>
      </c>
      <c r="J38" s="15">
        <v>241.29082551758299</v>
      </c>
    </row>
    <row r="39" spans="1:10" x14ac:dyDescent="0.2">
      <c r="A39" s="13" t="s">
        <v>48</v>
      </c>
      <c r="B39" s="13"/>
      <c r="C39" s="13"/>
      <c r="D39" s="13">
        <v>3431</v>
      </c>
      <c r="E39" s="14">
        <v>5.3997668318274503E-2</v>
      </c>
      <c r="F39" s="14">
        <v>24.536352800953502</v>
      </c>
      <c r="G39" s="16">
        <v>170.69763805769301</v>
      </c>
      <c r="H39" s="14">
        <v>15.0635540162681</v>
      </c>
      <c r="J39" s="15">
        <v>123.601211302507</v>
      </c>
    </row>
    <row r="40" spans="1:10" x14ac:dyDescent="0.2">
      <c r="A40" s="9" t="s">
        <v>49</v>
      </c>
      <c r="B40" s="9"/>
      <c r="C40" s="9"/>
      <c r="D40" s="9">
        <v>2640</v>
      </c>
      <c r="E40" s="10">
        <v>5.0845454545455103E-2</v>
      </c>
      <c r="F40" s="10">
        <v>19.750623441396499</v>
      </c>
      <c r="G40" s="12">
        <v>171.76859541569701</v>
      </c>
      <c r="H40" s="10">
        <v>29.652021952059702</v>
      </c>
      <c r="J40" s="11">
        <v>232.854654651663</v>
      </c>
    </row>
    <row r="41" spans="1:10" x14ac:dyDescent="0.2">
      <c r="A41" s="9" t="s">
        <v>50</v>
      </c>
      <c r="B41" s="9"/>
      <c r="C41" s="9"/>
      <c r="D41" s="9">
        <v>2812</v>
      </c>
      <c r="E41" s="10">
        <v>5.0108819345661998E-2</v>
      </c>
      <c r="F41" s="10">
        <v>19.2602739726027</v>
      </c>
      <c r="G41" s="12">
        <v>174.37848735489899</v>
      </c>
      <c r="H41" s="10">
        <v>30.852242481691398</v>
      </c>
      <c r="J41" s="11">
        <v>234.94406584666299</v>
      </c>
    </row>
    <row r="42" spans="1:10" x14ac:dyDescent="0.2">
      <c r="A42" s="9" t="s">
        <v>51</v>
      </c>
      <c r="B42" s="9"/>
      <c r="C42" s="9"/>
      <c r="D42" s="9">
        <v>1808</v>
      </c>
      <c r="E42" s="10">
        <v>5.29773230088499E-2</v>
      </c>
      <c r="F42" s="10">
        <v>20.9556778141806</v>
      </c>
      <c r="G42" s="12">
        <v>171.92502188560499</v>
      </c>
      <c r="H42" s="10">
        <v>31.342527871783499</v>
      </c>
      <c r="J42" s="11">
        <v>249.87808196681499</v>
      </c>
    </row>
    <row r="43" spans="1:10" x14ac:dyDescent="0.2">
      <c r="A43" s="9" t="s">
        <v>52</v>
      </c>
      <c r="B43" s="9"/>
      <c r="C43" s="9"/>
      <c r="D43" s="9">
        <v>1939</v>
      </c>
      <c r="E43" s="10">
        <v>5.1308406395049397E-2</v>
      </c>
      <c r="F43" s="10">
        <v>21.745794392523401</v>
      </c>
      <c r="G43" s="12">
        <v>176.94541717000101</v>
      </c>
      <c r="H43" s="10">
        <v>30.579671302353901</v>
      </c>
      <c r="J43" s="11">
        <v>248.48513085602201</v>
      </c>
    </row>
    <row r="44" spans="1:10" x14ac:dyDescent="0.2">
      <c r="A44" s="9" t="s">
        <v>53</v>
      </c>
      <c r="B44" s="9"/>
      <c r="C44" s="9"/>
      <c r="D44" s="9">
        <v>2618</v>
      </c>
      <c r="E44" s="10">
        <v>5.06852559205506E-2</v>
      </c>
      <c r="F44" s="10">
        <v>18.7</v>
      </c>
      <c r="G44" s="12">
        <v>167.67412098506301</v>
      </c>
      <c r="H44" s="10">
        <v>26.8874581498875</v>
      </c>
      <c r="J44" s="11">
        <v>202.860056200592</v>
      </c>
    </row>
    <row r="45" spans="1:10" x14ac:dyDescent="0.2">
      <c r="A45" s="17" t="s">
        <v>54</v>
      </c>
      <c r="B45" s="17"/>
      <c r="C45" s="17"/>
      <c r="D45" s="17">
        <v>3040</v>
      </c>
      <c r="E45" s="18">
        <v>5.0526315789474002E-2</v>
      </c>
      <c r="F45" s="18">
        <v>18.424242424242401</v>
      </c>
      <c r="G45" s="20">
        <v>177.24462556542801</v>
      </c>
      <c r="H45" s="18">
        <v>36.199757184368202</v>
      </c>
      <c r="J45" s="19">
        <v>350.12651170298898</v>
      </c>
    </row>
    <row r="46" spans="1:10" x14ac:dyDescent="0.2">
      <c r="A46" s="17" t="s">
        <v>55</v>
      </c>
      <c r="B46" s="17"/>
      <c r="C46" s="17"/>
      <c r="D46" s="17">
        <v>3071</v>
      </c>
      <c r="E46" s="18">
        <v>5.1639856724194098E-2</v>
      </c>
      <c r="F46" s="18">
        <v>19.457233368532201</v>
      </c>
      <c r="G46" s="20">
        <v>166.496678168112</v>
      </c>
      <c r="H46" s="18">
        <v>32.911058395026998</v>
      </c>
      <c r="J46" s="19">
        <v>256.62783205366401</v>
      </c>
    </row>
    <row r="47" spans="1:10" x14ac:dyDescent="0.2">
      <c r="A47" s="17" t="s">
        <v>56</v>
      </c>
      <c r="B47" s="17"/>
      <c r="C47" s="17"/>
      <c r="D47" s="17">
        <v>5028</v>
      </c>
      <c r="E47" s="18">
        <v>5.4784407319013101E-2</v>
      </c>
      <c r="F47" s="18">
        <v>28.526688453159</v>
      </c>
      <c r="G47" s="20">
        <v>178.29686892360201</v>
      </c>
      <c r="H47" s="18">
        <v>9.0730363883262797</v>
      </c>
      <c r="J47" s="19">
        <v>81.652952380195202</v>
      </c>
    </row>
    <row r="48" spans="1:10" x14ac:dyDescent="0.2">
      <c r="A48" s="17" t="s">
        <v>57</v>
      </c>
      <c r="B48" s="17"/>
      <c r="C48" s="17"/>
      <c r="D48" s="17">
        <v>3433</v>
      </c>
      <c r="E48" s="18">
        <v>5.4815321875910303E-2</v>
      </c>
      <c r="F48" s="18">
        <v>23.8402777777778</v>
      </c>
      <c r="G48" s="20">
        <v>176.14250857820301</v>
      </c>
      <c r="H48" s="18">
        <v>16.644962884411399</v>
      </c>
      <c r="J48" s="19">
        <v>139.72578985627001</v>
      </c>
    </row>
    <row r="49" spans="1:17" x14ac:dyDescent="0.2">
      <c r="A49" s="17" t="s">
        <v>58</v>
      </c>
      <c r="B49" s="17"/>
      <c r="C49" s="17"/>
      <c r="D49" s="17">
        <v>3010</v>
      </c>
      <c r="E49" s="18">
        <v>5.2170099667774403E-2</v>
      </c>
      <c r="F49" s="18">
        <v>20.3607666290868</v>
      </c>
      <c r="G49" s="20">
        <v>171.118009741875</v>
      </c>
      <c r="H49" s="18">
        <v>24.7637851788846</v>
      </c>
      <c r="J49" s="19">
        <v>187.84612516653399</v>
      </c>
    </row>
    <row r="50" spans="1:17" x14ac:dyDescent="0.2">
      <c r="A50" s="17" t="s">
        <v>59</v>
      </c>
      <c r="B50" s="17"/>
      <c r="C50" s="17"/>
      <c r="D50" s="17">
        <v>4798</v>
      </c>
      <c r="E50" s="18">
        <v>5.5239474781158503E-2</v>
      </c>
      <c r="F50" s="18">
        <v>27.443279313632001</v>
      </c>
      <c r="G50" s="20">
        <v>182.36829996448699</v>
      </c>
      <c r="H50" s="18">
        <v>7.6611307664226</v>
      </c>
      <c r="J50" s="19">
        <v>71.841240437924796</v>
      </c>
    </row>
    <row r="51" spans="1:17" x14ac:dyDescent="0.2">
      <c r="A51" s="17" t="s">
        <v>60</v>
      </c>
      <c r="B51" s="17"/>
      <c r="C51" s="17"/>
      <c r="D51" s="17">
        <v>4218</v>
      </c>
      <c r="E51" s="18">
        <v>5.5889758179231697E-2</v>
      </c>
      <c r="F51" s="18">
        <v>25.877300613496899</v>
      </c>
      <c r="G51" s="20">
        <v>173.04882142161799</v>
      </c>
      <c r="H51" s="18">
        <v>11.1828857575554</v>
      </c>
      <c r="J51" s="19">
        <v>91.414892047853698</v>
      </c>
    </row>
    <row r="52" spans="1:17" x14ac:dyDescent="0.2">
      <c r="A52" s="17" t="s">
        <v>61</v>
      </c>
      <c r="B52" s="17"/>
      <c r="C52" s="17"/>
      <c r="D52" s="36">
        <v>5141</v>
      </c>
      <c r="E52" s="37">
        <v>5.5666212799066001E-2</v>
      </c>
      <c r="F52" s="37">
        <v>30.123046875</v>
      </c>
      <c r="G52" s="38">
        <v>177.38086647855599</v>
      </c>
      <c r="H52" s="37">
        <v>8.7398778862339395</v>
      </c>
      <c r="J52" s="35">
        <v>77.602525222691895</v>
      </c>
      <c r="K52" s="23"/>
      <c r="L52" s="23"/>
      <c r="M52" s="23"/>
      <c r="N52" s="23"/>
      <c r="O52" s="23"/>
      <c r="P52" s="23"/>
      <c r="Q52" s="23"/>
    </row>
    <row r="53" spans="1:17" x14ac:dyDescent="0.2">
      <c r="G53" s="4"/>
      <c r="K53" s="23"/>
      <c r="L53" s="23"/>
      <c r="M53" s="23"/>
      <c r="N53" s="23"/>
      <c r="O53" s="23"/>
      <c r="P53" s="23"/>
      <c r="Q53" s="23"/>
    </row>
    <row r="54" spans="1:17" x14ac:dyDescent="0.2">
      <c r="G54" s="4"/>
      <c r="K54" s="23"/>
      <c r="L54" s="23"/>
      <c r="M54" s="23"/>
      <c r="N54" s="23"/>
      <c r="O54" s="23"/>
      <c r="P54" s="23"/>
      <c r="Q54" s="23"/>
    </row>
    <row r="55" spans="1:17" x14ac:dyDescent="0.2">
      <c r="A55" s="21" t="s">
        <v>75</v>
      </c>
      <c r="B55" s="5" t="s">
        <v>66</v>
      </c>
      <c r="C55" s="5"/>
      <c r="D55" s="7">
        <f>AVERAGE(D3:D11)</f>
        <v>2586.625</v>
      </c>
      <c r="E55" s="6">
        <f>AVERAGE(E3:E11)</f>
        <v>5.3778959492635635E-2</v>
      </c>
      <c r="F55" s="8">
        <f>AVERAGE(F3:F11)</f>
        <v>22.17906363994156</v>
      </c>
      <c r="G55" s="8">
        <f>AVERAGE(G3:G11)</f>
        <v>171.69737462051376</v>
      </c>
      <c r="H55" s="7">
        <f>AVERAGE(H3:H11)</f>
        <v>28.360888109713262</v>
      </c>
      <c r="I55" s="24"/>
      <c r="J55" s="7">
        <f>AVERAGE(J3:J11)</f>
        <v>230.26436340799262</v>
      </c>
      <c r="K55" s="24"/>
      <c r="L55" s="24"/>
      <c r="M55" s="23"/>
      <c r="N55" s="23"/>
      <c r="O55" s="23"/>
      <c r="P55" s="23"/>
      <c r="Q55" s="23"/>
    </row>
    <row r="56" spans="1:17" x14ac:dyDescent="0.2">
      <c r="B56" s="9" t="s">
        <v>67</v>
      </c>
      <c r="C56" s="9"/>
      <c r="D56" s="11">
        <f>AVERAGE(D12:D20)</f>
        <v>3051.625</v>
      </c>
      <c r="E56" s="10">
        <f>AVERAGE(E12:E20)</f>
        <v>5.1884688283894503E-2</v>
      </c>
      <c r="F56" s="12">
        <f>AVERAGE(F12:F20)</f>
        <v>19.563958288687175</v>
      </c>
      <c r="G56" s="12">
        <f>AVERAGE(G12:G20)</f>
        <v>168.11570579142852</v>
      </c>
      <c r="H56" s="11">
        <f>AVERAGE(H12:H20)</f>
        <v>36.898574404966652</v>
      </c>
      <c r="I56" s="24"/>
      <c r="J56" s="11">
        <f>AVERAGE(J12:J20)</f>
        <v>280.43271935976253</v>
      </c>
      <c r="K56" s="24"/>
      <c r="L56" s="24"/>
      <c r="M56" s="23"/>
      <c r="N56" s="23"/>
      <c r="O56" s="23"/>
      <c r="P56" s="23"/>
      <c r="Q56" s="23"/>
    </row>
    <row r="57" spans="1:17" x14ac:dyDescent="0.2">
      <c r="B57" s="17" t="s">
        <v>68</v>
      </c>
      <c r="C57" s="17"/>
      <c r="D57" s="19">
        <f>AVERAGE(D21:D31)</f>
        <v>3486.6666666666665</v>
      </c>
      <c r="E57" s="18">
        <f>AVERAGE(E21:E31)</f>
        <v>5.3659011746987069E-2</v>
      </c>
      <c r="F57" s="20">
        <f>AVERAGE(F21:F31)</f>
        <v>23.014885328530752</v>
      </c>
      <c r="G57" s="20">
        <f>AVERAGE(G21:G31)</f>
        <v>172.66160157169588</v>
      </c>
      <c r="H57" s="19">
        <f>AVERAGE(H21:H31)</f>
        <v>25.8010941872713</v>
      </c>
      <c r="I57" s="24"/>
      <c r="J57" s="19">
        <f>AVERAGE(J21:J31)</f>
        <v>211.58957058802233</v>
      </c>
      <c r="K57" s="24"/>
      <c r="L57" s="24"/>
      <c r="M57" s="23"/>
      <c r="N57" s="23"/>
      <c r="O57" s="23"/>
      <c r="P57" s="23"/>
      <c r="Q57" s="23"/>
    </row>
    <row r="58" spans="1:17" x14ac:dyDescent="0.2">
      <c r="D58"/>
      <c r="E58" s="3"/>
      <c r="F58" s="4"/>
      <c r="G58" s="4"/>
      <c r="H58"/>
      <c r="K58" s="23"/>
      <c r="L58" s="23"/>
      <c r="M58" s="23"/>
      <c r="N58" s="23"/>
      <c r="O58" s="23"/>
      <c r="P58" s="23"/>
      <c r="Q58" s="23"/>
    </row>
    <row r="59" spans="1:17" x14ac:dyDescent="0.2">
      <c r="A59" t="s">
        <v>76</v>
      </c>
      <c r="B59" s="5" t="s">
        <v>66</v>
      </c>
      <c r="C59" s="5"/>
      <c r="D59" s="7">
        <f>STDEV(D3:D11)/SQRT(COUNT(D3:D11))</f>
        <v>407.70056140243059</v>
      </c>
      <c r="E59" s="6">
        <f>STDEV(E3:E11)/SQRT(COUNT(E3:E11))</f>
        <v>6.0556410270415611E-4</v>
      </c>
      <c r="F59" s="8">
        <f>STDEV(F3:F11)/SQRT(COUNT(F3:F11))</f>
        <v>1.4954742788421691</v>
      </c>
      <c r="G59" s="8">
        <f>STDEV(G3:G11)/SQRT(COUNT(G3:G11))</f>
        <v>1.5125749586229573</v>
      </c>
      <c r="H59" s="7">
        <f>STDEV(H3:H11)/SQRT(COUNT(H3:H11))</f>
        <v>4.4573651426238028</v>
      </c>
      <c r="I59" s="24"/>
      <c r="J59" s="7">
        <f>STDEV(J3:J11)/SQRT(COUNT(J3:J11))</f>
        <v>30.614050272757961</v>
      </c>
      <c r="K59" s="24"/>
      <c r="L59" s="24"/>
      <c r="M59" s="23"/>
      <c r="N59" s="23"/>
      <c r="O59" s="23"/>
      <c r="P59" s="23"/>
      <c r="Q59" s="23"/>
    </row>
    <row r="60" spans="1:17" x14ac:dyDescent="0.2">
      <c r="B60" s="9" t="s">
        <v>67</v>
      </c>
      <c r="C60" s="9"/>
      <c r="D60" s="11">
        <f>STDEV(D12:D20)/SQRT(COUNT(D12:D20))</f>
        <v>225.12805383825443</v>
      </c>
      <c r="E60" s="10">
        <f>STDEV(E12:E20)/SQRT(COUNT(E12:E20))</f>
        <v>5.9280177932557717E-4</v>
      </c>
      <c r="F60" s="12">
        <f>STDEV(F12:F20)/SQRT(COUNT(F12:F20))</f>
        <v>1.1986891022623816</v>
      </c>
      <c r="G60" s="12">
        <f>STDEV(G12:G20)/SQRT(COUNT(G12:G20))</f>
        <v>1.0611427628311554</v>
      </c>
      <c r="H60" s="11">
        <f>STDEV(H12:H20)/SQRT(COUNT(H12:H20))</f>
        <v>7.0305417222842079</v>
      </c>
      <c r="I60" s="24"/>
      <c r="J60" s="11">
        <f>STDEV(J12:J20)/SQRT(COUNT(J12:J20))</f>
        <v>50.345614604507396</v>
      </c>
      <c r="K60" s="24"/>
      <c r="L60" s="24"/>
      <c r="M60" s="23"/>
      <c r="N60" s="23"/>
      <c r="O60" s="23"/>
      <c r="P60" s="23"/>
      <c r="Q60" s="23"/>
    </row>
    <row r="61" spans="1:17" x14ac:dyDescent="0.2">
      <c r="B61" s="17" t="s">
        <v>68</v>
      </c>
      <c r="C61" s="17"/>
      <c r="D61" s="19">
        <f>STDEV(D21:D31)/SQRT(COUNT(D21:D31))</f>
        <v>226.7807923475394</v>
      </c>
      <c r="E61" s="18">
        <f>STDEV(E21:E31)/SQRT(COUNT(E21:E31))</f>
        <v>4.5481955420340433E-4</v>
      </c>
      <c r="F61" s="20">
        <f>STDEV(F21:F31)/SQRT(COUNT(F21:F31))</f>
        <v>1.2642075652940068</v>
      </c>
      <c r="G61" s="20">
        <f>STDEV(G21:G31)/SQRT(COUNT(G21:G31))</f>
        <v>1.6480381742165553</v>
      </c>
      <c r="H61" s="19">
        <f>STDEV(H21:H31)/SQRT(COUNT(H21:H31))</f>
        <v>4.3175604473745146</v>
      </c>
      <c r="I61" s="24"/>
      <c r="J61" s="19">
        <f>STDEV(J21:J31)/SQRT(COUNT(J21:J31))</f>
        <v>34.950997626873502</v>
      </c>
      <c r="K61" s="24"/>
      <c r="L61" s="24"/>
      <c r="M61" s="23"/>
      <c r="N61" s="23"/>
      <c r="O61" s="23"/>
      <c r="P61" s="23"/>
      <c r="Q61" s="23"/>
    </row>
    <row r="62" spans="1:17" x14ac:dyDescent="0.2">
      <c r="D62"/>
      <c r="E62" s="3"/>
      <c r="F62" s="4"/>
      <c r="G62" s="4"/>
      <c r="H62"/>
      <c r="K62" s="23"/>
      <c r="L62" s="23"/>
      <c r="M62" s="23"/>
      <c r="N62" s="23"/>
      <c r="O62" s="23"/>
      <c r="P62" s="23"/>
      <c r="Q62" s="23"/>
    </row>
    <row r="63" spans="1:17" x14ac:dyDescent="0.2">
      <c r="D63"/>
      <c r="E63" s="3"/>
      <c r="F63" s="4"/>
      <c r="G63" s="4"/>
      <c r="H63"/>
      <c r="K63" s="23"/>
      <c r="L63" s="23"/>
      <c r="M63" s="23"/>
      <c r="N63" s="23"/>
      <c r="O63" s="23"/>
      <c r="P63" s="23"/>
      <c r="Q63" s="23"/>
    </row>
    <row r="64" spans="1:17" x14ac:dyDescent="0.2">
      <c r="A64" t="s">
        <v>75</v>
      </c>
      <c r="B64" s="13" t="s">
        <v>69</v>
      </c>
      <c r="C64" s="13"/>
      <c r="D64" s="15">
        <f>AVERAGE(D32:D39)</f>
        <v>3308</v>
      </c>
      <c r="E64" s="14">
        <f>AVERAGE(E32:E39)</f>
        <v>5.3096254122928795E-2</v>
      </c>
      <c r="F64" s="16">
        <f>AVERAGE(F32:F39)</f>
        <v>21.985485114547174</v>
      </c>
      <c r="G64" s="16">
        <f>AVERAGE(G32:G39)</f>
        <v>172.00053160795574</v>
      </c>
      <c r="H64" s="15">
        <f>AVERAGE(H32:H39)</f>
        <v>24.588496594781986</v>
      </c>
      <c r="I64" s="24"/>
      <c r="J64" s="15">
        <f>AVERAGE(J32:J39)</f>
        <v>206.11136856674162</v>
      </c>
      <c r="K64" s="24"/>
      <c r="L64" s="24"/>
      <c r="M64" s="23"/>
      <c r="N64" s="23"/>
      <c r="O64" s="23"/>
      <c r="P64" s="23"/>
      <c r="Q64" s="23"/>
    </row>
    <row r="65" spans="1:17" x14ac:dyDescent="0.2">
      <c r="B65" s="9" t="s">
        <v>70</v>
      </c>
      <c r="C65" s="9"/>
      <c r="D65" s="11">
        <f>AVERAGE(D40:D44)</f>
        <v>2363.4</v>
      </c>
      <c r="E65" s="10">
        <f>AVERAGE(E40:E44)</f>
        <v>5.1185051843113408E-2</v>
      </c>
      <c r="F65" s="12">
        <f>AVERAGE(F40:F44)</f>
        <v>20.082473924140643</v>
      </c>
      <c r="G65" s="12">
        <f>AVERAGE(G40:G44)</f>
        <v>172.53832856225301</v>
      </c>
      <c r="H65" s="11">
        <f>AVERAGE(H40:H44)</f>
        <v>29.862784351555199</v>
      </c>
      <c r="I65" s="24"/>
      <c r="J65" s="11">
        <f>AVERAGE(J40:J44)</f>
        <v>233.80439790435102</v>
      </c>
      <c r="K65" s="24"/>
      <c r="L65" s="24"/>
      <c r="M65" s="23"/>
      <c r="N65" s="23"/>
      <c r="O65" s="23"/>
      <c r="P65" s="23"/>
      <c r="Q65" s="23"/>
    </row>
    <row r="66" spans="1:17" x14ac:dyDescent="0.2">
      <c r="B66" s="17" t="s">
        <v>71</v>
      </c>
      <c r="C66" s="17"/>
      <c r="D66" s="19">
        <f>AVERAGE(D45:D52)</f>
        <v>3967.375</v>
      </c>
      <c r="E66" s="18">
        <f>AVERAGE(E45:E52)</f>
        <v>5.3841430891977765E-2</v>
      </c>
      <c r="F66" s="20">
        <f>AVERAGE(F45:F52)</f>
        <v>24.256604431865888</v>
      </c>
      <c r="G66" s="20">
        <f>AVERAGE(G45:G52)</f>
        <v>175.26208485523512</v>
      </c>
      <c r="H66" s="19">
        <f>AVERAGE(H45:H52)</f>
        <v>18.397061805153676</v>
      </c>
      <c r="I66" s="24"/>
      <c r="J66" s="19">
        <f>AVERAGE(J45:J52)</f>
        <v>157.10473360851532</v>
      </c>
      <c r="K66" s="24"/>
      <c r="L66" s="24"/>
      <c r="M66" s="23"/>
      <c r="N66" s="23"/>
      <c r="O66" s="23"/>
      <c r="P66" s="23"/>
      <c r="Q66" s="23"/>
    </row>
    <row r="67" spans="1:17" x14ac:dyDescent="0.2">
      <c r="D67"/>
      <c r="E67" s="3"/>
      <c r="F67" s="4"/>
      <c r="G67" s="4"/>
      <c r="H67"/>
      <c r="K67" s="23"/>
      <c r="L67" s="23"/>
      <c r="M67" s="23"/>
      <c r="N67" s="23"/>
      <c r="O67" s="23"/>
      <c r="P67" s="23"/>
      <c r="Q67" s="23"/>
    </row>
    <row r="68" spans="1:17" x14ac:dyDescent="0.2">
      <c r="A68" t="s">
        <v>76</v>
      </c>
      <c r="B68" s="13" t="s">
        <v>69</v>
      </c>
      <c r="C68" s="13"/>
      <c r="D68" s="15">
        <f>STDEV(D32:D39)/SQRT(COUNT(D32:D39))</f>
        <v>303.04083883199633</v>
      </c>
      <c r="E68" s="14">
        <f>STDEV(E32:E39)/SQRT(COUNT(E32:E39))</f>
        <v>6.9464741621560382E-4</v>
      </c>
      <c r="F68" s="16">
        <f>STDEV(F32:F39)/SQRT(COUNT(F32:F39))</f>
        <v>1.4150328323296517</v>
      </c>
      <c r="G68" s="16">
        <f>STDEV(G32:G39)/SQRT(COUNT(G32:G39))</f>
        <v>1.320395757104778</v>
      </c>
      <c r="H68" s="15">
        <f>STDEV(H32:H39)/SQRT(COUNT(H32:H39))</f>
        <v>4.0302260823993601</v>
      </c>
      <c r="I68" s="24"/>
      <c r="J68" s="15">
        <f>STDEV(J32:J39)/SQRT(COUNT(J32:J39))</f>
        <v>29.857698458123362</v>
      </c>
      <c r="K68" s="24"/>
      <c r="L68" s="24"/>
      <c r="M68" s="23"/>
      <c r="N68" s="23"/>
      <c r="O68" s="23"/>
      <c r="P68" s="23"/>
      <c r="Q68" s="23"/>
    </row>
    <row r="69" spans="1:17" x14ac:dyDescent="0.2">
      <c r="B69" s="9" t="s">
        <v>70</v>
      </c>
      <c r="C69" s="9"/>
      <c r="D69" s="11">
        <f t="shared" ref="D69:J69" si="0">STDEV(D40:D44)/SQRT(COUNT(D40:D44))</f>
        <v>203.85720492540841</v>
      </c>
      <c r="E69" s="10">
        <f t="shared" si="0"/>
        <v>4.8738336832372024E-4</v>
      </c>
      <c r="F69" s="12">
        <f t="shared" si="0"/>
        <v>0.55796467935960326</v>
      </c>
      <c r="G69" s="12">
        <f t="shared" si="0"/>
        <v>1.5400935674369778</v>
      </c>
      <c r="H69" s="11">
        <f t="shared" si="0"/>
        <v>0.79308202515714465</v>
      </c>
      <c r="I69" s="24"/>
      <c r="J69" s="11">
        <f t="shared" si="0"/>
        <v>8.466523424883281</v>
      </c>
      <c r="K69" s="24"/>
      <c r="L69" s="24"/>
      <c r="M69" s="23"/>
      <c r="N69" s="23"/>
      <c r="O69" s="23"/>
      <c r="P69" s="23"/>
      <c r="Q69" s="23"/>
    </row>
    <row r="70" spans="1:17" x14ac:dyDescent="0.2">
      <c r="B70" s="17" t="s">
        <v>71</v>
      </c>
      <c r="C70" s="17"/>
      <c r="D70" s="19">
        <f t="shared" ref="D70:J70" si="1">STDEV(D45:D52)/SQRT(COUNT(D45:D52))</f>
        <v>330.60301709257629</v>
      </c>
      <c r="E70" s="18">
        <f t="shared" si="1"/>
        <v>7.3128963397900979E-4</v>
      </c>
      <c r="F70" s="20">
        <f t="shared" si="1"/>
        <v>1.568846292791652</v>
      </c>
      <c r="G70" s="20">
        <f t="shared" si="1"/>
        <v>1.7310571947814153</v>
      </c>
      <c r="H70" s="19">
        <f t="shared" si="1"/>
        <v>4.0503533343516871</v>
      </c>
      <c r="I70" s="24"/>
      <c r="J70" s="19">
        <f t="shared" si="1"/>
        <v>35.858826808454069</v>
      </c>
      <c r="K70" s="24"/>
      <c r="L70" s="24"/>
      <c r="M70" s="23"/>
      <c r="N70" s="23"/>
      <c r="O70" s="23"/>
      <c r="P70" s="23"/>
      <c r="Q70" s="23"/>
    </row>
    <row r="71" spans="1:17" x14ac:dyDescent="0.2">
      <c r="D71"/>
      <c r="E71" s="3"/>
      <c r="F71" s="4"/>
      <c r="G71" s="4"/>
      <c r="H71"/>
      <c r="K71" s="23"/>
      <c r="L71" s="23"/>
      <c r="M71" s="23"/>
      <c r="N71" s="23"/>
      <c r="O71" s="23"/>
      <c r="P71" s="23"/>
      <c r="Q71" s="23"/>
    </row>
    <row r="72" spans="1:17" x14ac:dyDescent="0.2">
      <c r="D72"/>
      <c r="E72" s="3"/>
      <c r="F72" s="4"/>
      <c r="G72" s="4"/>
      <c r="H72"/>
      <c r="K72" s="23"/>
      <c r="L72" s="23"/>
      <c r="M72" s="23"/>
      <c r="N72" s="23"/>
      <c r="O72" s="23"/>
      <c r="P72" s="23"/>
      <c r="Q72" s="23"/>
    </row>
    <row r="73" spans="1:17" x14ac:dyDescent="0.2">
      <c r="K73" s="23"/>
      <c r="L73" s="23"/>
      <c r="M73" s="23"/>
      <c r="N73" s="23"/>
      <c r="O73" s="23"/>
      <c r="P73" s="23"/>
      <c r="Q73" s="23"/>
    </row>
    <row r="74" spans="1:17" x14ac:dyDescent="0.2">
      <c r="K74" s="23"/>
      <c r="L74" s="23"/>
      <c r="M74" s="23"/>
      <c r="N74" s="23"/>
      <c r="O74" s="23"/>
      <c r="P74" s="23"/>
      <c r="Q74" s="23"/>
    </row>
    <row r="75" spans="1:17" x14ac:dyDescent="0.2">
      <c r="K75" s="23"/>
      <c r="L75" s="23"/>
      <c r="M75" s="23"/>
      <c r="N75" s="23"/>
      <c r="O75" s="23"/>
      <c r="P75" s="23"/>
      <c r="Q75" s="23"/>
    </row>
    <row r="76" spans="1:17" x14ac:dyDescent="0.2">
      <c r="K76" s="23"/>
      <c r="L76" s="23"/>
      <c r="M76" s="23"/>
      <c r="N76" s="23"/>
      <c r="O76" s="23"/>
      <c r="P76" s="23"/>
      <c r="Q76" s="23"/>
    </row>
    <row r="77" spans="1:17" x14ac:dyDescent="0.2">
      <c r="K77" s="23"/>
      <c r="L77" s="23"/>
      <c r="M77" s="23"/>
      <c r="N77" s="23"/>
      <c r="O77" s="23"/>
      <c r="P77" s="23"/>
      <c r="Q77" s="23"/>
    </row>
    <row r="78" spans="1:17" x14ac:dyDescent="0.2">
      <c r="K78" s="23"/>
      <c r="L78" s="23"/>
      <c r="M78" s="23"/>
      <c r="N78" s="23"/>
      <c r="O78" s="23"/>
      <c r="P78" s="23"/>
      <c r="Q78" s="23"/>
    </row>
    <row r="79" spans="1:17" x14ac:dyDescent="0.2">
      <c r="K79" s="23"/>
      <c r="L79" s="23"/>
      <c r="M79" s="23"/>
      <c r="N79" s="23"/>
      <c r="O79" s="23"/>
      <c r="P79" s="23"/>
      <c r="Q79" s="23"/>
    </row>
    <row r="80" spans="1:17" x14ac:dyDescent="0.2">
      <c r="K80" s="23"/>
      <c r="L80" s="23"/>
      <c r="M80" s="23"/>
      <c r="N80" s="23"/>
      <c r="O80" s="23"/>
      <c r="P80" s="23"/>
      <c r="Q80" s="23"/>
    </row>
  </sheetData>
  <mergeCells count="1">
    <mergeCell ref="D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topLeftCell="E32" workbookViewId="0">
      <selection activeCell="U23" sqref="U23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4.5" customWidth="1"/>
    <col min="4" max="4" width="6.33203125" bestFit="1" customWidth="1"/>
    <col min="5" max="5" width="9.6640625" bestFit="1" customWidth="1"/>
    <col min="6" max="6" width="15.83203125" customWidth="1"/>
    <col min="7" max="7" width="9.83203125" bestFit="1" customWidth="1"/>
    <col min="8" max="8" width="10.5" bestFit="1" customWidth="1"/>
    <col min="9" max="9" width="7.1640625" customWidth="1"/>
    <col min="10" max="10" width="6.5" style="1" bestFit="1" customWidth="1"/>
    <col min="11" max="11" width="9.6640625" style="1" bestFit="1" customWidth="1"/>
    <col min="12" max="12" width="16.5" style="1" bestFit="1" customWidth="1"/>
    <col min="13" max="13" width="10.33203125" style="1" bestFit="1" customWidth="1"/>
    <col min="14" max="14" width="13.5" style="1" bestFit="1" customWidth="1"/>
    <col min="15" max="15" width="9.1640625" style="23"/>
    <col min="16" max="16" width="10.5" style="28" bestFit="1" customWidth="1"/>
    <col min="17" max="19" width="10.5" style="28" customWidth="1"/>
    <col min="21" max="21" width="16.83203125" customWidth="1"/>
  </cols>
  <sheetData>
    <row r="1" spans="1:22" s="2" customFormat="1" x14ac:dyDescent="0.2">
      <c r="D1" s="40" t="s">
        <v>83</v>
      </c>
      <c r="E1" s="40"/>
      <c r="F1" s="40"/>
      <c r="G1" s="40"/>
      <c r="H1" s="40"/>
      <c r="J1" s="40" t="s">
        <v>5</v>
      </c>
      <c r="K1" s="40"/>
      <c r="L1" s="40"/>
      <c r="M1" s="40"/>
      <c r="N1" s="40"/>
      <c r="O1" s="22"/>
      <c r="P1" s="25" t="s">
        <v>85</v>
      </c>
      <c r="Q1" s="25"/>
      <c r="R1" s="25" t="s">
        <v>84</v>
      </c>
      <c r="S1" s="25"/>
    </row>
    <row r="2" spans="1:22" s="2" customFormat="1" x14ac:dyDescent="0.2">
      <c r="A2" s="2" t="s">
        <v>63</v>
      </c>
      <c r="D2" s="2" t="s">
        <v>0</v>
      </c>
      <c r="E2" s="2" t="s">
        <v>72</v>
      </c>
      <c r="F2" s="2" t="s">
        <v>73</v>
      </c>
      <c r="G2" s="2" t="s">
        <v>86</v>
      </c>
      <c r="H2" s="2" t="s">
        <v>87</v>
      </c>
      <c r="J2" s="2" t="s">
        <v>0</v>
      </c>
      <c r="K2" s="2" t="s">
        <v>72</v>
      </c>
      <c r="L2" s="2" t="s">
        <v>73</v>
      </c>
      <c r="M2" s="2" t="s">
        <v>86</v>
      </c>
      <c r="N2" s="2" t="s">
        <v>87</v>
      </c>
      <c r="O2" s="22"/>
      <c r="P2" s="25" t="s">
        <v>83</v>
      </c>
      <c r="Q2" s="25" t="s">
        <v>5</v>
      </c>
      <c r="R2" s="25" t="s">
        <v>83</v>
      </c>
      <c r="S2" s="25" t="s">
        <v>5</v>
      </c>
      <c r="U2" s="2" t="s">
        <v>7</v>
      </c>
    </row>
    <row r="3" spans="1:22" x14ac:dyDescent="0.2">
      <c r="A3" s="5" t="s">
        <v>12</v>
      </c>
      <c r="B3" s="5"/>
      <c r="C3" s="5"/>
      <c r="D3" s="5">
        <v>1369</v>
      </c>
      <c r="E3" s="8">
        <v>0.59553542731921105</v>
      </c>
      <c r="F3" s="7">
        <v>41.499603899568299</v>
      </c>
      <c r="G3" s="7">
        <v>-2649.0483066732399</v>
      </c>
      <c r="H3" s="7">
        <v>4935.4740621313204</v>
      </c>
      <c r="I3" s="5"/>
      <c r="J3" s="5">
        <v>1355</v>
      </c>
      <c r="K3" s="6">
        <v>0.59715350553505497</v>
      </c>
      <c r="L3" s="6">
        <v>41.0752105799234</v>
      </c>
      <c r="M3" s="8">
        <v>-1738.47664579445</v>
      </c>
      <c r="N3" s="6">
        <v>3215.1005788603702</v>
      </c>
      <c r="P3" s="7">
        <v>1400.66268458682</v>
      </c>
      <c r="Q3" s="7">
        <v>918.19984009038205</v>
      </c>
      <c r="R3" s="7">
        <v>2735.9441837075801</v>
      </c>
      <c r="S3" s="7">
        <v>1798.3228535502201</v>
      </c>
      <c r="U3" t="s">
        <v>8</v>
      </c>
      <c r="V3" t="s">
        <v>80</v>
      </c>
    </row>
    <row r="4" spans="1:22" x14ac:dyDescent="0.2">
      <c r="A4" s="5" t="s">
        <v>13</v>
      </c>
      <c r="B4" s="5"/>
      <c r="C4" s="5"/>
      <c r="D4" s="5">
        <v>2495</v>
      </c>
      <c r="E4" s="8">
        <v>0.59279679358717396</v>
      </c>
      <c r="F4" s="7">
        <v>38.9915234459651</v>
      </c>
      <c r="G4" s="7">
        <v>-2135.02603284005</v>
      </c>
      <c r="H4" s="7">
        <v>3936.8268015024</v>
      </c>
      <c r="I4" s="5"/>
      <c r="J4" s="5">
        <v>2522</v>
      </c>
      <c r="K4" s="6">
        <v>0.58460507533703399</v>
      </c>
      <c r="L4" s="6">
        <v>39.413475803897398</v>
      </c>
      <c r="M4" s="8">
        <v>-1510.23124290136</v>
      </c>
      <c r="N4" s="6">
        <v>2858.7856721553799</v>
      </c>
      <c r="P4" s="7">
        <v>1106.6084570974299</v>
      </c>
      <c r="Q4" s="7">
        <v>812.090620225051</v>
      </c>
      <c r="R4" s="7">
        <v>2175.9216567161802</v>
      </c>
      <c r="S4" s="7">
        <v>1638.0249916355201</v>
      </c>
      <c r="U4" t="s">
        <v>10</v>
      </c>
      <c r="V4" t="s">
        <v>81</v>
      </c>
    </row>
    <row r="5" spans="1:22" x14ac:dyDescent="0.2">
      <c r="A5" s="5" t="s">
        <v>14</v>
      </c>
      <c r="B5" s="5"/>
      <c r="C5" s="5"/>
      <c r="D5" s="5">
        <v>5212</v>
      </c>
      <c r="E5" s="8">
        <v>0.55226189562548</v>
      </c>
      <c r="F5" s="7">
        <v>36.877358490566003</v>
      </c>
      <c r="G5" s="7">
        <v>-2543.9339896165902</v>
      </c>
      <c r="H5" s="7">
        <v>4695.3625731970997</v>
      </c>
      <c r="I5" s="5"/>
      <c r="J5" s="5">
        <v>6198</v>
      </c>
      <c r="K5" s="6">
        <v>0.58589303000968096</v>
      </c>
      <c r="L5" s="6">
        <v>43.853773584905703</v>
      </c>
      <c r="M5" s="8">
        <v>-1391.4257269391901</v>
      </c>
      <c r="N5" s="6">
        <v>2581.7398026820601</v>
      </c>
      <c r="P5" s="7">
        <v>1356.90636693232</v>
      </c>
      <c r="Q5" s="7">
        <v>751.07565636217305</v>
      </c>
      <c r="R5" s="7">
        <v>2654.81906766267</v>
      </c>
      <c r="S5" s="7">
        <v>1471.62494655157</v>
      </c>
      <c r="U5" t="s">
        <v>9</v>
      </c>
      <c r="V5" t="s">
        <v>79</v>
      </c>
    </row>
    <row r="6" spans="1:22" x14ac:dyDescent="0.2">
      <c r="A6" s="5" t="s">
        <v>15</v>
      </c>
      <c r="B6" s="5"/>
      <c r="C6" s="5"/>
      <c r="D6" s="5">
        <v>5644</v>
      </c>
      <c r="E6" s="8">
        <v>0.585467930545712</v>
      </c>
      <c r="F6" s="7">
        <v>37.806457375072597</v>
      </c>
      <c r="G6" s="7">
        <v>-2011.0959946888499</v>
      </c>
      <c r="H6" s="7">
        <v>3733.1899996827001</v>
      </c>
      <c r="I6" s="5"/>
      <c r="J6" s="5">
        <v>5774</v>
      </c>
      <c r="K6" s="6">
        <v>0.62941842743332299</v>
      </c>
      <c r="L6" s="6">
        <v>38.677265216808799</v>
      </c>
      <c r="M6" s="8">
        <v>-1140.2457272409899</v>
      </c>
      <c r="N6" s="6">
        <v>2085.35840634957</v>
      </c>
      <c r="P6" s="7">
        <v>1036.9928707317399</v>
      </c>
      <c r="Q6" s="7">
        <v>587.858419692403</v>
      </c>
      <c r="R6" s="7">
        <v>2036.3676406209199</v>
      </c>
      <c r="S6" s="7">
        <v>1145.0968114718501</v>
      </c>
    </row>
    <row r="7" spans="1:22" x14ac:dyDescent="0.2">
      <c r="A7" s="5" t="s">
        <v>16</v>
      </c>
      <c r="B7" s="5"/>
      <c r="C7" s="5"/>
      <c r="D7" s="5">
        <v>5315</v>
      </c>
      <c r="E7" s="8">
        <v>0.57497121354656699</v>
      </c>
      <c r="F7" s="7">
        <v>35.005488474204199</v>
      </c>
      <c r="G7" s="7">
        <v>-2272.96716549751</v>
      </c>
      <c r="H7" s="7">
        <v>4249.4189683916102</v>
      </c>
      <c r="I7" s="5"/>
      <c r="J7" s="5">
        <v>5812</v>
      </c>
      <c r="K7" s="6">
        <v>0.58810065381968402</v>
      </c>
      <c r="L7" s="6">
        <v>38.2788144895719</v>
      </c>
      <c r="M7" s="8">
        <v>-1267.0085076297401</v>
      </c>
      <c r="N7" s="6">
        <v>2446.5917706893401</v>
      </c>
      <c r="P7" s="7">
        <v>1135.2963425534399</v>
      </c>
      <c r="Q7" s="7">
        <v>679.01870096363496</v>
      </c>
      <c r="R7" s="7">
        <v>2235.7400670894899</v>
      </c>
      <c r="S7" s="7">
        <v>1380.2269707524699</v>
      </c>
    </row>
    <row r="8" spans="1:22" x14ac:dyDescent="0.2">
      <c r="A8" s="5" t="s">
        <v>17</v>
      </c>
      <c r="B8" s="5"/>
      <c r="C8" s="5"/>
      <c r="D8" s="5">
        <v>5118</v>
      </c>
      <c r="E8" s="8">
        <v>0.57869284876905103</v>
      </c>
      <c r="F8" s="7">
        <v>38.146583850931698</v>
      </c>
      <c r="G8" s="7">
        <v>-3002.8813557765502</v>
      </c>
      <c r="H8" s="7">
        <v>5555.7634352262703</v>
      </c>
      <c r="I8" s="5"/>
      <c r="J8" s="5">
        <v>4859</v>
      </c>
      <c r="K8" s="6">
        <v>0.57783391644371296</v>
      </c>
      <c r="L8" s="6">
        <v>36.216149068322999</v>
      </c>
      <c r="M8" s="8">
        <v>-1337.41360746432</v>
      </c>
      <c r="N8" s="6">
        <v>2558.0660231089801</v>
      </c>
      <c r="P8" s="7">
        <v>1509.3079027661299</v>
      </c>
      <c r="Q8" s="7">
        <v>721.88713087481301</v>
      </c>
      <c r="R8" s="7">
        <v>2926.1868540861701</v>
      </c>
      <c r="S8" s="7">
        <v>1449.8600904888799</v>
      </c>
    </row>
    <row r="9" spans="1:22" x14ac:dyDescent="0.2">
      <c r="A9" s="5" t="s">
        <v>18</v>
      </c>
      <c r="B9" s="5"/>
      <c r="C9" s="5"/>
      <c r="D9" s="5">
        <v>4746</v>
      </c>
      <c r="E9" s="8">
        <v>0.58166477033291097</v>
      </c>
      <c r="F9" s="7">
        <v>39.223140495867803</v>
      </c>
      <c r="G9" s="7">
        <v>-3260.3921099192598</v>
      </c>
      <c r="H9" s="7">
        <v>6038.3015778987601</v>
      </c>
      <c r="I9" s="5"/>
      <c r="J9" s="5">
        <v>4503</v>
      </c>
      <c r="K9" s="6">
        <v>0.56224206084832395</v>
      </c>
      <c r="L9" s="6">
        <v>37.214876033057898</v>
      </c>
      <c r="M9" s="8">
        <v>-1390.09837504397</v>
      </c>
      <c r="N9" s="6">
        <v>2663.8923810927399</v>
      </c>
      <c r="P9" s="7">
        <v>1665.35674004266</v>
      </c>
      <c r="Q9" s="7">
        <v>757.10690680912603</v>
      </c>
      <c r="R9" s="7">
        <v>3248.06138860287</v>
      </c>
      <c r="S9" s="7">
        <v>1517.2056744332899</v>
      </c>
    </row>
    <row r="10" spans="1:22" x14ac:dyDescent="0.2">
      <c r="A10" s="5" t="s">
        <v>19</v>
      </c>
      <c r="B10" s="5"/>
      <c r="C10" s="5"/>
      <c r="D10" s="5">
        <v>5799</v>
      </c>
      <c r="E10" s="8">
        <v>0.60484566304535403</v>
      </c>
      <c r="F10" s="7">
        <v>39.901376146788998</v>
      </c>
      <c r="G10" s="7">
        <v>-2892.3564879591299</v>
      </c>
      <c r="H10" s="7">
        <v>5369.0913836306599</v>
      </c>
      <c r="I10" s="5"/>
      <c r="J10" s="5">
        <v>5396</v>
      </c>
      <c r="K10" s="6">
        <v>0.56780411415863596</v>
      </c>
      <c r="L10" s="6">
        <v>37.128440366972498</v>
      </c>
      <c r="M10" s="8">
        <v>-1817.55996826357</v>
      </c>
      <c r="N10" s="6">
        <v>3505.3367141758899</v>
      </c>
      <c r="P10" s="7">
        <v>1449.88314630425</v>
      </c>
      <c r="Q10" s="7">
        <v>985.59285852898904</v>
      </c>
      <c r="R10" s="7">
        <v>2850.3544906120701</v>
      </c>
      <c r="S10" s="7">
        <v>1982.11322423671</v>
      </c>
    </row>
    <row r="11" spans="1:22" x14ac:dyDescent="0.2">
      <c r="A11" s="5" t="s">
        <v>20</v>
      </c>
      <c r="B11" s="5"/>
      <c r="C11" s="5"/>
      <c r="D11" s="5">
        <v>5085</v>
      </c>
      <c r="E11" s="8">
        <v>0.56979921337266504</v>
      </c>
      <c r="F11" s="7">
        <v>32.948164146868301</v>
      </c>
      <c r="G11" s="7">
        <v>-1985.6189352875699</v>
      </c>
      <c r="H11" s="7">
        <v>3663.7755005225299</v>
      </c>
      <c r="I11" s="5"/>
      <c r="J11" s="5">
        <v>5456</v>
      </c>
      <c r="K11" s="6">
        <v>0.57668676686217102</v>
      </c>
      <c r="L11" s="6">
        <v>35.352051835853104</v>
      </c>
      <c r="M11" s="8">
        <v>-1840.1759857233201</v>
      </c>
      <c r="N11" s="6">
        <v>3480.9385963173199</v>
      </c>
      <c r="P11" s="7">
        <v>1024.9990544488101</v>
      </c>
      <c r="Q11" s="7">
        <v>977.32425086241403</v>
      </c>
      <c r="R11" s="7">
        <v>2033.49891353719</v>
      </c>
      <c r="S11" s="7">
        <v>1955.8352546358001</v>
      </c>
    </row>
    <row r="12" spans="1:22" x14ac:dyDescent="0.2">
      <c r="A12" s="9" t="s">
        <v>21</v>
      </c>
      <c r="B12" s="9"/>
      <c r="C12" s="9"/>
      <c r="D12" s="9">
        <v>7403</v>
      </c>
      <c r="E12" s="12">
        <v>0.54936390652438405</v>
      </c>
      <c r="F12" s="11">
        <v>37.996578272027399</v>
      </c>
      <c r="G12" s="11">
        <v>-1088.3846267624201</v>
      </c>
      <c r="H12" s="11">
        <v>1994.70941501006</v>
      </c>
      <c r="I12" s="9"/>
      <c r="J12" s="9">
        <v>7485</v>
      </c>
      <c r="K12" s="10">
        <v>0.67995297261189003</v>
      </c>
      <c r="L12" s="10">
        <v>38.417450812660398</v>
      </c>
      <c r="M12" s="12">
        <v>-1722.14669846377</v>
      </c>
      <c r="N12" s="10">
        <v>3130.8705002965698</v>
      </c>
      <c r="P12" s="27">
        <v>571.98814946527705</v>
      </c>
      <c r="Q12" s="27">
        <v>886.37506773527105</v>
      </c>
      <c r="R12" s="27">
        <v>1124.47633339605</v>
      </c>
      <c r="S12" s="27">
        <v>1768.0458372025</v>
      </c>
    </row>
    <row r="13" spans="1:22" x14ac:dyDescent="0.2">
      <c r="A13" s="9" t="s">
        <v>22</v>
      </c>
      <c r="B13" s="9"/>
      <c r="C13" s="9"/>
      <c r="D13" s="9">
        <v>6133</v>
      </c>
      <c r="E13" s="12">
        <v>0.579255503016469</v>
      </c>
      <c r="F13" s="11">
        <v>39.997826086956501</v>
      </c>
      <c r="G13" s="11">
        <v>-2755.0752428649298</v>
      </c>
      <c r="H13" s="11">
        <v>5072.4781490611904</v>
      </c>
      <c r="I13" s="9"/>
      <c r="J13" s="9">
        <v>6730</v>
      </c>
      <c r="K13" s="10">
        <v>0.59428216939078904</v>
      </c>
      <c r="L13" s="10">
        <v>43.8913043478261</v>
      </c>
      <c r="M13" s="12">
        <v>-1470.62693626075</v>
      </c>
      <c r="N13" s="10">
        <v>2652.5244681778099</v>
      </c>
      <c r="P13" s="11">
        <v>1417.9930102835301</v>
      </c>
      <c r="Q13" s="11">
        <v>762.43027144071596</v>
      </c>
      <c r="R13" s="11">
        <v>2755.3933274176502</v>
      </c>
      <c r="S13" s="11">
        <v>1454.1668029703201</v>
      </c>
    </row>
    <row r="14" spans="1:22" x14ac:dyDescent="0.2">
      <c r="A14" s="9" t="s">
        <v>23</v>
      </c>
      <c r="B14" s="9"/>
      <c r="C14" s="9"/>
      <c r="D14" s="9">
        <v>4801</v>
      </c>
      <c r="E14" s="12">
        <v>0.61008893980420797</v>
      </c>
      <c r="F14" s="11">
        <v>42.929955290610998</v>
      </c>
      <c r="G14" s="11">
        <v>-2848.0922242630099</v>
      </c>
      <c r="H14" s="11">
        <v>5213.7889683429303</v>
      </c>
      <c r="I14" s="9"/>
      <c r="J14" s="9">
        <v>4807</v>
      </c>
      <c r="K14" s="10">
        <v>0.64080674017058403</v>
      </c>
      <c r="L14" s="10">
        <v>42.983606557377101</v>
      </c>
      <c r="M14" s="12">
        <v>-1622.2138482980899</v>
      </c>
      <c r="N14" s="10">
        <v>2832.5197137704599</v>
      </c>
      <c r="P14" s="11">
        <v>1463.8045136222299</v>
      </c>
      <c r="Q14" s="11">
        <v>804.982667969163</v>
      </c>
      <c r="R14" s="11">
        <v>2816.5828329983401</v>
      </c>
      <c r="S14" s="11">
        <v>1491.24651289907</v>
      </c>
    </row>
    <row r="15" spans="1:22" x14ac:dyDescent="0.2">
      <c r="A15" s="9" t="s">
        <v>24</v>
      </c>
      <c r="B15" s="9"/>
      <c r="C15" s="9"/>
      <c r="D15" s="9">
        <v>7361</v>
      </c>
      <c r="E15" s="12">
        <v>0.57657193316125599</v>
      </c>
      <c r="F15" s="11">
        <v>39.363636363636402</v>
      </c>
      <c r="G15" s="11">
        <v>-2229.4418338932601</v>
      </c>
      <c r="H15" s="11">
        <v>4128.8591284502199</v>
      </c>
      <c r="I15" s="9"/>
      <c r="J15" s="9">
        <v>7599</v>
      </c>
      <c r="K15" s="10">
        <v>0.59155744176865399</v>
      </c>
      <c r="L15" s="10">
        <v>40.636363636363598</v>
      </c>
      <c r="M15" s="12">
        <v>-975.89771031820703</v>
      </c>
      <c r="N15" s="10">
        <v>1837.75386331547</v>
      </c>
      <c r="P15" s="11">
        <v>1159.9704188743799</v>
      </c>
      <c r="Q15" s="11">
        <v>525.55777055471697</v>
      </c>
      <c r="R15" s="11">
        <v>2253.9425099134201</v>
      </c>
      <c r="S15" s="11">
        <v>1038.57858809295</v>
      </c>
    </row>
    <row r="16" spans="1:22" x14ac:dyDescent="0.2">
      <c r="A16" s="9" t="s">
        <v>25</v>
      </c>
      <c r="B16" s="9"/>
      <c r="C16" s="9"/>
      <c r="D16" s="9">
        <v>5815</v>
      </c>
      <c r="E16" s="12">
        <v>0.59549183147033602</v>
      </c>
      <c r="F16" s="11">
        <v>40.255215063688397</v>
      </c>
      <c r="G16" s="11">
        <v>-2613.35711204892</v>
      </c>
      <c r="H16" s="11">
        <v>4828.8860261327</v>
      </c>
      <c r="I16" s="9"/>
      <c r="J16" s="9">
        <v>5345</v>
      </c>
      <c r="K16" s="10">
        <v>0.594465668849393</v>
      </c>
      <c r="L16" s="10">
        <v>37.001569134207102</v>
      </c>
      <c r="M16" s="12">
        <v>-1366.3254697633699</v>
      </c>
      <c r="N16" s="10">
        <v>2584.8493745098399</v>
      </c>
      <c r="P16" s="11">
        <v>1301.57300872377</v>
      </c>
      <c r="Q16" s="11">
        <v>719.11839193455103</v>
      </c>
      <c r="R16" s="11">
        <v>2513.8885395729499</v>
      </c>
      <c r="S16" s="11">
        <v>1432.3578542384801</v>
      </c>
    </row>
    <row r="17" spans="1:19" x14ac:dyDescent="0.2">
      <c r="A17" s="9" t="s">
        <v>26</v>
      </c>
      <c r="B17" s="9"/>
      <c r="C17" s="9"/>
      <c r="D17" s="9">
        <v>5299</v>
      </c>
      <c r="E17" s="12">
        <v>0.58083260992640096</v>
      </c>
      <c r="F17" s="11">
        <v>37.670616113744103</v>
      </c>
      <c r="G17" s="11">
        <v>-2014.89241706188</v>
      </c>
      <c r="H17" s="11">
        <v>3757.3952209938502</v>
      </c>
      <c r="I17" s="9"/>
      <c r="J17" s="9">
        <v>5307</v>
      </c>
      <c r="K17" s="10">
        <v>0.58334162426983205</v>
      </c>
      <c r="L17" s="10">
        <v>37.727488151658797</v>
      </c>
      <c r="M17" s="12">
        <v>-756.417353669612</v>
      </c>
      <c r="N17" s="10">
        <v>1442.4874581588101</v>
      </c>
      <c r="P17" s="11">
        <v>1043.3362847621199</v>
      </c>
      <c r="Q17" s="11">
        <v>410.50417947223798</v>
      </c>
      <c r="R17" s="11">
        <v>2060.33019930112</v>
      </c>
      <c r="S17" s="11">
        <v>824.48876649459203</v>
      </c>
    </row>
    <row r="18" spans="1:19" x14ac:dyDescent="0.2">
      <c r="A18" s="9" t="s">
        <v>27</v>
      </c>
      <c r="B18" s="9"/>
      <c r="C18" s="9"/>
      <c r="D18" s="9">
        <v>6923</v>
      </c>
      <c r="E18" s="12">
        <v>0.58868972988588797</v>
      </c>
      <c r="F18" s="11">
        <v>39.635496183206101</v>
      </c>
      <c r="G18" s="11">
        <v>-2325.7753016298798</v>
      </c>
      <c r="H18" s="11">
        <v>4316.4460745372298</v>
      </c>
      <c r="I18" s="9"/>
      <c r="J18" s="9">
        <v>6792</v>
      </c>
      <c r="K18" s="10">
        <v>0.60673041813898698</v>
      </c>
      <c r="L18" s="10">
        <v>38.885496183206101</v>
      </c>
      <c r="M18" s="12">
        <v>-1354.9905394795201</v>
      </c>
      <c r="N18" s="10">
        <v>2503.0474743858699</v>
      </c>
      <c r="P18" s="11">
        <v>1177.1343572228</v>
      </c>
      <c r="Q18" s="11">
        <v>695.81626689167103</v>
      </c>
      <c r="R18" s="11">
        <v>2288.2525195867702</v>
      </c>
      <c r="S18" s="11">
        <v>1360.9503387575501</v>
      </c>
    </row>
    <row r="19" spans="1:19" x14ac:dyDescent="0.2">
      <c r="A19" s="9" t="s">
        <v>28</v>
      </c>
      <c r="B19" s="9"/>
      <c r="C19" s="9"/>
      <c r="D19" s="9">
        <v>5735</v>
      </c>
      <c r="E19" s="12">
        <v>0.57583330427201296</v>
      </c>
      <c r="F19" s="11">
        <v>38.533034714445698</v>
      </c>
      <c r="G19" s="11">
        <v>-2310.40165893831</v>
      </c>
      <c r="H19" s="11">
        <v>4363.9327401418504</v>
      </c>
      <c r="I19" s="9"/>
      <c r="J19" s="9">
        <v>5877</v>
      </c>
      <c r="K19" s="10">
        <v>0.57963331631785198</v>
      </c>
      <c r="L19" s="10">
        <v>39.487122060470298</v>
      </c>
      <c r="M19" s="12">
        <v>-1487.7077619307099</v>
      </c>
      <c r="N19" s="10">
        <v>2831.8540834282398</v>
      </c>
      <c r="P19" s="11">
        <v>1210.9427018500901</v>
      </c>
      <c r="Q19" s="11">
        <v>799.41325299871198</v>
      </c>
      <c r="R19" s="11">
        <v>2404.1261874218399</v>
      </c>
      <c r="S19" s="11">
        <v>1598.3345465601401</v>
      </c>
    </row>
    <row r="20" spans="1:19" x14ac:dyDescent="0.2">
      <c r="A20" s="9" t="s">
        <v>29</v>
      </c>
      <c r="B20" s="9"/>
      <c r="C20" s="9"/>
      <c r="D20" s="9">
        <v>5931</v>
      </c>
      <c r="E20" s="12">
        <v>0.59950902040128096</v>
      </c>
      <c r="F20" s="11">
        <v>40.346938775510203</v>
      </c>
      <c r="G20" s="11">
        <v>-2928.4633981320899</v>
      </c>
      <c r="H20" s="11">
        <v>5350.9186573865099</v>
      </c>
      <c r="I20" s="9"/>
      <c r="J20" s="9">
        <v>5709</v>
      </c>
      <c r="K20" s="10">
        <v>0.58579435978279804</v>
      </c>
      <c r="L20" s="10">
        <v>38.836734693877602</v>
      </c>
      <c r="M20" s="12">
        <v>-1883.2151769115301</v>
      </c>
      <c r="N20" s="10">
        <v>3467.7379863626002</v>
      </c>
      <c r="P20" s="11">
        <v>1486.3971512127</v>
      </c>
      <c r="Q20" s="11">
        <v>989.51195238880302</v>
      </c>
      <c r="R20" s="11">
        <v>2864.5016940911701</v>
      </c>
      <c r="S20" s="11">
        <v>1943.19098587637</v>
      </c>
    </row>
    <row r="21" spans="1:19" x14ac:dyDescent="0.2">
      <c r="A21" s="17" t="s">
        <v>30</v>
      </c>
      <c r="B21" s="17"/>
      <c r="C21" s="17"/>
      <c r="D21" s="17">
        <v>5459</v>
      </c>
      <c r="E21" s="20">
        <v>0.56534475178604104</v>
      </c>
      <c r="F21" s="19">
        <v>34.697033898305101</v>
      </c>
      <c r="G21" s="19">
        <v>-2432.62296043275</v>
      </c>
      <c r="H21" s="19">
        <v>4618.7873989970903</v>
      </c>
      <c r="I21" s="17"/>
      <c r="J21" s="17">
        <v>6160</v>
      </c>
      <c r="K21" s="18">
        <v>0.62624675324675305</v>
      </c>
      <c r="L21" s="18">
        <v>39.152542372881399</v>
      </c>
      <c r="M21" s="20">
        <v>-1634.3148033821899</v>
      </c>
      <c r="N21" s="18">
        <v>3031.1817942499201</v>
      </c>
      <c r="P21" s="19">
        <v>1294.7779806367901</v>
      </c>
      <c r="Q21" s="19">
        <v>869.67865798471405</v>
      </c>
      <c r="R21" s="19">
        <v>2630.94226334829</v>
      </c>
      <c r="S21" s="19">
        <v>1739.55354769633</v>
      </c>
    </row>
    <row r="22" spans="1:19" x14ac:dyDescent="0.2">
      <c r="A22" s="17" t="s">
        <v>31</v>
      </c>
      <c r="B22" s="17"/>
      <c r="C22" s="17"/>
      <c r="D22" s="17">
        <v>5277</v>
      </c>
      <c r="E22" s="20">
        <v>0.58882262649232497</v>
      </c>
      <c r="F22" s="19">
        <v>39.331677018633499</v>
      </c>
      <c r="G22" s="19">
        <v>-2533.00540607219</v>
      </c>
      <c r="H22" s="19">
        <v>4755.1877309052697</v>
      </c>
      <c r="I22" s="17"/>
      <c r="J22" s="17">
        <v>4760</v>
      </c>
      <c r="K22" s="18">
        <v>0.58854285714285504</v>
      </c>
      <c r="L22" s="18">
        <v>35.478260869565197</v>
      </c>
      <c r="M22" s="20">
        <v>-1113.3864116229399</v>
      </c>
      <c r="N22" s="18">
        <v>2098.2056958463099</v>
      </c>
      <c r="P22" s="19">
        <v>1286.7284879741101</v>
      </c>
      <c r="Q22" s="19">
        <v>593.97016770344896</v>
      </c>
      <c r="R22" s="19">
        <v>2535.0224186444698</v>
      </c>
      <c r="S22" s="19">
        <v>1200.4025561603501</v>
      </c>
    </row>
    <row r="23" spans="1:19" x14ac:dyDescent="0.2">
      <c r="A23" s="17" t="s">
        <v>32</v>
      </c>
      <c r="B23" s="17"/>
      <c r="C23" s="17"/>
      <c r="D23" s="17">
        <v>6607</v>
      </c>
      <c r="E23" s="20">
        <v>0.577538065687906</v>
      </c>
      <c r="F23" s="19">
        <v>38.524781341107897</v>
      </c>
      <c r="G23" s="19">
        <v>-2295.3260507843202</v>
      </c>
      <c r="H23" s="19">
        <v>4236.4635960491196</v>
      </c>
      <c r="I23" s="17"/>
      <c r="J23" s="17">
        <v>6681</v>
      </c>
      <c r="K23" s="18">
        <v>0.63604999251608996</v>
      </c>
      <c r="L23" s="18">
        <v>38.956268221574298</v>
      </c>
      <c r="M23" s="20">
        <v>-1229.72578501816</v>
      </c>
      <c r="N23" s="18">
        <v>2368.1994501879299</v>
      </c>
      <c r="P23" s="19">
        <v>1166.6840589403901</v>
      </c>
      <c r="Q23" s="19">
        <v>663.64403565460896</v>
      </c>
      <c r="R23" s="19">
        <v>2278.4704224920301</v>
      </c>
      <c r="S23" s="19">
        <v>1363.4505870816499</v>
      </c>
    </row>
    <row r="24" spans="1:19" x14ac:dyDescent="0.2">
      <c r="A24" s="17" t="s">
        <v>33</v>
      </c>
      <c r="B24" s="17"/>
      <c r="C24" s="17"/>
      <c r="D24" s="17">
        <v>4063</v>
      </c>
      <c r="E24" s="20">
        <v>0.59873812453851805</v>
      </c>
      <c r="F24" s="19">
        <v>38.896661058790798</v>
      </c>
      <c r="G24" s="19">
        <v>-3031.7936435981201</v>
      </c>
      <c r="H24" s="19">
        <v>5465.4101718994498</v>
      </c>
      <c r="I24" s="17"/>
      <c r="J24" s="17">
        <v>4209</v>
      </c>
      <c r="K24" s="18">
        <v>0.62253052981705803</v>
      </c>
      <c r="L24" s="18">
        <v>40.294375189872099</v>
      </c>
      <c r="M24" s="20">
        <v>-1599.87838953409</v>
      </c>
      <c r="N24" s="18">
        <v>2806.4273195503602</v>
      </c>
      <c r="P24" s="19">
        <v>1528.08904084714</v>
      </c>
      <c r="Q24" s="19">
        <v>799.42643346002001</v>
      </c>
      <c r="R24" s="19">
        <v>2923.9401399189101</v>
      </c>
      <c r="S24" s="19">
        <v>1505.2339234266799</v>
      </c>
    </row>
    <row r="25" spans="1:19" x14ac:dyDescent="0.2">
      <c r="A25" s="17" t="s">
        <v>34</v>
      </c>
      <c r="B25" s="17"/>
      <c r="C25" s="17"/>
      <c r="D25" s="17">
        <v>6884</v>
      </c>
      <c r="E25" s="20">
        <v>0.624532393957002</v>
      </c>
      <c r="F25" s="19">
        <v>41.553319919517101</v>
      </c>
      <c r="G25" s="19">
        <v>-3487.27634348321</v>
      </c>
      <c r="H25" s="19">
        <v>6538.19486797629</v>
      </c>
      <c r="I25" s="17"/>
      <c r="J25" s="17">
        <v>6766</v>
      </c>
      <c r="K25" s="18">
        <v>0.61754951226721799</v>
      </c>
      <c r="L25" s="18">
        <v>40.841046277666003</v>
      </c>
      <c r="M25" s="20">
        <v>-1126.78434523653</v>
      </c>
      <c r="N25" s="18">
        <v>2110.1982733692998</v>
      </c>
      <c r="P25" s="19">
        <v>1751.67580912839</v>
      </c>
      <c r="Q25" s="19">
        <v>588.08114486505701</v>
      </c>
      <c r="R25" s="19">
        <v>3431.6519174249502</v>
      </c>
      <c r="S25" s="19">
        <v>1163.76462991223</v>
      </c>
    </row>
    <row r="26" spans="1:19" x14ac:dyDescent="0.2">
      <c r="A26" s="17" t="s">
        <v>35</v>
      </c>
      <c r="B26" s="17"/>
      <c r="C26" s="17"/>
      <c r="D26" s="17">
        <v>6014</v>
      </c>
      <c r="E26" s="20">
        <v>0.59712736947123501</v>
      </c>
      <c r="F26" s="19">
        <v>40.407614781634898</v>
      </c>
      <c r="G26" s="19">
        <v>-3009.19728406288</v>
      </c>
      <c r="H26" s="19">
        <v>5543.2831029871204</v>
      </c>
      <c r="I26" s="17"/>
      <c r="J26" s="17">
        <v>5320</v>
      </c>
      <c r="K26" s="18">
        <v>0.57971973684210498</v>
      </c>
      <c r="L26" s="18">
        <v>35.744680851063798</v>
      </c>
      <c r="M26" s="20">
        <v>-1632.3735326096601</v>
      </c>
      <c r="N26" s="18">
        <v>3149.25217170821</v>
      </c>
      <c r="P26" s="19">
        <v>1519.49765693625</v>
      </c>
      <c r="Q26" s="19">
        <v>819.81166743726703</v>
      </c>
      <c r="R26" s="19">
        <v>2940.2257884256601</v>
      </c>
      <c r="S26" s="19">
        <v>1645.8741465882999</v>
      </c>
    </row>
    <row r="27" spans="1:19" x14ac:dyDescent="0.2">
      <c r="A27" s="17" t="s">
        <v>36</v>
      </c>
      <c r="B27" s="17"/>
      <c r="C27" s="17"/>
      <c r="D27" s="17">
        <v>5045</v>
      </c>
      <c r="E27" s="20">
        <v>0.54930386521308305</v>
      </c>
      <c r="F27" s="19">
        <v>32.657667377288298</v>
      </c>
      <c r="G27" s="19">
        <v>-1999.1130578878399</v>
      </c>
      <c r="H27" s="19">
        <v>3763.4356519682901</v>
      </c>
      <c r="I27" s="17"/>
      <c r="J27" s="17">
        <v>5845</v>
      </c>
      <c r="K27" s="18">
        <v>0.57533122326775099</v>
      </c>
      <c r="L27" s="18">
        <v>37.836286584786897</v>
      </c>
      <c r="M27" s="20">
        <v>-1282.20609767211</v>
      </c>
      <c r="N27" s="18">
        <v>2358.0735319523601</v>
      </c>
      <c r="P27" s="19">
        <v>1064.45277371424</v>
      </c>
      <c r="Q27" s="19">
        <v>664.51830515265897</v>
      </c>
      <c r="R27" s="19">
        <v>2104.51348023124</v>
      </c>
      <c r="S27" s="19">
        <v>1274.21905136092</v>
      </c>
    </row>
    <row r="28" spans="1:19" x14ac:dyDescent="0.2">
      <c r="A28" s="17" t="s">
        <v>37</v>
      </c>
      <c r="B28" s="17"/>
      <c r="C28" s="17"/>
      <c r="D28" s="17">
        <v>6084</v>
      </c>
      <c r="E28" s="20">
        <v>0.58108218277448997</v>
      </c>
      <c r="F28" s="19">
        <v>38.792773645058404</v>
      </c>
      <c r="G28" s="19">
        <v>-1893.7121505039599</v>
      </c>
      <c r="H28" s="19">
        <v>3596.2924660308199</v>
      </c>
      <c r="I28" s="17"/>
      <c r="J28" s="17">
        <v>5730</v>
      </c>
      <c r="K28" s="18">
        <v>0.57679493891797695</v>
      </c>
      <c r="L28" s="18">
        <v>36.5356004250797</v>
      </c>
      <c r="M28" s="20">
        <v>-856.76298025528001</v>
      </c>
      <c r="N28" s="18">
        <v>1632.4314464117101</v>
      </c>
      <c r="P28" s="19">
        <v>1001.90450919732</v>
      </c>
      <c r="Q28" s="19">
        <v>465.483331725342</v>
      </c>
      <c r="R28" s="19">
        <v>1984.03160255544</v>
      </c>
      <c r="S28" s="19">
        <v>934.386311942151</v>
      </c>
    </row>
    <row r="29" spans="1:19" x14ac:dyDescent="0.2">
      <c r="A29" s="17" t="s">
        <v>38</v>
      </c>
      <c r="B29" s="17"/>
      <c r="C29" s="17"/>
      <c r="D29" s="17">
        <v>4630</v>
      </c>
      <c r="E29" s="20">
        <v>0.57124967602591803</v>
      </c>
      <c r="F29" s="19">
        <v>36.219035202086097</v>
      </c>
      <c r="G29" s="19">
        <v>-1487.6129790862799</v>
      </c>
      <c r="H29" s="19">
        <v>2788.8191145599499</v>
      </c>
      <c r="I29" s="17"/>
      <c r="J29" s="17">
        <v>5363</v>
      </c>
      <c r="K29" s="18">
        <v>0.61446317359686697</v>
      </c>
      <c r="L29" s="18">
        <v>41.953063885267298</v>
      </c>
      <c r="M29" s="20">
        <v>-1759.4336291675399</v>
      </c>
      <c r="N29" s="18">
        <v>3121.2128729461901</v>
      </c>
      <c r="P29" s="19">
        <v>746.35971592952205</v>
      </c>
      <c r="Q29" s="19">
        <v>891.88493890894495</v>
      </c>
      <c r="R29" s="19">
        <v>1477.25105048453</v>
      </c>
      <c r="S29" s="19">
        <v>1701.20577225537</v>
      </c>
    </row>
    <row r="30" spans="1:19" x14ac:dyDescent="0.2">
      <c r="A30" s="17" t="s">
        <v>39</v>
      </c>
      <c r="B30" s="17"/>
      <c r="C30" s="17"/>
      <c r="D30" s="17">
        <v>5670</v>
      </c>
      <c r="E30" s="20">
        <v>0.59250123456790105</v>
      </c>
      <c r="F30" s="19">
        <v>39.284064665126998</v>
      </c>
      <c r="G30" s="19">
        <v>-2648.7157514942601</v>
      </c>
      <c r="H30" s="19">
        <v>4911.5690346240899</v>
      </c>
      <c r="I30" s="17"/>
      <c r="J30" s="17">
        <v>6044</v>
      </c>
      <c r="K30" s="18">
        <v>0.59684000661813297</v>
      </c>
      <c r="L30" s="18">
        <v>41.875288683602797</v>
      </c>
      <c r="M30" s="20">
        <v>-1560.8200536838301</v>
      </c>
      <c r="N30" s="18">
        <v>2901.6046165347202</v>
      </c>
      <c r="P30" s="19">
        <v>1345.01729118351</v>
      </c>
      <c r="Q30" s="19">
        <v>825.47028436437597</v>
      </c>
      <c r="R30" s="19">
        <v>2642.8120049263798</v>
      </c>
      <c r="S30" s="19">
        <v>1614.80509586382</v>
      </c>
    </row>
    <row r="31" spans="1:19" x14ac:dyDescent="0.2">
      <c r="A31" s="17" t="s">
        <v>40</v>
      </c>
      <c r="B31" s="17"/>
      <c r="C31" s="17"/>
      <c r="D31" s="17">
        <v>6339</v>
      </c>
      <c r="E31" s="20">
        <v>0.56190597886101901</v>
      </c>
      <c r="F31" s="19">
        <v>36.2991337225194</v>
      </c>
      <c r="G31" s="19">
        <v>-1899.9579342029999</v>
      </c>
      <c r="H31" s="19">
        <v>3582.05844121984</v>
      </c>
      <c r="I31" s="17"/>
      <c r="J31" s="17">
        <v>6895</v>
      </c>
      <c r="K31" s="18">
        <v>0.56504220449601195</v>
      </c>
      <c r="L31" s="18">
        <v>39.482966874392098</v>
      </c>
      <c r="M31" s="20">
        <v>-1371.0554789197399</v>
      </c>
      <c r="N31" s="18">
        <v>2637.7948486763798</v>
      </c>
      <c r="P31" s="19">
        <v>986.689054602174</v>
      </c>
      <c r="Q31" s="19">
        <v>742.82422282416098</v>
      </c>
      <c r="R31" s="19">
        <v>1953.86066471749</v>
      </c>
      <c r="S31" s="19">
        <v>1498.5649088637699</v>
      </c>
    </row>
    <row r="32" spans="1:19" x14ac:dyDescent="0.2">
      <c r="A32" s="13" t="s">
        <v>41</v>
      </c>
      <c r="B32" s="13"/>
      <c r="C32" s="13"/>
      <c r="D32" s="13">
        <v>6346</v>
      </c>
      <c r="E32" s="16">
        <v>0.56369744721084203</v>
      </c>
      <c r="F32" s="15">
        <v>42.259711431742502</v>
      </c>
      <c r="G32" s="15">
        <v>-3469.0322708129902</v>
      </c>
      <c r="H32" s="15">
        <v>6517.5850006591199</v>
      </c>
      <c r="I32" s="13"/>
      <c r="J32" s="13">
        <v>6034</v>
      </c>
      <c r="K32" s="14">
        <v>0.61116854491216599</v>
      </c>
      <c r="L32" s="14">
        <v>40.182019977802497</v>
      </c>
      <c r="M32" s="16">
        <v>-1659.4640503547901</v>
      </c>
      <c r="N32" s="14">
        <v>3140.63671134894</v>
      </c>
      <c r="P32" s="15">
        <v>1826.35838773403</v>
      </c>
      <c r="Q32" s="15">
        <v>898.48179698192996</v>
      </c>
      <c r="R32" s="15">
        <v>3584.2470587493299</v>
      </c>
      <c r="S32" s="15">
        <v>1817.6214972942601</v>
      </c>
    </row>
    <row r="33" spans="1:19" x14ac:dyDescent="0.2">
      <c r="A33" s="13" t="s">
        <v>42</v>
      </c>
      <c r="B33" s="13"/>
      <c r="C33" s="13"/>
      <c r="D33" s="13">
        <v>5546</v>
      </c>
      <c r="E33" s="16">
        <v>0.59309718716191895</v>
      </c>
      <c r="F33" s="15">
        <v>43.328125</v>
      </c>
      <c r="G33" s="15">
        <v>-3421.60380800749</v>
      </c>
      <c r="H33" s="15">
        <v>6315.9258581820304</v>
      </c>
      <c r="I33" s="13"/>
      <c r="J33" s="13">
        <v>5363</v>
      </c>
      <c r="K33" s="14">
        <v>0.59792933059854503</v>
      </c>
      <c r="L33" s="14">
        <v>41.8984375</v>
      </c>
      <c r="M33" s="16">
        <v>-1849.80078593946</v>
      </c>
      <c r="N33" s="14">
        <v>3418.0208577589701</v>
      </c>
      <c r="P33" s="15">
        <v>1779.99203321393</v>
      </c>
      <c r="Q33" s="15">
        <v>1011.32245964854</v>
      </c>
      <c r="R33" s="15">
        <v>3447.2119896998302</v>
      </c>
      <c r="S33" s="15">
        <v>1972.25256924666</v>
      </c>
    </row>
    <row r="34" spans="1:19" x14ac:dyDescent="0.2">
      <c r="A34" s="13" t="s">
        <v>43</v>
      </c>
      <c r="B34" s="13"/>
      <c r="C34" s="13"/>
      <c r="D34" s="13">
        <v>6586</v>
      </c>
      <c r="E34" s="16">
        <v>0.57266383237169705</v>
      </c>
      <c r="F34" s="15">
        <v>40.281345565749199</v>
      </c>
      <c r="G34" s="15">
        <v>-2948.4986755749401</v>
      </c>
      <c r="H34" s="15">
        <v>5582.9123240085401</v>
      </c>
      <c r="I34" s="13"/>
      <c r="J34" s="13">
        <v>6956</v>
      </c>
      <c r="K34" s="14">
        <v>0.59736673375503102</v>
      </c>
      <c r="L34" s="14">
        <v>42.544342507645297</v>
      </c>
      <c r="M34" s="16">
        <v>-2127.3983056064098</v>
      </c>
      <c r="N34" s="14">
        <v>3950.2409044237602</v>
      </c>
      <c r="P34" s="15">
        <v>1560.1635476844201</v>
      </c>
      <c r="Q34" s="15">
        <v>1144.0945914106701</v>
      </c>
      <c r="R34" s="15">
        <v>3086.5723198324099</v>
      </c>
      <c r="S34" s="15">
        <v>2250.2156325071901</v>
      </c>
    </row>
    <row r="35" spans="1:19" x14ac:dyDescent="0.2">
      <c r="A35" s="13" t="s">
        <v>44</v>
      </c>
      <c r="B35" s="13"/>
      <c r="C35" s="13"/>
      <c r="D35" s="13">
        <v>8318</v>
      </c>
      <c r="E35" s="16">
        <v>0.58362286607357405</v>
      </c>
      <c r="F35" s="15">
        <v>47.127478753541098</v>
      </c>
      <c r="G35" s="15">
        <v>-4446.0637234384303</v>
      </c>
      <c r="H35" s="15">
        <v>8496.1642376722393</v>
      </c>
      <c r="I35" s="13"/>
      <c r="J35" s="13">
        <v>7565</v>
      </c>
      <c r="K35" s="14">
        <v>0.613564044943819</v>
      </c>
      <c r="L35" s="14">
        <v>42.861189801699702</v>
      </c>
      <c r="M35" s="16">
        <v>-1959.9248581192101</v>
      </c>
      <c r="N35" s="14">
        <v>3679.2986116410102</v>
      </c>
      <c r="P35" s="15">
        <v>2386.6116555814301</v>
      </c>
      <c r="Q35" s="15">
        <v>1059.7584905875799</v>
      </c>
      <c r="R35" s="15">
        <v>4740.4646962361303</v>
      </c>
      <c r="S35" s="15">
        <v>2105.4830025565798</v>
      </c>
    </row>
    <row r="36" spans="1:19" x14ac:dyDescent="0.2">
      <c r="A36" s="13" t="s">
        <v>45</v>
      </c>
      <c r="B36" s="13"/>
      <c r="C36" s="13"/>
      <c r="D36" s="13">
        <v>4172</v>
      </c>
      <c r="E36" s="16">
        <v>0.57002253116011603</v>
      </c>
      <c r="F36" s="15">
        <v>42.212478920742001</v>
      </c>
      <c r="G36" s="15">
        <v>-4184.9013534235801</v>
      </c>
      <c r="H36" s="15">
        <v>7671.9187523373703</v>
      </c>
      <c r="I36" s="13"/>
      <c r="J36" s="13">
        <v>4238</v>
      </c>
      <c r="K36" s="14">
        <v>0.63140302029259099</v>
      </c>
      <c r="L36" s="14">
        <v>42.880269814502498</v>
      </c>
      <c r="M36" s="16">
        <v>-2219.72031558446</v>
      </c>
      <c r="N36" s="14">
        <v>4037.5180815808699</v>
      </c>
      <c r="P36" s="15">
        <v>2157.9239291455901</v>
      </c>
      <c r="Q36" s="15">
        <v>1184.37648386506</v>
      </c>
      <c r="R36" s="15">
        <v>4155.8735125482699</v>
      </c>
      <c r="S36" s="15">
        <v>2323.4480967221398</v>
      </c>
    </row>
    <row r="37" spans="1:19" x14ac:dyDescent="0.2">
      <c r="A37" s="13" t="s">
        <v>46</v>
      </c>
      <c r="B37" s="13"/>
      <c r="C37" s="13"/>
      <c r="D37" s="13">
        <v>7116</v>
      </c>
      <c r="E37" s="16">
        <v>0.59015078695896495</v>
      </c>
      <c r="F37" s="15">
        <v>43.258358662614</v>
      </c>
      <c r="G37" s="15">
        <v>-3071.3950882968002</v>
      </c>
      <c r="H37" s="15">
        <v>5658.60981926162</v>
      </c>
      <c r="I37" s="13"/>
      <c r="J37" s="13">
        <v>7373</v>
      </c>
      <c r="K37" s="14">
        <v>0.61023043537230204</v>
      </c>
      <c r="L37" s="14">
        <v>44.820668693009097</v>
      </c>
      <c r="M37" s="16">
        <v>-1995.3366564877499</v>
      </c>
      <c r="N37" s="14">
        <v>3695.1639598060201</v>
      </c>
      <c r="P37" s="15">
        <v>1587.4766532409801</v>
      </c>
      <c r="Q37" s="15">
        <v>1074.35745656314</v>
      </c>
      <c r="R37" s="15">
        <v>3077.5516278395198</v>
      </c>
      <c r="S37" s="15">
        <v>2114.1319361462201</v>
      </c>
    </row>
    <row r="38" spans="1:19" x14ac:dyDescent="0.2">
      <c r="A38" s="13" t="s">
        <v>47</v>
      </c>
      <c r="B38" s="13"/>
      <c r="C38" s="13"/>
      <c r="D38" s="13">
        <v>8099</v>
      </c>
      <c r="E38" s="16">
        <v>0.59171947153969595</v>
      </c>
      <c r="F38" s="15">
        <v>44.378082191780798</v>
      </c>
      <c r="G38" s="15">
        <v>-4956.1385030413403</v>
      </c>
      <c r="H38" s="15">
        <v>9153.5609083420404</v>
      </c>
      <c r="I38" s="13"/>
      <c r="J38" s="13">
        <v>7842</v>
      </c>
      <c r="K38" s="14">
        <v>0.61255700076511199</v>
      </c>
      <c r="L38" s="14">
        <v>42.9698630136986</v>
      </c>
      <c r="M38" s="16">
        <v>-1856.3482903921299</v>
      </c>
      <c r="N38" s="14">
        <v>3428.0605625417802</v>
      </c>
      <c r="P38" s="15">
        <v>2597.3415862583702</v>
      </c>
      <c r="Q38" s="15">
        <v>993.79223509997905</v>
      </c>
      <c r="R38" s="15">
        <v>5022.1643819481496</v>
      </c>
      <c r="S38" s="15">
        <v>1959.05691562674</v>
      </c>
    </row>
    <row r="39" spans="1:19" x14ac:dyDescent="0.2">
      <c r="A39" s="13" t="s">
        <v>48</v>
      </c>
      <c r="B39" s="13"/>
      <c r="C39" s="13"/>
      <c r="D39" s="13">
        <v>5653</v>
      </c>
      <c r="E39" s="16">
        <v>0.52181549619670997</v>
      </c>
      <c r="F39" s="15">
        <v>40.426698450536399</v>
      </c>
      <c r="G39" s="15">
        <v>-4620.6775103898299</v>
      </c>
      <c r="H39" s="15">
        <v>8874.7463366887096</v>
      </c>
      <c r="I39" s="13"/>
      <c r="J39" s="13">
        <v>6142</v>
      </c>
      <c r="K39" s="14">
        <v>0.54474487137740102</v>
      </c>
      <c r="L39" s="14">
        <v>43.923718712753299</v>
      </c>
      <c r="M39" s="16">
        <v>-2438.80918888202</v>
      </c>
      <c r="N39" s="14">
        <v>4664.62002704324</v>
      </c>
      <c r="P39" s="15">
        <v>2455.79996630098</v>
      </c>
      <c r="Q39" s="15">
        <v>1341.50228247574</v>
      </c>
      <c r="R39" s="15">
        <v>4851.2704502616298</v>
      </c>
      <c r="S39" s="15">
        <v>2656.7218503454501</v>
      </c>
    </row>
    <row r="40" spans="1:19" x14ac:dyDescent="0.2">
      <c r="A40" s="9" t="s">
        <v>49</v>
      </c>
      <c r="B40" s="9"/>
      <c r="C40" s="9"/>
      <c r="D40" s="9">
        <v>5596</v>
      </c>
      <c r="E40" s="12">
        <v>0.59187937812723401</v>
      </c>
      <c r="F40" s="11">
        <v>41.865336658354103</v>
      </c>
      <c r="G40" s="11">
        <v>-2642.0060808293101</v>
      </c>
      <c r="H40" s="11">
        <v>4889.8060705988501</v>
      </c>
      <c r="I40" s="9"/>
      <c r="J40" s="9">
        <v>5859</v>
      </c>
      <c r="K40" s="10">
        <v>0.58917477385219297</v>
      </c>
      <c r="L40" s="10">
        <v>43.832917705735703</v>
      </c>
      <c r="M40" s="12">
        <v>-1801.9275772298499</v>
      </c>
      <c r="N40" s="10">
        <v>3440.7321096329401</v>
      </c>
      <c r="P40" s="11">
        <v>1391.0675805717599</v>
      </c>
      <c r="Q40" s="11">
        <v>984.40960529486904</v>
      </c>
      <c r="R40" s="11">
        <v>2726.2025739360802</v>
      </c>
      <c r="S40" s="11">
        <v>1968.0166797397101</v>
      </c>
    </row>
    <row r="41" spans="1:19" x14ac:dyDescent="0.2">
      <c r="A41" s="9" t="s">
        <v>50</v>
      </c>
      <c r="B41" s="9"/>
      <c r="C41" s="9"/>
      <c r="D41" s="9">
        <v>5802</v>
      </c>
      <c r="E41" s="12">
        <v>0.55563598759048705</v>
      </c>
      <c r="F41" s="11">
        <v>39.739726027397303</v>
      </c>
      <c r="G41" s="11">
        <v>-2703.2797226083399</v>
      </c>
      <c r="H41" s="11">
        <v>5023.8399338400504</v>
      </c>
      <c r="I41" s="9"/>
      <c r="J41" s="9">
        <v>6129</v>
      </c>
      <c r="K41" s="10">
        <v>0.61823919073258105</v>
      </c>
      <c r="L41" s="10">
        <v>41.9794520547945</v>
      </c>
      <c r="M41" s="12">
        <v>-675.97143328941195</v>
      </c>
      <c r="N41" s="10">
        <v>1264.91554180652</v>
      </c>
      <c r="P41" s="11">
        <v>1411.1082424127801</v>
      </c>
      <c r="Q41" s="11">
        <v>364.03913233348197</v>
      </c>
      <c r="R41" s="11">
        <v>2765.1281676715198</v>
      </c>
      <c r="S41" s="11">
        <v>731.60975119883199</v>
      </c>
    </row>
    <row r="42" spans="1:19" x14ac:dyDescent="0.2">
      <c r="A42" s="9" t="s">
        <v>51</v>
      </c>
      <c r="B42" s="9"/>
      <c r="C42" s="9"/>
      <c r="D42" s="9">
        <v>3288</v>
      </c>
      <c r="E42" s="12">
        <v>0.52504957420924603</v>
      </c>
      <c r="F42" s="11">
        <v>38.109661865611699</v>
      </c>
      <c r="G42" s="11">
        <v>-3682.2689776283501</v>
      </c>
      <c r="H42" s="11">
        <v>6941.0899867458902</v>
      </c>
      <c r="I42" s="9"/>
      <c r="J42" s="9">
        <v>3201</v>
      </c>
      <c r="K42" s="10">
        <v>0.53980912214932797</v>
      </c>
      <c r="L42" s="10">
        <v>37.101285776101903</v>
      </c>
      <c r="M42" s="12">
        <v>-1562.2373077351699</v>
      </c>
      <c r="N42" s="10">
        <v>2963.3571899038402</v>
      </c>
      <c r="P42" s="11">
        <v>1972.1054693078499</v>
      </c>
      <c r="Q42" s="11">
        <v>858.20886137356899</v>
      </c>
      <c r="R42" s="11">
        <v>3871.2884616523902</v>
      </c>
      <c r="S42" s="11">
        <v>1700.0629869290201</v>
      </c>
    </row>
    <row r="43" spans="1:19" x14ac:dyDescent="0.2">
      <c r="A43" s="9" t="s">
        <v>52</v>
      </c>
      <c r="B43" s="9"/>
      <c r="C43" s="9"/>
      <c r="D43" s="9">
        <v>3405</v>
      </c>
      <c r="E43" s="12">
        <v>0.55411130690161503</v>
      </c>
      <c r="F43" s="11">
        <v>38.186915887850503</v>
      </c>
      <c r="G43" s="11">
        <v>-3119.45530334369</v>
      </c>
      <c r="H43" s="11">
        <v>5593.7741663114703</v>
      </c>
      <c r="I43" s="9"/>
      <c r="J43" s="9">
        <v>4368</v>
      </c>
      <c r="K43" s="10">
        <v>0.57102724358974499</v>
      </c>
      <c r="L43" s="10">
        <v>48.9869158878505</v>
      </c>
      <c r="M43" s="12">
        <v>-2650.3856672546799</v>
      </c>
      <c r="N43" s="10">
        <v>4928.6844318919702</v>
      </c>
      <c r="P43" s="11">
        <v>1647.0046295519801</v>
      </c>
      <c r="Q43" s="11">
        <v>1480.2606560904101</v>
      </c>
      <c r="R43" s="11">
        <v>3152.4537367407002</v>
      </c>
      <c r="S43" s="11">
        <v>2873.10252995154</v>
      </c>
    </row>
    <row r="44" spans="1:19" x14ac:dyDescent="0.2">
      <c r="A44" s="9" t="s">
        <v>53</v>
      </c>
      <c r="B44" s="9"/>
      <c r="C44" s="9"/>
      <c r="D44" s="9">
        <v>5363</v>
      </c>
      <c r="E44" s="12">
        <v>0.57070557523773902</v>
      </c>
      <c r="F44" s="11">
        <v>38.3071428571429</v>
      </c>
      <c r="G44" s="11">
        <v>-1498.55508672273</v>
      </c>
      <c r="H44" s="11">
        <v>2792.00575043552</v>
      </c>
      <c r="I44" s="9"/>
      <c r="J44" s="9">
        <v>5620</v>
      </c>
      <c r="K44" s="10">
        <v>0.56954003558718802</v>
      </c>
      <c r="L44" s="10">
        <v>40.142857142857103</v>
      </c>
      <c r="M44" s="12">
        <v>-1531.1979250404099</v>
      </c>
      <c r="N44" s="10">
        <v>2838.1644319297502</v>
      </c>
      <c r="P44" s="11">
        <v>790.55112269727795</v>
      </c>
      <c r="Q44" s="11">
        <v>815.81420306581595</v>
      </c>
      <c r="R44" s="11">
        <v>1561.0318484038501</v>
      </c>
      <c r="S44" s="11">
        <v>1588.9657019429001</v>
      </c>
    </row>
    <row r="45" spans="1:19" x14ac:dyDescent="0.2">
      <c r="A45" s="17" t="s">
        <v>54</v>
      </c>
      <c r="B45" s="17"/>
      <c r="C45" s="17"/>
      <c r="D45" s="17">
        <v>7177</v>
      </c>
      <c r="E45" s="20">
        <v>0.62332632018949496</v>
      </c>
      <c r="F45" s="19">
        <v>43.4969696969697</v>
      </c>
      <c r="G45" s="19">
        <v>-3221.1107862225699</v>
      </c>
      <c r="H45" s="19">
        <v>5964.3427622081399</v>
      </c>
      <c r="I45" s="17"/>
      <c r="J45" s="17">
        <v>6869</v>
      </c>
      <c r="K45" s="18">
        <v>0.61813393507061098</v>
      </c>
      <c r="L45" s="18">
        <v>41.630303030302997</v>
      </c>
      <c r="M45" s="20">
        <v>-1772.9006791147799</v>
      </c>
      <c r="N45" s="18">
        <v>3285.1750896705498</v>
      </c>
      <c r="P45" s="19">
        <v>1653.4231689763201</v>
      </c>
      <c r="Q45" s="19">
        <v>947.98857747109105</v>
      </c>
      <c r="R45" s="19">
        <v>3228.1299194800099</v>
      </c>
      <c r="S45" s="19">
        <v>1884.88101360835</v>
      </c>
    </row>
    <row r="46" spans="1:19" x14ac:dyDescent="0.2">
      <c r="A46" s="17" t="s">
        <v>55</v>
      </c>
      <c r="B46" s="17"/>
      <c r="C46" s="17"/>
      <c r="D46" s="17">
        <v>7031</v>
      </c>
      <c r="E46" s="20">
        <v>0.59008746977670301</v>
      </c>
      <c r="F46" s="19">
        <v>44.546990496304097</v>
      </c>
      <c r="G46" s="19">
        <v>-4337.7326442673602</v>
      </c>
      <c r="H46" s="19">
        <v>8017.3401201471197</v>
      </c>
      <c r="I46" s="17"/>
      <c r="J46" s="17">
        <v>7027</v>
      </c>
      <c r="K46" s="18">
        <v>0.59751202504624901</v>
      </c>
      <c r="L46" s="18">
        <v>44.521647307286202</v>
      </c>
      <c r="M46" s="20">
        <v>-2540.7599856751599</v>
      </c>
      <c r="N46" s="18">
        <v>4671.0055762498796</v>
      </c>
      <c r="P46" s="19">
        <v>2247.6191228323701</v>
      </c>
      <c r="Q46" s="19">
        <v>1370.35739853681</v>
      </c>
      <c r="R46" s="19">
        <v>4340.3799252378503</v>
      </c>
      <c r="S46" s="19">
        <v>2664.3743060223001</v>
      </c>
    </row>
    <row r="47" spans="1:19" x14ac:dyDescent="0.2">
      <c r="A47" s="17" t="s">
        <v>56</v>
      </c>
      <c r="B47" s="17"/>
      <c r="C47" s="17"/>
      <c r="D47" s="17">
        <v>6276</v>
      </c>
      <c r="E47" s="20">
        <v>0.58260436583811304</v>
      </c>
      <c r="F47" s="19">
        <v>35.607298474945502</v>
      </c>
      <c r="G47" s="19">
        <v>-2484.8443676066699</v>
      </c>
      <c r="H47" s="19">
        <v>4618.5960468309004</v>
      </c>
      <c r="I47" s="17"/>
      <c r="J47" s="17">
        <v>7091</v>
      </c>
      <c r="K47" s="18">
        <v>0.63506049922436703</v>
      </c>
      <c r="L47" s="18">
        <v>40.231254538852603</v>
      </c>
      <c r="M47" s="20">
        <v>-1861.7843956377901</v>
      </c>
      <c r="N47" s="18">
        <v>3429.9672624137502</v>
      </c>
      <c r="P47" s="19">
        <v>1238.5843415039601</v>
      </c>
      <c r="Q47" s="19">
        <v>974.95660868447703</v>
      </c>
      <c r="R47" s="19">
        <v>2429.9167912298499</v>
      </c>
      <c r="S47" s="19">
        <v>1942.77190699989</v>
      </c>
    </row>
    <row r="48" spans="1:19" x14ac:dyDescent="0.2">
      <c r="A48" s="17" t="s">
        <v>57</v>
      </c>
      <c r="B48" s="17"/>
      <c r="C48" s="17"/>
      <c r="D48" s="17">
        <v>5532</v>
      </c>
      <c r="E48" s="20">
        <v>0.56476283441793196</v>
      </c>
      <c r="F48" s="19">
        <v>38.4166666666667</v>
      </c>
      <c r="G48" s="19">
        <v>-4160.1951194740004</v>
      </c>
      <c r="H48" s="19">
        <v>7807.9440318412499</v>
      </c>
      <c r="I48" s="17"/>
      <c r="J48" s="17">
        <v>5852</v>
      </c>
      <c r="K48" s="18">
        <v>0.61417071086807995</v>
      </c>
      <c r="L48" s="18">
        <v>40.6388888888889</v>
      </c>
      <c r="M48" s="20">
        <v>-1599.9986276085001</v>
      </c>
      <c r="N48" s="18">
        <v>2952.22568749121</v>
      </c>
      <c r="P48" s="19">
        <v>2176.2551113754898</v>
      </c>
      <c r="Q48" s="19">
        <v>854.18442717988796</v>
      </c>
      <c r="R48" s="19">
        <v>4252.1605450581501</v>
      </c>
      <c r="S48" s="19">
        <v>1679.4927201645601</v>
      </c>
    </row>
    <row r="49" spans="1:26" x14ac:dyDescent="0.2">
      <c r="A49" s="17" t="s">
        <v>58</v>
      </c>
      <c r="B49" s="17"/>
      <c r="C49" s="17"/>
      <c r="D49" s="17">
        <v>5045</v>
      </c>
      <c r="E49" s="20">
        <v>0.56999603567888901</v>
      </c>
      <c r="F49" s="19">
        <v>34.126268320180401</v>
      </c>
      <c r="G49" s="19">
        <v>-2653.1182912137201</v>
      </c>
      <c r="H49" s="19">
        <v>4814.7770976186903</v>
      </c>
      <c r="I49" s="17"/>
      <c r="J49" s="17">
        <v>5974</v>
      </c>
      <c r="K49" s="18">
        <v>0.61794275192500903</v>
      </c>
      <c r="L49" s="18">
        <v>40.410372040586203</v>
      </c>
      <c r="M49" s="20">
        <v>-1887.43176536857</v>
      </c>
      <c r="N49" s="18">
        <v>3508.22211836721</v>
      </c>
      <c r="P49" s="19">
        <v>1351.4805825599301</v>
      </c>
      <c r="Q49" s="19">
        <v>1007.59949535534</v>
      </c>
      <c r="R49" s="19">
        <v>2672.19630035621</v>
      </c>
      <c r="S49" s="19">
        <v>1997.2738738621299</v>
      </c>
    </row>
    <row r="50" spans="1:26" x14ac:dyDescent="0.2">
      <c r="A50" s="17" t="s">
        <v>59</v>
      </c>
      <c r="B50" s="17"/>
      <c r="C50" s="17"/>
      <c r="D50" s="17">
        <v>8377</v>
      </c>
      <c r="E50" s="20">
        <v>0.57076029604870604</v>
      </c>
      <c r="F50" s="19">
        <v>47.914204003813197</v>
      </c>
      <c r="G50" s="19">
        <v>-3467.15309239935</v>
      </c>
      <c r="H50" s="19">
        <v>6920.4478822486599</v>
      </c>
      <c r="I50" s="17"/>
      <c r="J50" s="17">
        <v>7674</v>
      </c>
      <c r="K50" s="18">
        <v>0.57354026583268203</v>
      </c>
      <c r="L50" s="18">
        <v>43.893231649189701</v>
      </c>
      <c r="M50" s="20">
        <v>-1410.4077596582699</v>
      </c>
      <c r="N50" s="18">
        <v>2699.2022146220402</v>
      </c>
      <c r="P50" s="19">
        <v>1903.1610825512</v>
      </c>
      <c r="Q50" s="19">
        <v>775.50891407073402</v>
      </c>
      <c r="R50" s="19">
        <v>3901.2726238547498</v>
      </c>
      <c r="S50" s="19">
        <v>1547.7901929560801</v>
      </c>
    </row>
    <row r="51" spans="1:26" x14ac:dyDescent="0.2">
      <c r="A51" s="17" t="s">
        <v>60</v>
      </c>
      <c r="B51" s="17"/>
      <c r="C51" s="17"/>
      <c r="D51" s="17">
        <v>7323</v>
      </c>
      <c r="E51" s="20">
        <v>0.58536842823979196</v>
      </c>
      <c r="F51" s="19">
        <v>44.926380368098201</v>
      </c>
      <c r="G51" s="19">
        <v>-3508.0566356954</v>
      </c>
      <c r="H51" s="19">
        <v>6600.2685393843803</v>
      </c>
      <c r="I51" s="17"/>
      <c r="J51" s="17">
        <v>7324</v>
      </c>
      <c r="K51" s="18">
        <v>0.62370617149098895</v>
      </c>
      <c r="L51" s="18">
        <v>44.932515337423297</v>
      </c>
      <c r="M51" s="20">
        <v>-2708.1047183277901</v>
      </c>
      <c r="N51" s="18">
        <v>4848.8565387063099</v>
      </c>
      <c r="P51" s="19">
        <v>1826.4194778241199</v>
      </c>
      <c r="Q51" s="19">
        <v>1429.8787598973099</v>
      </c>
      <c r="R51" s="19">
        <v>3569.4012423785998</v>
      </c>
      <c r="S51" s="19">
        <v>2724.6189541615199</v>
      </c>
    </row>
    <row r="52" spans="1:26" x14ac:dyDescent="0.2">
      <c r="A52" s="17" t="s">
        <v>61</v>
      </c>
      <c r="B52" s="17"/>
      <c r="C52" s="17"/>
      <c r="D52" s="17">
        <v>5952</v>
      </c>
      <c r="E52" s="20">
        <v>0.559284106182795</v>
      </c>
      <c r="F52" s="19">
        <v>34.875</v>
      </c>
      <c r="G52" s="19">
        <v>-3187.9075994080199</v>
      </c>
      <c r="H52" s="19">
        <v>6031.9760661882401</v>
      </c>
      <c r="I52" s="17"/>
      <c r="J52" s="17">
        <v>6925</v>
      </c>
      <c r="K52" s="18">
        <v>0.60905097472924397</v>
      </c>
      <c r="L52" s="18">
        <v>40.576171875</v>
      </c>
      <c r="M52" s="20">
        <v>-2757.4587196514999</v>
      </c>
      <c r="N52" s="18">
        <v>5127.9738213140299</v>
      </c>
      <c r="P52" s="19">
        <v>1596.9908321973701</v>
      </c>
      <c r="Q52" s="19">
        <v>1440.08951899968</v>
      </c>
      <c r="R52" s="19">
        <v>3156.8793366268901</v>
      </c>
      <c r="S52" s="19">
        <v>2850.19743076962</v>
      </c>
      <c r="T52" s="23"/>
      <c r="U52" s="23"/>
      <c r="V52" s="23"/>
      <c r="W52" s="23"/>
      <c r="X52" s="23"/>
      <c r="Y52" s="23"/>
      <c r="Z52" s="23"/>
    </row>
    <row r="53" spans="1:26" x14ac:dyDescent="0.2">
      <c r="M53" s="4"/>
      <c r="T53" s="23"/>
      <c r="U53" s="23"/>
      <c r="V53" s="23"/>
      <c r="W53" s="23"/>
      <c r="X53" s="23"/>
      <c r="Y53" s="23"/>
      <c r="Z53" s="23"/>
    </row>
    <row r="54" spans="1:26" x14ac:dyDescent="0.2">
      <c r="M54" s="4"/>
      <c r="T54" s="23"/>
      <c r="U54" s="23"/>
      <c r="V54" s="23"/>
      <c r="W54" s="23"/>
      <c r="X54" s="23"/>
      <c r="Y54" s="23"/>
      <c r="Z54" s="23"/>
    </row>
    <row r="55" spans="1:26" x14ac:dyDescent="0.2">
      <c r="A55" s="21" t="s">
        <v>75</v>
      </c>
      <c r="B55" s="5" t="s">
        <v>66</v>
      </c>
      <c r="C55" s="5"/>
      <c r="D55" s="7">
        <f>AVERAGE(D3:D11)</f>
        <v>4531.4444444444443</v>
      </c>
      <c r="E55" s="6">
        <f>AVERAGE(E3:E11)</f>
        <v>0.58178175068268057</v>
      </c>
      <c r="F55" s="8">
        <f>AVERAGE(F3:F11)</f>
        <v>37.822188480648116</v>
      </c>
      <c r="G55" s="8">
        <f>AVERAGE(G3:G11)</f>
        <v>-2528.1467086954162</v>
      </c>
      <c r="H55" s="7">
        <f>AVERAGE(H3:H11)</f>
        <v>4686.3560335759284</v>
      </c>
      <c r="I55" s="5"/>
      <c r="J55" s="7">
        <f>AVERAGE(J3:J11)</f>
        <v>4652.7777777777774</v>
      </c>
      <c r="K55" s="6">
        <f>AVERAGE(K3:K11)</f>
        <v>0.58552639449417998</v>
      </c>
      <c r="L55" s="8">
        <f>AVERAGE(L3:L11)</f>
        <v>38.578895219923737</v>
      </c>
      <c r="M55" s="8">
        <f>AVERAGE(M3:M11)</f>
        <v>-1492.5150874445453</v>
      </c>
      <c r="N55" s="7">
        <f>AVERAGE(N3:N11)</f>
        <v>2821.7566606035166</v>
      </c>
      <c r="O55" s="24"/>
      <c r="P55" s="7">
        <f>AVERAGE(P3:P11)</f>
        <v>1298.4459517181776</v>
      </c>
      <c r="Q55" s="7">
        <f t="shared" ref="Q55:S55" si="0">AVERAGE(Q3:Q11)</f>
        <v>798.90604271210975</v>
      </c>
      <c r="R55" s="7">
        <f t="shared" si="0"/>
        <v>2544.0993625150159</v>
      </c>
      <c r="S55" s="7">
        <f t="shared" si="0"/>
        <v>1593.1456464173677</v>
      </c>
      <c r="T55" s="24"/>
      <c r="U55" s="24"/>
      <c r="V55" s="23"/>
      <c r="W55" s="23"/>
      <c r="X55" s="23"/>
      <c r="Y55" s="23"/>
      <c r="Z55" s="23"/>
    </row>
    <row r="56" spans="1:26" x14ac:dyDescent="0.2">
      <c r="B56" s="9" t="s">
        <v>67</v>
      </c>
      <c r="C56" s="9"/>
      <c r="D56" s="11">
        <f>AVERAGE(D12:D20)</f>
        <v>6155.666666666667</v>
      </c>
      <c r="E56" s="10">
        <f>AVERAGE(E12:E20)</f>
        <v>0.58395964205135953</v>
      </c>
      <c r="F56" s="12">
        <f>AVERAGE(F12:F20)</f>
        <v>39.636588540425088</v>
      </c>
      <c r="G56" s="12">
        <f>AVERAGE(G12:G20)</f>
        <v>-2345.9870906216329</v>
      </c>
      <c r="H56" s="11">
        <f>AVERAGE(H12:H20)</f>
        <v>4336.3793755618381</v>
      </c>
      <c r="I56" s="9"/>
      <c r="J56" s="11">
        <f>AVERAGE(J12:J20)</f>
        <v>6183.4444444444443</v>
      </c>
      <c r="K56" s="10">
        <f>AVERAGE(K12:K20)</f>
        <v>0.60628496792230879</v>
      </c>
      <c r="L56" s="12">
        <f>AVERAGE(L12:L20)</f>
        <v>39.763015064183008</v>
      </c>
      <c r="M56" s="12">
        <f>AVERAGE(M12:M20)</f>
        <v>-1404.3934994550621</v>
      </c>
      <c r="N56" s="11">
        <f>AVERAGE(N12:N20)</f>
        <v>2587.0716580450744</v>
      </c>
      <c r="O56" s="24"/>
      <c r="P56" s="11">
        <f>AVERAGE(P12:P20)</f>
        <v>1203.6821773352106</v>
      </c>
      <c r="Q56" s="11">
        <f t="shared" ref="Q56:S56" si="1">AVERAGE(Q12:Q20)</f>
        <v>732.6344245984269</v>
      </c>
      <c r="R56" s="11">
        <f t="shared" si="1"/>
        <v>2342.3882381888125</v>
      </c>
      <c r="S56" s="11">
        <f t="shared" si="1"/>
        <v>1434.5955814546635</v>
      </c>
      <c r="T56" s="24"/>
      <c r="U56" s="24"/>
      <c r="V56" s="23"/>
      <c r="W56" s="23"/>
      <c r="X56" s="23"/>
      <c r="Y56" s="23"/>
      <c r="Z56" s="23"/>
    </row>
    <row r="57" spans="1:26" x14ac:dyDescent="0.2">
      <c r="B57" s="17" t="s">
        <v>68</v>
      </c>
      <c r="C57" s="17"/>
      <c r="D57" s="19">
        <f>AVERAGE(D21:D31)</f>
        <v>5642.909090909091</v>
      </c>
      <c r="E57" s="18">
        <f>AVERAGE(E21:E31)</f>
        <v>0.58255875176140348</v>
      </c>
      <c r="F57" s="20">
        <f>AVERAGE(F21:F31)</f>
        <v>37.878523875460765</v>
      </c>
      <c r="G57" s="20">
        <f>AVERAGE(G21:G31)</f>
        <v>-2428.9394146917102</v>
      </c>
      <c r="H57" s="19">
        <f>AVERAGE(H21:H31)</f>
        <v>4527.2274161106652</v>
      </c>
      <c r="I57" s="17"/>
      <c r="J57" s="19">
        <f>AVERAGE(J21:J31)</f>
        <v>5797.545454545455</v>
      </c>
      <c r="K57" s="18">
        <f>AVERAGE(K21:K31)</f>
        <v>0.59991917533898353</v>
      </c>
      <c r="L57" s="20">
        <f>AVERAGE(L21:L31)</f>
        <v>38.922761839613777</v>
      </c>
      <c r="M57" s="20">
        <f>AVERAGE(M21:M31)</f>
        <v>-1378.7946824638243</v>
      </c>
      <c r="N57" s="19">
        <f>AVERAGE(N21:N31)</f>
        <v>2564.9620019484896</v>
      </c>
      <c r="O57" s="24"/>
      <c r="P57" s="19">
        <f>AVERAGE(P21:P31)</f>
        <v>1244.7160344627123</v>
      </c>
      <c r="Q57" s="19">
        <f t="shared" ref="Q57:S57" si="2">AVERAGE(Q21:Q31)</f>
        <v>720.43574455278178</v>
      </c>
      <c r="R57" s="19">
        <f t="shared" si="2"/>
        <v>2445.7019775608537</v>
      </c>
      <c r="S57" s="19">
        <f t="shared" si="2"/>
        <v>1421.9509573774155</v>
      </c>
      <c r="T57" s="24"/>
      <c r="U57" s="24"/>
      <c r="V57" s="23"/>
      <c r="W57" s="23"/>
      <c r="X57" s="23"/>
      <c r="Y57" s="23"/>
      <c r="Z57" s="23"/>
    </row>
    <row r="58" spans="1:26" x14ac:dyDescent="0.2">
      <c r="E58" s="3"/>
      <c r="F58" s="4"/>
      <c r="G58" s="4"/>
      <c r="J58"/>
      <c r="K58" s="3"/>
      <c r="L58" s="4"/>
      <c r="M58" s="4"/>
      <c r="N58"/>
      <c r="T58" s="23"/>
      <c r="U58" s="23"/>
      <c r="V58" s="23"/>
      <c r="W58" s="23"/>
      <c r="X58" s="23"/>
      <c r="Y58" s="23"/>
      <c r="Z58" s="23"/>
    </row>
    <row r="59" spans="1:26" x14ac:dyDescent="0.2">
      <c r="A59" t="s">
        <v>76</v>
      </c>
      <c r="B59" s="5" t="s">
        <v>66</v>
      </c>
      <c r="C59" s="5"/>
      <c r="D59" s="7">
        <f>STDEV(D3:D11)/SQRT(COUNT(D3:D11))</f>
        <v>510.53156152058</v>
      </c>
      <c r="E59" s="6">
        <f>STDEV(E3:E11)/SQRT(COUNT(E3:E11))</f>
        <v>5.1733400788809888E-3</v>
      </c>
      <c r="F59" s="8">
        <f>STDEV(F3:F11)/SQRT(COUNT(F3:F11))</f>
        <v>0.86493827646741794</v>
      </c>
      <c r="G59" s="8">
        <f>STDEV(G3:G11)/SQRT(COUNT(G3:G11))</f>
        <v>153.22504335135525</v>
      </c>
      <c r="H59" s="7">
        <f>STDEV(H3:H11)/SQRT(COUNT(H3:H11))</f>
        <v>284.28269763057693</v>
      </c>
      <c r="I59" s="5"/>
      <c r="J59" s="7">
        <f>STDEV(J3:J11)/SQRT(COUNT(J3:J11))</f>
        <v>548.56764947395743</v>
      </c>
      <c r="K59" s="6">
        <f>STDEV(K3:K11)/SQRT(COUNT(K3:K11))</f>
        <v>6.5222514189735665E-3</v>
      </c>
      <c r="L59" s="8">
        <f>STDEV(L3:L11)/SQRT(COUNT(L3:L11))</f>
        <v>0.87250944931924679</v>
      </c>
      <c r="M59" s="8">
        <f>STDEV(M3:M11)/SQRT(COUNT(M3:M11))</f>
        <v>83.918351161934666</v>
      </c>
      <c r="N59" s="7">
        <f>STDEV(N3:N11)/SQRT(COUNT(N3:N11))</f>
        <v>162.14645978791859</v>
      </c>
      <c r="O59" s="24"/>
      <c r="P59" s="7">
        <f>STDEV(P3:P11)/SQRT(COUNT(P3:P11))</f>
        <v>76.597408211031237</v>
      </c>
      <c r="Q59" s="7">
        <f t="shared" ref="Q59:S59" si="3">STDEV(Q3:Q11)/SQRT(COUNT(Q3:Q11))</f>
        <v>45.639098684914252</v>
      </c>
      <c r="R59" s="7">
        <f t="shared" si="3"/>
        <v>145.94298141918622</v>
      </c>
      <c r="S59" s="7">
        <f t="shared" si="3"/>
        <v>92.35336739482814</v>
      </c>
      <c r="T59" s="24"/>
      <c r="U59" s="24"/>
      <c r="V59" s="23"/>
      <c r="W59" s="23"/>
      <c r="X59" s="23"/>
      <c r="Y59" s="23"/>
      <c r="Z59" s="23"/>
    </row>
    <row r="60" spans="1:26" x14ac:dyDescent="0.2">
      <c r="B60" s="9" t="s">
        <v>67</v>
      </c>
      <c r="C60" s="9"/>
      <c r="D60" s="11">
        <f>STDEV(D12:D20)/SQRT(COUNT(D12:D20))</f>
        <v>300.70454306881066</v>
      </c>
      <c r="E60" s="10">
        <f>STDEV(E12:E20)/SQRT(COUNT(E12:E20))</f>
        <v>5.8086098341827049E-3</v>
      </c>
      <c r="F60" s="12">
        <f>STDEV(F12:F20)/SQRT(COUNT(F12:F20))</f>
        <v>0.52322543661934062</v>
      </c>
      <c r="G60" s="12">
        <f>STDEV(G12:G20)/SQRT(COUNT(G12:G20))</f>
        <v>187.70075678000129</v>
      </c>
      <c r="H60" s="11">
        <f>STDEV(H12:H20)/SQRT(COUNT(H12:H20))</f>
        <v>342.50717319770223</v>
      </c>
      <c r="I60" s="9"/>
      <c r="J60" s="11">
        <f>STDEV(J12:J20)/SQRT(COUNT(J12:J20))</f>
        <v>334.40777299873747</v>
      </c>
      <c r="K60" s="10">
        <f>STDEV(K12:K20)/SQRT(COUNT(K12:K20))</f>
        <v>1.1040431819566239E-2</v>
      </c>
      <c r="L60" s="12">
        <f>STDEV(L12:L20)/SQRT(COUNT(L12:L20))</f>
        <v>0.77693636192950699</v>
      </c>
      <c r="M60" s="12">
        <f>STDEV(M12:M20)/SQRT(COUNT(M12:M20))</f>
        <v>117.63778489318861</v>
      </c>
      <c r="N60" s="11">
        <f>STDEV(N12:N20)/SQRT(COUNT(N12:N20))</f>
        <v>206.63819585368279</v>
      </c>
      <c r="O60" s="24"/>
      <c r="P60" s="11">
        <f>STDEV(P12:P20)/SQRT(COUNT(P12:P20))</f>
        <v>93.579994314668639</v>
      </c>
      <c r="Q60" s="11">
        <f t="shared" ref="Q60:S60" si="4">STDEV(Q12:Q20)/SQRT(COUNT(Q12:Q20))</f>
        <v>58.735591343880969</v>
      </c>
      <c r="R60" s="11">
        <f t="shared" si="4"/>
        <v>177.75137028991955</v>
      </c>
      <c r="S60" s="11">
        <f t="shared" si="4"/>
        <v>113.94135807651672</v>
      </c>
      <c r="T60" s="24"/>
      <c r="U60" s="24"/>
      <c r="V60" s="23"/>
      <c r="W60" s="23"/>
      <c r="X60" s="23"/>
      <c r="Y60" s="23"/>
      <c r="Z60" s="23"/>
    </row>
    <row r="61" spans="1:26" x14ac:dyDescent="0.2">
      <c r="B61" s="17" t="s">
        <v>68</v>
      </c>
      <c r="C61" s="17"/>
      <c r="D61" s="19">
        <f>STDEV(D21:D31)/SQRT(COUNT(D21:D31))</f>
        <v>258.22169666412509</v>
      </c>
      <c r="E61" s="18">
        <f>STDEV(E21:E31)/SQRT(COUNT(E21:E31))</f>
        <v>6.2942408721157195E-3</v>
      </c>
      <c r="F61" s="20">
        <f>STDEV(F21:F31)/SQRT(COUNT(F21:F31))</f>
        <v>0.79146198085191999</v>
      </c>
      <c r="G61" s="20">
        <f>STDEV(G21:G31)/SQRT(COUNT(G21:G31))</f>
        <v>179.24951441111827</v>
      </c>
      <c r="H61" s="19">
        <f>STDEV(H21:H31)/SQRT(COUNT(H21:H31))</f>
        <v>324.94171369885913</v>
      </c>
      <c r="I61" s="17"/>
      <c r="J61" s="19">
        <f>STDEV(J21:J31)/SQRT(COUNT(J21:J31))</f>
        <v>254.74741014425803</v>
      </c>
      <c r="K61" s="18">
        <f>STDEV(K21:K31)/SQRT(COUNT(K21:K31))</f>
        <v>7.3452689342622685E-3</v>
      </c>
      <c r="L61" s="20">
        <f>STDEV(L21:L31)/SQRT(COUNT(L21:L31))</f>
        <v>0.69198521314456107</v>
      </c>
      <c r="M61" s="20">
        <f>STDEV(M21:M31)/SQRT(COUNT(M21:M31))</f>
        <v>84.990302070455115</v>
      </c>
      <c r="N61" s="19">
        <f>STDEV(N21:N31)/SQRT(COUNT(N21:N31))</f>
        <v>148.35192733188919</v>
      </c>
      <c r="O61" s="24"/>
      <c r="P61" s="19">
        <f>STDEV(P21:P31)/SQRT(COUNT(P21:P31))</f>
        <v>87.366688704426238</v>
      </c>
      <c r="Q61" s="19">
        <f t="shared" ref="Q61:S61" si="5">STDEV(Q21:Q31)/SQRT(COUNT(Q21:Q31))</f>
        <v>40.919094028500417</v>
      </c>
      <c r="R61" s="19">
        <f t="shared" si="5"/>
        <v>166.89212315910149</v>
      </c>
      <c r="S61" s="19">
        <f t="shared" si="5"/>
        <v>77.324868811225443</v>
      </c>
      <c r="T61" s="24"/>
      <c r="U61" s="24"/>
      <c r="V61" s="23"/>
      <c r="W61" s="23"/>
      <c r="X61" s="23"/>
      <c r="Y61" s="23"/>
      <c r="Z61" s="23"/>
    </row>
    <row r="62" spans="1:26" x14ac:dyDescent="0.2">
      <c r="E62" s="3"/>
      <c r="F62" s="4"/>
      <c r="G62" s="4"/>
      <c r="J62"/>
      <c r="K62" s="3"/>
      <c r="L62" s="4"/>
      <c r="M62" s="4"/>
      <c r="N62"/>
      <c r="T62" s="23"/>
      <c r="U62" s="23"/>
      <c r="V62" s="23"/>
      <c r="W62" s="23"/>
      <c r="X62" s="23"/>
      <c r="Y62" s="23"/>
      <c r="Z62" s="23"/>
    </row>
    <row r="63" spans="1:26" x14ac:dyDescent="0.2">
      <c r="E63" s="3"/>
      <c r="F63" s="4"/>
      <c r="G63" s="4"/>
      <c r="J63"/>
      <c r="K63" s="3"/>
      <c r="L63" s="4"/>
      <c r="M63" s="4"/>
      <c r="N63"/>
      <c r="T63" s="23"/>
      <c r="U63" s="23"/>
      <c r="V63" s="23"/>
      <c r="W63" s="23"/>
      <c r="X63" s="23"/>
      <c r="Y63" s="23"/>
      <c r="Z63" s="23"/>
    </row>
    <row r="64" spans="1:26" x14ac:dyDescent="0.2">
      <c r="A64" t="s">
        <v>75</v>
      </c>
      <c r="B64" s="13" t="s">
        <v>69</v>
      </c>
      <c r="C64" s="13"/>
      <c r="D64" s="15">
        <f>AVERAGE(D32:D39)</f>
        <v>6479.5</v>
      </c>
      <c r="E64" s="14">
        <f>AVERAGE(E32:E39)</f>
        <v>0.57334870233418989</v>
      </c>
      <c r="F64" s="16">
        <f>AVERAGE(F32:F39)</f>
        <v>42.909034872088242</v>
      </c>
      <c r="G64" s="16">
        <f>AVERAGE(G32:G39)</f>
        <v>-3889.7888666231747</v>
      </c>
      <c r="H64" s="15">
        <f>AVERAGE(H32:H39)</f>
        <v>7283.9279046439588</v>
      </c>
      <c r="I64" s="13"/>
      <c r="J64" s="15">
        <f>AVERAGE(J32:J39)</f>
        <v>6439.125</v>
      </c>
      <c r="K64" s="14">
        <f>AVERAGE(K32:K39)</f>
        <v>0.60237049775212093</v>
      </c>
      <c r="L64" s="16">
        <f>AVERAGE(L32:L39)</f>
        <v>42.760063752638871</v>
      </c>
      <c r="M64" s="16">
        <f>AVERAGE(M32:M39)</f>
        <v>-2013.3503064207789</v>
      </c>
      <c r="N64" s="15">
        <f>AVERAGE(N32:N39)</f>
        <v>3751.6949645180739</v>
      </c>
      <c r="O64" s="24"/>
      <c r="P64" s="15">
        <f>AVERAGE(P32:P39)</f>
        <v>2043.9584698949661</v>
      </c>
      <c r="Q64" s="15">
        <f t="shared" ref="Q64:S64" si="6">AVERAGE(Q32:Q39)</f>
        <v>1088.4607245790799</v>
      </c>
      <c r="R64" s="15">
        <f t="shared" si="6"/>
        <v>3995.6695046394088</v>
      </c>
      <c r="S64" s="15">
        <f t="shared" si="6"/>
        <v>2149.866437555655</v>
      </c>
      <c r="T64" s="24"/>
      <c r="U64" s="24"/>
      <c r="V64" s="23"/>
      <c r="W64" s="23"/>
      <c r="X64" s="23"/>
      <c r="Y64" s="23"/>
      <c r="Z64" s="23"/>
    </row>
    <row r="65" spans="1:26" x14ac:dyDescent="0.2">
      <c r="B65" s="9" t="s">
        <v>70</v>
      </c>
      <c r="C65" s="9"/>
      <c r="D65" s="11">
        <f>AVERAGE(D40:D44)</f>
        <v>4690.8</v>
      </c>
      <c r="E65" s="10">
        <f>AVERAGE(E40:E44)</f>
        <v>0.5594763644132642</v>
      </c>
      <c r="F65" s="12">
        <f>AVERAGE(F40:F44)</f>
        <v>39.241756659271303</v>
      </c>
      <c r="G65" s="12">
        <f>AVERAGE(G40:G44)</f>
        <v>-2729.1130342264837</v>
      </c>
      <c r="H65" s="11">
        <f>AVERAGE(H40:H44)</f>
        <v>5048.1031815863562</v>
      </c>
      <c r="I65" s="9"/>
      <c r="J65" s="11">
        <f>AVERAGE(J40:J44)</f>
        <v>5035.3999999999996</v>
      </c>
      <c r="K65" s="10">
        <f>AVERAGE(K40:K44)</f>
        <v>0.57755807318220709</v>
      </c>
      <c r="L65" s="12">
        <f>AVERAGE(L40:L44)</f>
        <v>42.408685713467946</v>
      </c>
      <c r="M65" s="12">
        <f>AVERAGE(M40:M44)</f>
        <v>-1644.3439821099043</v>
      </c>
      <c r="N65" s="11">
        <f>AVERAGE(N40:N44)</f>
        <v>3087.1707410330041</v>
      </c>
      <c r="O65" s="24"/>
      <c r="P65" s="11">
        <f>AVERAGE(P40:P44)</f>
        <v>1442.3674089083295</v>
      </c>
      <c r="Q65" s="11">
        <f t="shared" ref="Q65:S65" si="7">AVERAGE(Q40:Q44)</f>
        <v>900.54649163162924</v>
      </c>
      <c r="R65" s="11">
        <f t="shared" si="7"/>
        <v>2815.2209576809082</v>
      </c>
      <c r="S65" s="11">
        <f t="shared" si="7"/>
        <v>1772.3515299524001</v>
      </c>
      <c r="T65" s="24"/>
      <c r="U65" s="24"/>
      <c r="V65" s="23"/>
      <c r="W65" s="23"/>
      <c r="X65" s="23"/>
      <c r="Y65" s="23"/>
      <c r="Z65" s="23"/>
    </row>
    <row r="66" spans="1:26" x14ac:dyDescent="0.2">
      <c r="B66" s="17" t="s">
        <v>71</v>
      </c>
      <c r="C66" s="17"/>
      <c r="D66" s="19">
        <f>AVERAGE(D45:D52)</f>
        <v>6589.125</v>
      </c>
      <c r="E66" s="18">
        <f>AVERAGE(E45:E52)</f>
        <v>0.58077373204655303</v>
      </c>
      <c r="F66" s="20">
        <f>AVERAGE(F45:F52)</f>
        <v>40.488722253372224</v>
      </c>
      <c r="G66" s="20">
        <f>AVERAGE(G45:G52)</f>
        <v>-3377.5148170358862</v>
      </c>
      <c r="H66" s="19">
        <f>AVERAGE(H45:H52)</f>
        <v>6346.961568308423</v>
      </c>
      <c r="I66" s="17"/>
      <c r="J66" s="19">
        <f>AVERAGE(J45:J52)</f>
        <v>6842</v>
      </c>
      <c r="K66" s="18">
        <f>AVERAGE(K45:K52)</f>
        <v>0.61113966677340392</v>
      </c>
      <c r="L66" s="20">
        <f>AVERAGE(L45:L52)</f>
        <v>42.104298083441236</v>
      </c>
      <c r="M66" s="20">
        <f>AVERAGE(M45:M52)</f>
        <v>-2067.3558313802951</v>
      </c>
      <c r="N66" s="19">
        <f>AVERAGE(N45:N52)</f>
        <v>3815.3285386043722</v>
      </c>
      <c r="O66" s="24"/>
      <c r="P66" s="19">
        <f>AVERAGE(P45:P52)</f>
        <v>1749.2417149775952</v>
      </c>
      <c r="Q66" s="19">
        <f t="shared" ref="Q66:S66" si="8">AVERAGE(Q45:Q52)</f>
        <v>1100.0704625244161</v>
      </c>
      <c r="R66" s="19">
        <f t="shared" si="8"/>
        <v>3443.7920855277894</v>
      </c>
      <c r="S66" s="19">
        <f t="shared" si="8"/>
        <v>2161.4250498180563</v>
      </c>
      <c r="T66" s="24"/>
      <c r="U66" s="24"/>
      <c r="V66" s="23"/>
      <c r="W66" s="23"/>
      <c r="X66" s="23"/>
      <c r="Y66" s="23"/>
      <c r="Z66" s="23"/>
    </row>
    <row r="67" spans="1:26" x14ac:dyDescent="0.2">
      <c r="E67" s="3"/>
      <c r="F67" s="4"/>
      <c r="G67" s="4"/>
      <c r="J67"/>
      <c r="K67" s="3"/>
      <c r="L67" s="4"/>
      <c r="M67" s="4"/>
      <c r="N67"/>
      <c r="T67" s="23"/>
      <c r="U67" s="23"/>
      <c r="V67" s="23"/>
      <c r="W67" s="23"/>
      <c r="X67" s="23"/>
      <c r="Y67" s="23"/>
      <c r="Z67" s="23"/>
    </row>
    <row r="68" spans="1:26" x14ac:dyDescent="0.2">
      <c r="A68" t="s">
        <v>76</v>
      </c>
      <c r="B68" s="13" t="s">
        <v>69</v>
      </c>
      <c r="C68" s="13"/>
      <c r="D68" s="15">
        <f>STDEV(D32:D39)/SQRT(COUNT(D32:D39))</f>
        <v>487.63716019187871</v>
      </c>
      <c r="E68" s="14">
        <f>STDEV(E32:E39)/SQRT(COUNT(E32:E39))</f>
        <v>8.3191977037232381E-3</v>
      </c>
      <c r="F68" s="16">
        <f>STDEV(F32:F39)/SQRT(COUNT(F32:F39))</f>
        <v>0.78176298904592367</v>
      </c>
      <c r="G68" s="16">
        <f>STDEV(G32:G39)/SQRT(COUNT(G32:G39))</f>
        <v>267.92395693095557</v>
      </c>
      <c r="H68" s="15">
        <f>STDEV(H32:H39)/SQRT(COUNT(H32:H39))</f>
        <v>512.44698279668569</v>
      </c>
      <c r="I68" s="13"/>
      <c r="J68" s="15">
        <f>STDEV(J32:J39)/SQRT(COUNT(J32:J39))</f>
        <v>435.69199628292455</v>
      </c>
      <c r="K68" s="14">
        <f>STDEV(K32:K39)/SQRT(COUNT(K32:K39))</f>
        <v>9.040194367731352E-3</v>
      </c>
      <c r="L68" s="16">
        <f>STDEV(L32:L39)/SQRT(COUNT(L32:L39))</f>
        <v>0.48373772504316359</v>
      </c>
      <c r="M68" s="16">
        <f>STDEV(M32:M39)/SQRT(COUNT(M32:M39))</f>
        <v>86.232981602054423</v>
      </c>
      <c r="N68" s="15">
        <f>STDEV(N32:N39)/SQRT(COUNT(N32:N39))</f>
        <v>166.50044643445597</v>
      </c>
      <c r="O68" s="24"/>
      <c r="P68" s="15">
        <f>STDEV(P32:P39)/SQRT(COUNT(P32:P39))</f>
        <v>144.27818332900895</v>
      </c>
      <c r="Q68" s="15">
        <f t="shared" ref="Q68:S68" si="9">STDEV(Q32:Q39)/SQRT(COUNT(Q32:Q39))</f>
        <v>47.874862587149678</v>
      </c>
      <c r="R68" s="15">
        <f t="shared" si="9"/>
        <v>283.64974990123289</v>
      </c>
      <c r="S68" s="15">
        <f t="shared" si="9"/>
        <v>92.455729454092591</v>
      </c>
      <c r="T68" s="24"/>
      <c r="U68" s="24"/>
      <c r="V68" s="23"/>
      <c r="W68" s="23"/>
      <c r="X68" s="23"/>
      <c r="Y68" s="23"/>
      <c r="Z68" s="23"/>
    </row>
    <row r="69" spans="1:26" x14ac:dyDescent="0.2">
      <c r="B69" s="9" t="s">
        <v>70</v>
      </c>
      <c r="C69" s="9"/>
      <c r="D69" s="11">
        <f t="shared" ref="D69:H69" si="10">STDEV(D40:D44)/SQRT(COUNT(D40:D44))</f>
        <v>553.49502256117887</v>
      </c>
      <c r="E69" s="10">
        <f t="shared" si="10"/>
        <v>1.0965369791949394E-2</v>
      </c>
      <c r="F69" s="12">
        <f t="shared" si="10"/>
        <v>0.72107475816280076</v>
      </c>
      <c r="G69" s="12">
        <f t="shared" si="10"/>
        <v>359.40236386158023</v>
      </c>
      <c r="H69" s="11">
        <f t="shared" si="10"/>
        <v>670.70031189282133</v>
      </c>
      <c r="I69" s="9"/>
      <c r="J69" s="11">
        <f t="shared" ref="J69:P69" si="11">STDEV(J40:J44)/SQRT(COUNT(J40:J44))</f>
        <v>548.92992266773012</v>
      </c>
      <c r="K69" s="10">
        <f t="shared" si="11"/>
        <v>1.2887639476892223E-2</v>
      </c>
      <c r="L69" s="12">
        <f t="shared" si="11"/>
        <v>1.9847955025045243</v>
      </c>
      <c r="M69" s="12">
        <f t="shared" si="11"/>
        <v>315.77217983985025</v>
      </c>
      <c r="N69" s="11">
        <f>STDEV(N40:N44)/SQRT(COUNT(N40:N44))</f>
        <v>587.96795250726348</v>
      </c>
      <c r="O69" s="24"/>
      <c r="P69" s="11">
        <f t="shared" si="11"/>
        <v>193.7746221201235</v>
      </c>
      <c r="Q69" s="11">
        <f t="shared" ref="Q69:S69" si="12">STDEV(Q40:Q44)/SQRT(COUNT(Q40:Q44))</f>
        <v>178.87337931480675</v>
      </c>
      <c r="R69" s="11">
        <f t="shared" si="12"/>
        <v>374.99522678972824</v>
      </c>
      <c r="S69" s="11">
        <f t="shared" si="12"/>
        <v>344.37893810820628</v>
      </c>
      <c r="T69" s="24"/>
      <c r="U69" s="24"/>
      <c r="V69" s="23"/>
      <c r="W69" s="23"/>
      <c r="X69" s="23"/>
      <c r="Y69" s="23"/>
      <c r="Z69" s="23"/>
    </row>
    <row r="70" spans="1:26" x14ac:dyDescent="0.2">
      <c r="B70" s="17" t="s">
        <v>71</v>
      </c>
      <c r="C70" s="17"/>
      <c r="D70" s="19">
        <f t="shared" ref="D70:H70" si="13">STDEV(D45:D52)/SQRT(COUNT(D45:D52))</f>
        <v>384.56215536540475</v>
      </c>
      <c r="E70" s="18">
        <f t="shared" si="13"/>
        <v>7.1420678071535673E-3</v>
      </c>
      <c r="F70" s="20">
        <f t="shared" si="13"/>
        <v>1.8920231642713665</v>
      </c>
      <c r="G70" s="20">
        <f t="shared" si="13"/>
        <v>229.19528845995035</v>
      </c>
      <c r="H70" s="19">
        <f t="shared" si="13"/>
        <v>441.1457259319227</v>
      </c>
      <c r="I70" s="17"/>
      <c r="J70" s="19">
        <f t="shared" ref="J70:P70" si="14">STDEV(J45:J52)/SQRT(COUNT(J45:J52))</f>
        <v>222.08090546336615</v>
      </c>
      <c r="K70" s="18">
        <f t="shared" si="14"/>
        <v>6.598569184004836E-3</v>
      </c>
      <c r="L70" s="20">
        <f t="shared" si="14"/>
        <v>0.70871634580967557</v>
      </c>
      <c r="M70" s="20">
        <f t="shared" si="14"/>
        <v>185.27259222678191</v>
      </c>
      <c r="N70" s="19">
        <f t="shared" si="14"/>
        <v>328.36080456589292</v>
      </c>
      <c r="O70" s="24"/>
      <c r="P70" s="19">
        <f t="shared" si="14"/>
        <v>127.59551441720392</v>
      </c>
      <c r="Q70" s="19">
        <f t="shared" ref="Q70:S70" si="15">STDEV(Q45:Q52)/SQRT(COUNT(Q45:Q52))</f>
        <v>95.485123806449494</v>
      </c>
      <c r="R70" s="19">
        <f t="shared" si="15"/>
        <v>247.65066436344293</v>
      </c>
      <c r="S70" s="19">
        <f t="shared" si="15"/>
        <v>179.51276507953992</v>
      </c>
      <c r="T70" s="24"/>
      <c r="U70" s="24"/>
      <c r="V70" s="23"/>
      <c r="W70" s="23"/>
      <c r="X70" s="23"/>
      <c r="Y70" s="23"/>
      <c r="Z70" s="23"/>
    </row>
    <row r="71" spans="1:26" x14ac:dyDescent="0.2">
      <c r="J71"/>
      <c r="K71" s="3"/>
      <c r="L71" s="4"/>
      <c r="M71" s="4"/>
      <c r="N71"/>
      <c r="T71" s="23"/>
      <c r="U71" s="23"/>
      <c r="V71" s="23"/>
      <c r="W71" s="23"/>
      <c r="X71" s="23"/>
      <c r="Y71" s="23"/>
      <c r="Z71" s="23"/>
    </row>
    <row r="72" spans="1:26" x14ac:dyDescent="0.2">
      <c r="J72"/>
      <c r="K72" s="3"/>
      <c r="L72" s="4"/>
      <c r="M72" s="4"/>
      <c r="N72"/>
      <c r="T72" s="23"/>
      <c r="U72" s="23"/>
      <c r="V72" s="23"/>
      <c r="W72" s="23"/>
      <c r="X72" s="23"/>
      <c r="Y72" s="23"/>
      <c r="Z72" s="23"/>
    </row>
    <row r="73" spans="1:26" x14ac:dyDescent="0.2">
      <c r="T73" s="23"/>
      <c r="U73" s="23"/>
      <c r="V73" s="23"/>
      <c r="W73" s="23"/>
      <c r="X73" s="23"/>
      <c r="Y73" s="23"/>
      <c r="Z73" s="23"/>
    </row>
    <row r="74" spans="1:26" x14ac:dyDescent="0.2">
      <c r="T74" s="23"/>
      <c r="U74" s="23"/>
      <c r="V74" s="23"/>
      <c r="W74" s="23"/>
      <c r="X74" s="23"/>
      <c r="Y74" s="23"/>
      <c r="Z74" s="23"/>
    </row>
    <row r="75" spans="1:26" x14ac:dyDescent="0.2">
      <c r="T75" s="23"/>
      <c r="U75" s="23"/>
      <c r="V75" s="23"/>
      <c r="W75" s="23"/>
      <c r="X75" s="23"/>
      <c r="Y75" s="23"/>
      <c r="Z75" s="23"/>
    </row>
    <row r="76" spans="1:26" x14ac:dyDescent="0.2">
      <c r="T76" s="23"/>
      <c r="U76" s="23"/>
      <c r="V76" s="23"/>
      <c r="W76" s="23"/>
      <c r="X76" s="23"/>
      <c r="Y76" s="23"/>
      <c r="Z76" s="23"/>
    </row>
    <row r="77" spans="1:26" x14ac:dyDescent="0.2">
      <c r="T77" s="23"/>
      <c r="U77" s="23"/>
      <c r="V77" s="23"/>
      <c r="W77" s="23"/>
      <c r="X77" s="23"/>
      <c r="Y77" s="23"/>
      <c r="Z77" s="23"/>
    </row>
    <row r="78" spans="1:26" x14ac:dyDescent="0.2">
      <c r="T78" s="23"/>
      <c r="U78" s="23"/>
      <c r="V78" s="23"/>
      <c r="W78" s="23"/>
      <c r="X78" s="23"/>
      <c r="Y78" s="23"/>
      <c r="Z78" s="23"/>
    </row>
    <row r="79" spans="1:26" x14ac:dyDescent="0.2">
      <c r="T79" s="23"/>
      <c r="U79" s="23"/>
      <c r="V79" s="23"/>
      <c r="W79" s="23"/>
      <c r="X79" s="23"/>
      <c r="Y79" s="23"/>
      <c r="Z79" s="23"/>
    </row>
    <row r="80" spans="1:26" x14ac:dyDescent="0.2">
      <c r="T80" s="23"/>
      <c r="U80" s="23"/>
      <c r="V80" s="23"/>
      <c r="W80" s="23"/>
      <c r="X80" s="23"/>
      <c r="Y80" s="23"/>
      <c r="Z80" s="23"/>
    </row>
  </sheetData>
  <mergeCells count="2">
    <mergeCell ref="J1:N1"/>
    <mergeCell ref="D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SlowSpi-scaleEnv2-3.5</vt:lpstr>
      <vt:lpstr>BrdBdSpi-scaleEnv2-3.5</vt:lpstr>
      <vt:lpstr>Ripples</vt:lpstr>
      <vt:lpstr>SlowWaves</vt:lpstr>
    </vt:vector>
  </TitlesOfParts>
  <Company>University of Birmingham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Ngo</dc:creator>
  <cp:lastModifiedBy>IBS Charles</cp:lastModifiedBy>
  <dcterms:created xsi:type="dcterms:W3CDTF">2017-02-26T15:36:57Z</dcterms:created>
  <dcterms:modified xsi:type="dcterms:W3CDTF">2017-04-03T15:38:20Z</dcterms:modified>
</cp:coreProperties>
</file>