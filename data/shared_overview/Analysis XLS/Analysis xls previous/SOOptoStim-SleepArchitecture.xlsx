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9320" yWindow="1300" windowWidth="19660" windowHeight="16220" activeTab="1"/>
  </bookViews>
  <sheets>
    <sheet name="SleepArchitecture-FConly" sheetId="6" r:id="rId1"/>
    <sheet name="SleepArchitecture-ARConly" sheetId="7" r:id="rId2"/>
    <sheet name="SleepArchitecture" sheetId="5" r:id="rId3"/>
  </sheets>
  <definedNames>
    <definedName name="SOOptoStim_SleepArchitecture" localSheetId="2">SleepArchitecture!$V$4:$V$219</definedName>
    <definedName name="SOOptoStim_SleepArchitecture" localSheetId="1">'SleepArchitecture-ARConly'!$U$4:$U$187</definedName>
    <definedName name="SOOptoStim_SleepArchitecture" localSheetId="0">'SleepArchitecture-FConly'!$V$4:$V$195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5" i="7" l="1"/>
  <c r="N33" i="7"/>
  <c r="N34" i="7"/>
  <c r="D33" i="7"/>
  <c r="E33" i="7"/>
  <c r="F33" i="7"/>
  <c r="G33" i="7"/>
  <c r="H33" i="7"/>
  <c r="D34" i="7"/>
  <c r="E34" i="7"/>
  <c r="F34" i="7"/>
  <c r="G34" i="7"/>
  <c r="H34" i="7"/>
  <c r="D35" i="7"/>
  <c r="E35" i="7"/>
  <c r="F35" i="7"/>
  <c r="G35" i="7"/>
  <c r="H35" i="7"/>
  <c r="C35" i="7"/>
  <c r="C34" i="7"/>
  <c r="C33" i="7"/>
  <c r="C30" i="7"/>
  <c r="N31" i="7"/>
  <c r="N30" i="7"/>
  <c r="N29" i="7"/>
  <c r="N28" i="7"/>
  <c r="N27" i="7"/>
  <c r="N26" i="7"/>
  <c r="H31" i="7"/>
  <c r="H30" i="7"/>
  <c r="H29" i="7"/>
  <c r="H28" i="7"/>
  <c r="H27" i="7"/>
  <c r="H26" i="7"/>
  <c r="D26" i="7"/>
  <c r="E26" i="7"/>
  <c r="F26" i="7"/>
  <c r="G26" i="7"/>
  <c r="D27" i="7"/>
  <c r="E27" i="7"/>
  <c r="F27" i="7"/>
  <c r="G27" i="7"/>
  <c r="D28" i="7"/>
  <c r="E28" i="7"/>
  <c r="F28" i="7"/>
  <c r="G28" i="7"/>
  <c r="D29" i="7"/>
  <c r="E29" i="7"/>
  <c r="F29" i="7"/>
  <c r="G29" i="7"/>
  <c r="D30" i="7"/>
  <c r="E30" i="7"/>
  <c r="F30" i="7"/>
  <c r="G30" i="7"/>
  <c r="D31" i="7"/>
  <c r="E31" i="7"/>
  <c r="F31" i="7"/>
  <c r="G31" i="7"/>
  <c r="C31" i="7"/>
  <c r="C29" i="7"/>
  <c r="C28" i="7"/>
  <c r="C27" i="7"/>
  <c r="C26" i="7"/>
  <c r="J4" i="7"/>
  <c r="J5" i="7"/>
  <c r="J6" i="7"/>
  <c r="J7" i="7"/>
  <c r="J8" i="7"/>
  <c r="J9" i="7"/>
  <c r="J10" i="7"/>
  <c r="J11" i="7"/>
  <c r="J27" i="7"/>
  <c r="J12" i="7"/>
  <c r="J13" i="7"/>
  <c r="J14" i="7"/>
  <c r="J15" i="7"/>
  <c r="J16" i="7"/>
  <c r="J28" i="7"/>
  <c r="J17" i="7"/>
  <c r="J18" i="7"/>
  <c r="J19" i="7"/>
  <c r="J20" i="7"/>
  <c r="J21" i="7"/>
  <c r="J22" i="7"/>
  <c r="J23" i="7"/>
  <c r="J24" i="7"/>
  <c r="J31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M17" i="7"/>
  <c r="M18" i="7"/>
  <c r="M30" i="7"/>
  <c r="L19" i="7"/>
  <c r="K19" i="7"/>
  <c r="L18" i="7"/>
  <c r="L17" i="7"/>
  <c r="L31" i="7"/>
  <c r="K18" i="7"/>
  <c r="M31" i="7"/>
  <c r="L30" i="7"/>
  <c r="K17" i="7"/>
  <c r="K31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M29" i="7"/>
  <c r="L12" i="7"/>
  <c r="L29" i="7"/>
  <c r="K12" i="7"/>
  <c r="K28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M4" i="7"/>
  <c r="M5" i="7"/>
  <c r="M26" i="7"/>
  <c r="L6" i="7"/>
  <c r="K6" i="7"/>
  <c r="L5" i="7"/>
  <c r="L4" i="7"/>
  <c r="L27" i="7"/>
  <c r="K5" i="7"/>
  <c r="M27" i="7"/>
  <c r="L26" i="7"/>
  <c r="K4" i="7"/>
  <c r="K27" i="7"/>
  <c r="J26" i="7"/>
  <c r="L28" i="7"/>
  <c r="K29" i="7"/>
  <c r="J30" i="7"/>
  <c r="J29" i="7"/>
  <c r="K26" i="7"/>
  <c r="M28" i="7"/>
  <c r="K30" i="7"/>
  <c r="J11" i="6"/>
  <c r="K11" i="6"/>
  <c r="L11" i="6"/>
  <c r="M11" i="6"/>
  <c r="J19" i="5"/>
  <c r="K19" i="5"/>
  <c r="L19" i="5"/>
  <c r="M19" i="5"/>
  <c r="O43" i="6"/>
  <c r="H43" i="6"/>
  <c r="G43" i="6"/>
  <c r="F43" i="6"/>
  <c r="E43" i="6"/>
  <c r="D43" i="6"/>
  <c r="C43" i="6"/>
  <c r="O42" i="6"/>
  <c r="H42" i="6"/>
  <c r="G42" i="6"/>
  <c r="F42" i="6"/>
  <c r="E42" i="6"/>
  <c r="D42" i="6"/>
  <c r="C42" i="6"/>
  <c r="O41" i="6"/>
  <c r="H41" i="6"/>
  <c r="G41" i="6"/>
  <c r="F41" i="6"/>
  <c r="E41" i="6"/>
  <c r="D41" i="6"/>
  <c r="C41" i="6"/>
  <c r="O39" i="6"/>
  <c r="H39" i="6"/>
  <c r="G39" i="6"/>
  <c r="F39" i="6"/>
  <c r="E39" i="6"/>
  <c r="D39" i="6"/>
  <c r="C39" i="6"/>
  <c r="O38" i="6"/>
  <c r="H38" i="6"/>
  <c r="G38" i="6"/>
  <c r="F38" i="6"/>
  <c r="E38" i="6"/>
  <c r="D38" i="6"/>
  <c r="C38" i="6"/>
  <c r="O37" i="6"/>
  <c r="H37" i="6"/>
  <c r="G37" i="6"/>
  <c r="F37" i="6"/>
  <c r="E37" i="6"/>
  <c r="D37" i="6"/>
  <c r="C37" i="6"/>
  <c r="O36" i="6"/>
  <c r="H36" i="6"/>
  <c r="G36" i="6"/>
  <c r="F36" i="6"/>
  <c r="E36" i="6"/>
  <c r="D36" i="6"/>
  <c r="C36" i="6"/>
  <c r="O35" i="6"/>
  <c r="H35" i="6"/>
  <c r="G35" i="6"/>
  <c r="F35" i="6"/>
  <c r="E35" i="6"/>
  <c r="D35" i="6"/>
  <c r="C35" i="6"/>
  <c r="O34" i="6"/>
  <c r="H34" i="6"/>
  <c r="G34" i="6"/>
  <c r="F34" i="6"/>
  <c r="E34" i="6"/>
  <c r="D34" i="6"/>
  <c r="C34" i="6"/>
  <c r="M32" i="6"/>
  <c r="L32" i="6"/>
  <c r="K32" i="6"/>
  <c r="J32" i="6"/>
  <c r="M31" i="6"/>
  <c r="L31" i="6"/>
  <c r="K31" i="6"/>
  <c r="J31" i="6"/>
  <c r="M30" i="6"/>
  <c r="L30" i="6"/>
  <c r="K30" i="6"/>
  <c r="J30" i="6"/>
  <c r="M29" i="6"/>
  <c r="L29" i="6"/>
  <c r="K29" i="6"/>
  <c r="J29" i="6"/>
  <c r="M28" i="6"/>
  <c r="L28" i="6"/>
  <c r="K28" i="6"/>
  <c r="J28" i="6"/>
  <c r="M27" i="6"/>
  <c r="L27" i="6"/>
  <c r="K27" i="6"/>
  <c r="J27" i="6"/>
  <c r="M26" i="6"/>
  <c r="L26" i="6"/>
  <c r="K26" i="6"/>
  <c r="J26" i="6"/>
  <c r="M25" i="6"/>
  <c r="L25" i="6"/>
  <c r="K25" i="6"/>
  <c r="J25" i="6"/>
  <c r="M24" i="6"/>
  <c r="L24" i="6"/>
  <c r="K24" i="6"/>
  <c r="J24" i="6"/>
  <c r="M23" i="6"/>
  <c r="L23" i="6"/>
  <c r="K23" i="6"/>
  <c r="J23" i="6"/>
  <c r="M22" i="6"/>
  <c r="L22" i="6"/>
  <c r="L38" i="6"/>
  <c r="K22" i="6"/>
  <c r="J22" i="6"/>
  <c r="J38" i="6"/>
  <c r="K39" i="6"/>
  <c r="M21" i="6"/>
  <c r="L21" i="6"/>
  <c r="K21" i="6"/>
  <c r="J21" i="6"/>
  <c r="M20" i="6"/>
  <c r="L20" i="6"/>
  <c r="K20" i="6"/>
  <c r="J20" i="6"/>
  <c r="M19" i="6"/>
  <c r="L19" i="6"/>
  <c r="K19" i="6"/>
  <c r="J19" i="6"/>
  <c r="M18" i="6"/>
  <c r="L18" i="6"/>
  <c r="K18" i="6"/>
  <c r="J18" i="6"/>
  <c r="M17" i="6"/>
  <c r="L17" i="6"/>
  <c r="K17" i="6"/>
  <c r="J17" i="6"/>
  <c r="M16" i="6"/>
  <c r="L16" i="6"/>
  <c r="K16" i="6"/>
  <c r="J16" i="6"/>
  <c r="M15" i="6"/>
  <c r="L15" i="6"/>
  <c r="K15" i="6"/>
  <c r="J15" i="6"/>
  <c r="M14" i="6"/>
  <c r="L14" i="6"/>
  <c r="K14" i="6"/>
  <c r="J14" i="6"/>
  <c r="M13" i="6"/>
  <c r="L13" i="6"/>
  <c r="K13" i="6"/>
  <c r="J13" i="6"/>
  <c r="M37" i="6"/>
  <c r="M12" i="6"/>
  <c r="L12" i="6"/>
  <c r="K12" i="6"/>
  <c r="J12" i="6"/>
  <c r="M10" i="6"/>
  <c r="L10" i="6"/>
  <c r="K10" i="6"/>
  <c r="J10" i="6"/>
  <c r="M9" i="6"/>
  <c r="L9" i="6"/>
  <c r="K9" i="6"/>
  <c r="J9" i="6"/>
  <c r="M8" i="6"/>
  <c r="L8" i="6"/>
  <c r="K8" i="6"/>
  <c r="J8" i="6"/>
  <c r="M7" i="6"/>
  <c r="L7" i="6"/>
  <c r="K7" i="6"/>
  <c r="J7" i="6"/>
  <c r="M6" i="6"/>
  <c r="L6" i="6"/>
  <c r="K6" i="6"/>
  <c r="J6" i="6"/>
  <c r="M5" i="6"/>
  <c r="L5" i="6"/>
  <c r="K5" i="6"/>
  <c r="J5" i="6"/>
  <c r="M4" i="6"/>
  <c r="M35" i="6"/>
  <c r="L4" i="6"/>
  <c r="L34" i="6"/>
  <c r="K4" i="6"/>
  <c r="K35" i="6"/>
  <c r="J4" i="6"/>
  <c r="J34" i="6"/>
  <c r="L35" i="6"/>
  <c r="J43" i="6"/>
  <c r="L41" i="6"/>
  <c r="M34" i="6"/>
  <c r="M42" i="6"/>
  <c r="K41" i="6"/>
  <c r="K37" i="6"/>
  <c r="M39" i="6"/>
  <c r="L42" i="6"/>
  <c r="K34" i="6"/>
  <c r="M36" i="6"/>
  <c r="J37" i="6"/>
  <c r="K38" i="6"/>
  <c r="L39" i="6"/>
  <c r="M41" i="6"/>
  <c r="J42" i="6"/>
  <c r="K43" i="6"/>
  <c r="J41" i="6"/>
  <c r="K42" i="6"/>
  <c r="L43" i="6"/>
  <c r="J36" i="6"/>
  <c r="J35" i="6"/>
  <c r="K36" i="6"/>
  <c r="L37" i="6"/>
  <c r="M38" i="6"/>
  <c r="J39" i="6"/>
  <c r="M43" i="6"/>
  <c r="L36" i="6"/>
  <c r="J51" i="5"/>
  <c r="K51" i="5"/>
  <c r="L51" i="5"/>
  <c r="M51" i="5"/>
  <c r="J52" i="5"/>
  <c r="K52" i="5"/>
  <c r="L52" i="5"/>
  <c r="M52" i="5"/>
  <c r="J53" i="5"/>
  <c r="K53" i="5"/>
  <c r="L53" i="5"/>
  <c r="M53" i="5"/>
  <c r="J54" i="5"/>
  <c r="K54" i="5"/>
  <c r="L54" i="5"/>
  <c r="M54" i="5"/>
  <c r="J55" i="5"/>
  <c r="K55" i="5"/>
  <c r="L55" i="5"/>
  <c r="M55" i="5"/>
  <c r="J29" i="5"/>
  <c r="K29" i="5"/>
  <c r="L29" i="5"/>
  <c r="M29" i="5"/>
  <c r="J30" i="5"/>
  <c r="K30" i="5"/>
  <c r="L30" i="5"/>
  <c r="M30" i="5"/>
  <c r="J31" i="5"/>
  <c r="K31" i="5"/>
  <c r="L31" i="5"/>
  <c r="M31" i="5"/>
  <c r="J32" i="5"/>
  <c r="K32" i="5"/>
  <c r="L32" i="5"/>
  <c r="M32" i="5"/>
  <c r="J33" i="5"/>
  <c r="K33" i="5"/>
  <c r="L33" i="5"/>
  <c r="M33" i="5"/>
  <c r="J34" i="5"/>
  <c r="K34" i="5"/>
  <c r="L34" i="5"/>
  <c r="M34" i="5"/>
  <c r="J35" i="5"/>
  <c r="K35" i="5"/>
  <c r="L35" i="5"/>
  <c r="M35" i="5"/>
  <c r="J12" i="5"/>
  <c r="K12" i="5"/>
  <c r="L12" i="5"/>
  <c r="M12" i="5"/>
  <c r="J13" i="5"/>
  <c r="K13" i="5"/>
  <c r="L13" i="5"/>
  <c r="M13" i="5"/>
  <c r="J14" i="5"/>
  <c r="K14" i="5"/>
  <c r="L14" i="5"/>
  <c r="M14" i="5"/>
  <c r="J15" i="5"/>
  <c r="K15" i="5"/>
  <c r="L15" i="5"/>
  <c r="M15" i="5"/>
  <c r="J16" i="5"/>
  <c r="K16" i="5"/>
  <c r="L16" i="5"/>
  <c r="M16" i="5"/>
  <c r="J17" i="5"/>
  <c r="K17" i="5"/>
  <c r="L17" i="5"/>
  <c r="M17" i="5"/>
  <c r="C59" i="5"/>
  <c r="C58" i="5"/>
  <c r="D58" i="5"/>
  <c r="E58" i="5"/>
  <c r="F58" i="5"/>
  <c r="G58" i="5"/>
  <c r="H58" i="5"/>
  <c r="D59" i="5"/>
  <c r="E59" i="5"/>
  <c r="F59" i="5"/>
  <c r="G59" i="5"/>
  <c r="H59" i="5"/>
  <c r="C60" i="5"/>
  <c r="D60" i="5"/>
  <c r="E60" i="5"/>
  <c r="F60" i="5"/>
  <c r="G60" i="5"/>
  <c r="H60" i="5"/>
  <c r="C61" i="5"/>
  <c r="D61" i="5"/>
  <c r="E61" i="5"/>
  <c r="F61" i="5"/>
  <c r="G61" i="5"/>
  <c r="H61" i="5"/>
  <c r="C62" i="5"/>
  <c r="D62" i="5"/>
  <c r="E62" i="5"/>
  <c r="F62" i="5"/>
  <c r="G62" i="5"/>
  <c r="H62" i="5"/>
  <c r="C63" i="5"/>
  <c r="D63" i="5"/>
  <c r="E63" i="5"/>
  <c r="F63" i="5"/>
  <c r="G63" i="5"/>
  <c r="H63" i="5"/>
  <c r="O63" i="5"/>
  <c r="O62" i="5"/>
  <c r="O61" i="5"/>
  <c r="O60" i="5"/>
  <c r="O59" i="5"/>
  <c r="O58" i="5"/>
  <c r="O67" i="5"/>
  <c r="O66" i="5"/>
  <c r="O65" i="5"/>
  <c r="H67" i="5"/>
  <c r="G67" i="5"/>
  <c r="F67" i="5"/>
  <c r="E67" i="5"/>
  <c r="D67" i="5"/>
  <c r="C67" i="5"/>
  <c r="H66" i="5"/>
  <c r="G66" i="5"/>
  <c r="F66" i="5"/>
  <c r="E66" i="5"/>
  <c r="D66" i="5"/>
  <c r="C66" i="5"/>
  <c r="H65" i="5"/>
  <c r="G65" i="5"/>
  <c r="F65" i="5"/>
  <c r="E65" i="5"/>
  <c r="D65" i="5"/>
  <c r="C65" i="5"/>
  <c r="M56" i="5"/>
  <c r="L56" i="5"/>
  <c r="K56" i="5"/>
  <c r="J56" i="5"/>
  <c r="M50" i="5"/>
  <c r="L50" i="5"/>
  <c r="K50" i="5"/>
  <c r="J50" i="5"/>
  <c r="M49" i="5"/>
  <c r="L49" i="5"/>
  <c r="K49" i="5"/>
  <c r="J49" i="5"/>
  <c r="M48" i="5"/>
  <c r="L48" i="5"/>
  <c r="K48" i="5"/>
  <c r="J48" i="5"/>
  <c r="M47" i="5"/>
  <c r="L47" i="5"/>
  <c r="K47" i="5"/>
  <c r="J47" i="5"/>
  <c r="M46" i="5"/>
  <c r="L46" i="5"/>
  <c r="K46" i="5"/>
  <c r="J46" i="5"/>
  <c r="M45" i="5"/>
  <c r="L45" i="5"/>
  <c r="K45" i="5"/>
  <c r="J45" i="5"/>
  <c r="M44" i="5"/>
  <c r="L44" i="5"/>
  <c r="K44" i="5"/>
  <c r="J44" i="5"/>
  <c r="M43" i="5"/>
  <c r="L43" i="5"/>
  <c r="K43" i="5"/>
  <c r="J43" i="5"/>
  <c r="M42" i="5"/>
  <c r="L42" i="5"/>
  <c r="K42" i="5"/>
  <c r="J42" i="5"/>
  <c r="M41" i="5"/>
  <c r="L41" i="5"/>
  <c r="K41" i="5"/>
  <c r="J41" i="5"/>
  <c r="M40" i="5"/>
  <c r="L40" i="5"/>
  <c r="K40" i="5"/>
  <c r="J40" i="5"/>
  <c r="M39" i="5"/>
  <c r="L39" i="5"/>
  <c r="K39" i="5"/>
  <c r="J39" i="5"/>
  <c r="M38" i="5"/>
  <c r="L38" i="5"/>
  <c r="K38" i="5"/>
  <c r="J38" i="5"/>
  <c r="M37" i="5"/>
  <c r="M63" i="5"/>
  <c r="L37" i="5"/>
  <c r="L62" i="5"/>
  <c r="K37" i="5"/>
  <c r="K62" i="5"/>
  <c r="J37" i="5"/>
  <c r="J63" i="5"/>
  <c r="M36" i="5"/>
  <c r="L36" i="5"/>
  <c r="K36" i="5"/>
  <c r="J36" i="5"/>
  <c r="M28" i="5"/>
  <c r="L28" i="5"/>
  <c r="K28" i="5"/>
  <c r="J28" i="5"/>
  <c r="M27" i="5"/>
  <c r="L27" i="5"/>
  <c r="K27" i="5"/>
  <c r="J27" i="5"/>
  <c r="M26" i="5"/>
  <c r="L26" i="5"/>
  <c r="K26" i="5"/>
  <c r="J26" i="5"/>
  <c r="M25" i="5"/>
  <c r="L25" i="5"/>
  <c r="K25" i="5"/>
  <c r="J25" i="5"/>
  <c r="M24" i="5"/>
  <c r="L24" i="5"/>
  <c r="K24" i="5"/>
  <c r="J24" i="5"/>
  <c r="M23" i="5"/>
  <c r="L23" i="5"/>
  <c r="K23" i="5"/>
  <c r="J23" i="5"/>
  <c r="M22" i="5"/>
  <c r="L22" i="5"/>
  <c r="K22" i="5"/>
  <c r="J22" i="5"/>
  <c r="M21" i="5"/>
  <c r="M61" i="5"/>
  <c r="L21" i="5"/>
  <c r="L67" i="5"/>
  <c r="K21" i="5"/>
  <c r="J21" i="5"/>
  <c r="M20" i="5"/>
  <c r="L20" i="5"/>
  <c r="K20" i="5"/>
  <c r="J20" i="5"/>
  <c r="M18" i="5"/>
  <c r="L18" i="5"/>
  <c r="K18" i="5"/>
  <c r="J18" i="5"/>
  <c r="M11" i="5"/>
  <c r="L11" i="5"/>
  <c r="K11" i="5"/>
  <c r="J11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M6" i="5"/>
  <c r="L6" i="5"/>
  <c r="K6" i="5"/>
  <c r="J6" i="5"/>
  <c r="M5" i="5"/>
  <c r="L5" i="5"/>
  <c r="K5" i="5"/>
  <c r="J5" i="5"/>
  <c r="M4" i="5"/>
  <c r="L4" i="5"/>
  <c r="L65" i="5"/>
  <c r="K4" i="5"/>
  <c r="J4" i="5"/>
  <c r="J66" i="5"/>
  <c r="K61" i="5"/>
  <c r="K67" i="5"/>
  <c r="M66" i="5"/>
  <c r="J61" i="5"/>
  <c r="K59" i="5"/>
  <c r="M62" i="5"/>
  <c r="M58" i="5"/>
  <c r="M65" i="5"/>
  <c r="M60" i="5"/>
  <c r="M67" i="5"/>
  <c r="K66" i="5"/>
  <c r="J58" i="5"/>
  <c r="L59" i="5"/>
  <c r="J60" i="5"/>
  <c r="L61" i="5"/>
  <c r="J62" i="5"/>
  <c r="L63" i="5"/>
  <c r="J65" i="5"/>
  <c r="L66" i="5"/>
  <c r="J67" i="5"/>
  <c r="K63" i="5"/>
  <c r="K58" i="5"/>
  <c r="M59" i="5"/>
  <c r="K60" i="5"/>
  <c r="K65" i="5"/>
  <c r="L58" i="5"/>
  <c r="J59" i="5"/>
  <c r="L60" i="5"/>
  <c r="J33" i="7"/>
  <c r="L33" i="7"/>
  <c r="M33" i="7"/>
  <c r="J34" i="7"/>
  <c r="K34" i="7"/>
  <c r="L34" i="7"/>
  <c r="M34" i="7"/>
  <c r="J35" i="7"/>
  <c r="K35" i="7"/>
  <c r="L35" i="7"/>
  <c r="M35" i="7"/>
  <c r="K33" i="7"/>
</calcChain>
</file>

<file path=xl/connections.xml><?xml version="1.0" encoding="utf-8"?>
<connections xmlns="http://schemas.openxmlformats.org/spreadsheetml/2006/main">
  <connection id="1" name="SOOptoStim-SleepArchitecture" type="6" refreshedVersion="4" background="1" saveData="1">
    <textPr sourceFile="C:\Users\ngohv\Google Drive\Work-Tuebingen\SOOptoStim\Scripts\SOOptoStim-SleepArchitecture.s2s" delimiter="\">
      <textFields>
        <textField/>
      </textFields>
    </textPr>
  </connection>
  <connection id="2" name="SOOptoStim-SleepArchitecture1" type="6" refreshedVersion="4" background="1" saveData="1">
    <textPr sourceFile="C:\Users\ngohv\Google Drive\Work-Tuebingen\SOOptoStim\Scripts\SOOptoStim-SleepArchitecture.s2s" delimiter="\">
      <textFields>
        <textField/>
      </textFields>
    </textPr>
  </connection>
  <connection id="3" name="SOOptoStim-SleepArchitecture11" type="6" refreshedVersion="4" background="1" saveData="1">
    <textPr sourceFile="C:\Users\ngohv\Google Drive\Work-Tuebingen\SOOptoStim\Scripts\SOOptoStim-SleepArchitecture.s2s" delimiter="\">
      <textFields>
        <textField/>
      </textFields>
    </textPr>
  </connection>
</connections>
</file>

<file path=xl/sharedStrings.xml><?xml version="1.0" encoding="utf-8"?>
<sst xmlns="http://schemas.openxmlformats.org/spreadsheetml/2006/main" count="210" uniqueCount="108">
  <si>
    <t>Sleep stage distribution</t>
  </si>
  <si>
    <t>Wake</t>
  </si>
  <si>
    <t xml:space="preserve"> NREM</t>
  </si>
  <si>
    <t xml:space="preserve"> REM</t>
  </si>
  <si>
    <t xml:space="preserve"> Arousal</t>
  </si>
  <si>
    <t xml:space="preserve"> Epochs</t>
  </si>
  <si>
    <t>IN</t>
  </si>
  <si>
    <t>OUT</t>
  </si>
  <si>
    <t>Sham</t>
  </si>
  <si>
    <t>SHAM</t>
  </si>
  <si>
    <t xml:space="preserve"> TimeLen (min)</t>
  </si>
  <si>
    <t>NREM</t>
  </si>
  <si>
    <t>REM</t>
  </si>
  <si>
    <t>Arousal</t>
  </si>
  <si>
    <t>Absolute (10s epochs)</t>
  </si>
  <si>
    <t>Relative (%)</t>
  </si>
  <si>
    <t>#</t>
  </si>
  <si>
    <t>Mean</t>
  </si>
  <si>
    <t>SEM</t>
  </si>
  <si>
    <t>Sleep onset</t>
  </si>
  <si>
    <t>IN-OPR-1639.smrx";</t>
  </si>
  <si>
    <t>IN-OPR-2002.smrx";</t>
  </si>
  <si>
    <t>IN-OPR-2335.smrx";</t>
  </si>
  <si>
    <t>IN-OPR-2824.smrx";</t>
  </si>
  <si>
    <t>IN-OPR-3022.smrx";</t>
  </si>
  <si>
    <t>IN-OPR-3131.smrx";</t>
  </si>
  <si>
    <t>IN-OPR-7095.smrx";</t>
  </si>
  <si>
    <t>IN-OPR-68112.smrx";</t>
  </si>
  <si>
    <t>IN-FC-OS46.smrx";</t>
  </si>
  <si>
    <t>IN-FC-OS47.smrx";</t>
  </si>
  <si>
    <t>IN-FC-OS49.smrx";</t>
  </si>
  <si>
    <t>IN-FC-OS59.smrx";</t>
  </si>
  <si>
    <t>IN-FC-OS62.smrx";</t>
  </si>
  <si>
    <t>IN-FC-OS65.smrx";</t>
  </si>
  <si>
    <t>IN-FC-OS83.smrx";</t>
  </si>
  <si>
    <t>IN-FC-OS86.smrx";</t>
  </si>
  <si>
    <t>IN-FC-OS88.smrx";</t>
  </si>
  <si>
    <t>OUT-OPR-1742.smrx";</t>
  </si>
  <si>
    <t>OUT-OPR-1843.smrx";</t>
  </si>
  <si>
    <t>OUT-OPR-3435.smrx";</t>
  </si>
  <si>
    <t>OUT-OPR-3527.smrx";</t>
  </si>
  <si>
    <t>OUT-OPR-5011.smrx";</t>
  </si>
  <si>
    <t>OUT-OPR-5112.smrx";</t>
  </si>
  <si>
    <t>OUT-OPR-69115.smrx";</t>
  </si>
  <si>
    <t>OUT-FC-OS45.smrx";</t>
  </si>
  <si>
    <t>OUT-FC-OS50.smrx";</t>
  </si>
  <si>
    <t>OUT-FC-OS54.smrx";</t>
  </si>
  <si>
    <t>OUT-FC-OS57.smrx";</t>
  </si>
  <si>
    <t>OUT-FC-OS58.smrx";</t>
  </si>
  <si>
    <t>OUT-FC-OS61.smrx";</t>
  </si>
  <si>
    <t>OUT-FC-OS64.smrx";</t>
  </si>
  <si>
    <t>OUT-FC-OS84.smrx";</t>
  </si>
  <si>
    <t>OUT-FC-OS89.smrx";</t>
  </si>
  <si>
    <t>NOSTIM-OPR-0449.smrx";</t>
  </si>
  <si>
    <t>NOSTIM-OPR-0715.smrx";</t>
  </si>
  <si>
    <t>NOSTIM-OPR-1254.smrx";</t>
  </si>
  <si>
    <t>NOSTIM-OPR-1347.smrx";</t>
  </si>
  <si>
    <t>NOSTIM-OPR-1541.smrx";</t>
  </si>
  <si>
    <t>NOSTIM-OPR-2401.smrx";</t>
  </si>
  <si>
    <t>NOSTIM-OPR-2728.smrx";</t>
  </si>
  <si>
    <t>NOSTIM-OPR-2930.smrx";</t>
  </si>
  <si>
    <t>NOSTIM-OPR-3326.smrx";</t>
  </si>
  <si>
    <t>NOSTIM-FC-OS41.smrx";</t>
  </si>
  <si>
    <t>NOSTIM-FC-OS44.smrx";</t>
  </si>
  <si>
    <t>NOSTIM-FC-OS51.smrx";</t>
  </si>
  <si>
    <t>NOSTIM-FC-OS52.smrx";</t>
  </si>
  <si>
    <t>NOSTIM-FC-OS56.smrx";</t>
  </si>
  <si>
    <t>NOSTIM-FC-OS60.smrx";</t>
  </si>
  <si>
    <t>NOSTIM-FC-OS63.smrx";</t>
  </si>
  <si>
    <t>NOSTIM-FC-OS66.smrx";</t>
  </si>
  <si>
    <t>NOSTIM-FC-OS81.smrx";</t>
  </si>
  <si>
    <t>NOSTIM-FC-OS85.smrx";</t>
  </si>
  <si>
    <t>NOSTIM-FC-OS87.smrx";</t>
  </si>
  <si>
    <t>IN-FC-OS46</t>
  </si>
  <si>
    <t>IN-FC-OS47</t>
  </si>
  <si>
    <t>IN-FC-OS49</t>
  </si>
  <si>
    <t>IN-FC-OS59</t>
  </si>
  <si>
    <t>IN-FC-OS62</t>
  </si>
  <si>
    <t>IN-FC-OS65</t>
  </si>
  <si>
    <t>IN-FC-OS83</t>
  </si>
  <si>
    <t>IN-FC-OS86</t>
  </si>
  <si>
    <t>IN-FC-OS88</t>
  </si>
  <si>
    <t>OUT-FC-OS45</t>
  </si>
  <si>
    <t>OUT-FC-OS50</t>
  </si>
  <si>
    <t>OUT-FC-OS54</t>
  </si>
  <si>
    <t>OUT-FC-OS57</t>
  </si>
  <si>
    <t>OUT-FC-OS58</t>
  </si>
  <si>
    <t>OUT-FC-OS61</t>
  </si>
  <si>
    <t>OUT-FC-OS64</t>
  </si>
  <si>
    <t>OUT-FC-OS84</t>
  </si>
  <si>
    <t>OUT-FC-OS89</t>
  </si>
  <si>
    <t>NOSTIM-FC-OS41</t>
  </si>
  <si>
    <t>NOSTIM-FC-OS44</t>
  </si>
  <si>
    <t>NOSTIM-FC-OS51</t>
  </si>
  <si>
    <t>NOSTIM-FC-OS52</t>
  </si>
  <si>
    <t>NOSTIM-FC-OS56</t>
  </si>
  <si>
    <t>NOSTIM-FC-OS60</t>
  </si>
  <si>
    <t>NOSTIM-FC-OS63</t>
  </si>
  <si>
    <t>NOSTIM-FC-OS66</t>
  </si>
  <si>
    <t>NOSTIM-FC-OS81</t>
  </si>
  <si>
    <t>NOSTIM-FC-OS85</t>
  </si>
  <si>
    <t>NOSTIM-FC-OS87</t>
  </si>
  <si>
    <t>IN-ARC</t>
  </si>
  <si>
    <t>OUT-ARC</t>
  </si>
  <si>
    <t>ARC4</t>
  </si>
  <si>
    <t>7ARC11</t>
  </si>
  <si>
    <t>8ARC12</t>
  </si>
  <si>
    <t>NoStim-ARC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</si>
</sst>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165" fontId="1" fillId="0" borderId="0" xfId="0" applyNumberFormat="1" applyFont="1"/>
    <xf numFmtId="0" fontId="0" fillId="0" borderId="0" xfId="0" applyFill="1"/>
    <xf numFmtId="165" fontId="0" fillId="0" borderId="0" xfId="0" applyNumberFormat="1" applyFill="1"/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0" fontId="0" fillId="4" borderId="0" xfId="0" applyFill="1" applyAlignment="1">
      <alignment horizontal="right" vertic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130902777778"/>
          <c:y val="0.0783344444444445"/>
          <c:w val="0.776314930555556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'SleepArchitecture-FConly'!$C$35:$F$35</c:f>
                <c:numCache>
                  <c:formatCode>General</c:formatCode>
                  <c:ptCount val="4"/>
                  <c:pt idx="0">
                    <c:v>17.24317224370455</c:v>
                  </c:pt>
                  <c:pt idx="1">
                    <c:v>18.37603985841114</c:v>
                  </c:pt>
                  <c:pt idx="2">
                    <c:v>2.642249322354247</c:v>
                  </c:pt>
                  <c:pt idx="3">
                    <c:v>4.523183687642325</c:v>
                  </c:pt>
                </c:numCache>
              </c:numRef>
            </c:plus>
            <c:minus>
              <c:numRef>
                <c:f>'SleepArchitecture-FConly'!$C$35:$F$35</c:f>
                <c:numCache>
                  <c:formatCode>General</c:formatCode>
                  <c:ptCount val="4"/>
                  <c:pt idx="0">
                    <c:v>17.24317224370455</c:v>
                  </c:pt>
                  <c:pt idx="1">
                    <c:v>18.37603985841114</c:v>
                  </c:pt>
                  <c:pt idx="2">
                    <c:v>2.642249322354247</c:v>
                  </c:pt>
                  <c:pt idx="3">
                    <c:v>4.523183687642325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'SleepArchitecture-FConly'!$C$34:$E$34</c:f>
              <c:numCache>
                <c:formatCode>0\.0</c:formatCode>
                <c:ptCount val="3"/>
                <c:pt idx="0">
                  <c:v>108.6296296296296</c:v>
                </c:pt>
                <c:pt idx="1">
                  <c:v>146.8703703703704</c:v>
                </c:pt>
                <c:pt idx="2">
                  <c:v>22.33333333333333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CA-453A-9CFD-274945D07C19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'SleepArchitecture-FConly'!$C$37:$F$37</c:f>
                <c:numCache>
                  <c:formatCode>General</c:formatCode>
                  <c:ptCount val="4"/>
                  <c:pt idx="0">
                    <c:v>8.240407816828868</c:v>
                  </c:pt>
                  <c:pt idx="1">
                    <c:v>8.359470328321986</c:v>
                  </c:pt>
                  <c:pt idx="2">
                    <c:v>1.260994175249719</c:v>
                  </c:pt>
                  <c:pt idx="3">
                    <c:v>1.996932661576172</c:v>
                  </c:pt>
                </c:numCache>
              </c:numRef>
            </c:plus>
            <c:minus>
              <c:numRef>
                <c:f>'SleepArchitecture-FConly'!$C$37:$F$37</c:f>
                <c:numCache>
                  <c:formatCode>General</c:formatCode>
                  <c:ptCount val="4"/>
                  <c:pt idx="0">
                    <c:v>8.240407816828868</c:v>
                  </c:pt>
                  <c:pt idx="1">
                    <c:v>8.359470328321986</c:v>
                  </c:pt>
                  <c:pt idx="2">
                    <c:v>1.260994175249719</c:v>
                  </c:pt>
                  <c:pt idx="3">
                    <c:v>1.996932661576172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'SleepArchitecture-FConly'!$C$36:$E$36</c:f>
              <c:numCache>
                <c:formatCode>0\.0</c:formatCode>
                <c:ptCount val="3"/>
                <c:pt idx="0">
                  <c:v>133.2222222222222</c:v>
                </c:pt>
                <c:pt idx="1">
                  <c:v>186.0185185185185</c:v>
                </c:pt>
                <c:pt idx="2">
                  <c:v>25.29629629629629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CA-453A-9CFD-274945D07C19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'SleepArchitecture-FConly'!$C$39:$F$39</c:f>
                <c:numCache>
                  <c:formatCode>General</c:formatCode>
                  <c:ptCount val="4"/>
                  <c:pt idx="0">
                    <c:v>9.050582273299704</c:v>
                  </c:pt>
                  <c:pt idx="1">
                    <c:v>6.247739719849008</c:v>
                  </c:pt>
                  <c:pt idx="2">
                    <c:v>1.205283745536444</c:v>
                  </c:pt>
                  <c:pt idx="3">
                    <c:v>2.782529452873145</c:v>
                  </c:pt>
                </c:numCache>
              </c:numRef>
            </c:plus>
            <c:minus>
              <c:numRef>
                <c:f>'SleepArchitecture-FConly'!$C$39:$F$39</c:f>
                <c:numCache>
                  <c:formatCode>General</c:formatCode>
                  <c:ptCount val="4"/>
                  <c:pt idx="0">
                    <c:v>9.050582273299704</c:v>
                  </c:pt>
                  <c:pt idx="1">
                    <c:v>6.247739719849008</c:v>
                  </c:pt>
                  <c:pt idx="2">
                    <c:v>1.205283745536444</c:v>
                  </c:pt>
                  <c:pt idx="3">
                    <c:v>2.782529452873145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'SleepArchitecture-FConly'!$C$38:$E$38</c:f>
              <c:numCache>
                <c:formatCode>0\.0</c:formatCode>
                <c:ptCount val="3"/>
                <c:pt idx="0">
                  <c:v>135.469696969697</c:v>
                </c:pt>
                <c:pt idx="1">
                  <c:v>176.469696969697</c:v>
                </c:pt>
                <c:pt idx="2">
                  <c:v>22.57575757575758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4CA-453A-9CFD-274945D07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2900288"/>
        <c:axId val="-2101977584"/>
      </c:barChart>
      <c:catAx>
        <c:axId val="-213290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01977584"/>
        <c:crosses val="autoZero"/>
        <c:auto val="1"/>
        <c:lblAlgn val="ctr"/>
        <c:lblOffset val="100"/>
        <c:noMultiLvlLbl val="0"/>
      </c:catAx>
      <c:valAx>
        <c:axId val="-210197758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3290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onstantia" panose="02030602050306030303" pitchFamily="18" charset="0"/>
        </a:defRPr>
      </a:pPr>
      <a:endParaRPr lang="en-US"/>
    </a:p>
  </c:txPr>
  <c:printSettings>
    <c:headerFooter/>
    <c:pageMargins b="0.787401575" l="0.7" r="0.7" t="0.7874015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'SleepArchitecture-FConly'!$J$35:$M$35</c:f>
                <c:numCache>
                  <c:formatCode>General</c:formatCode>
                  <c:ptCount val="4"/>
                  <c:pt idx="0">
                    <c:v>4.276221255714904</c:v>
                  </c:pt>
                  <c:pt idx="1">
                    <c:v>3.599360800558404</c:v>
                  </c:pt>
                  <c:pt idx="2">
                    <c:v>0.928559299180975</c:v>
                  </c:pt>
                  <c:pt idx="3">
                    <c:v>0.689273378175521</c:v>
                  </c:pt>
                </c:numCache>
              </c:numRef>
            </c:plus>
            <c:minus>
              <c:numRef>
                <c:f>'SleepArchitecture-FConly'!$J$35:$M$35</c:f>
                <c:numCache>
                  <c:formatCode>General</c:formatCode>
                  <c:ptCount val="4"/>
                  <c:pt idx="0">
                    <c:v>4.276221255714904</c:v>
                  </c:pt>
                  <c:pt idx="1">
                    <c:v>3.599360800558404</c:v>
                  </c:pt>
                  <c:pt idx="2">
                    <c:v>0.928559299180975</c:v>
                  </c:pt>
                  <c:pt idx="3">
                    <c:v>0.689273378175521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'SleepArchitecture-FConly'!$J$34:$M$34</c:f>
              <c:numCache>
                <c:formatCode>0\.0</c:formatCode>
                <c:ptCount val="4"/>
                <c:pt idx="0">
                  <c:v>34.79328085546152</c:v>
                </c:pt>
                <c:pt idx="1">
                  <c:v>50.44146172031927</c:v>
                </c:pt>
                <c:pt idx="2">
                  <c:v>7.917330737407847</c:v>
                </c:pt>
                <c:pt idx="3">
                  <c:v>8.543368678024324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FE-4EF5-A766-0663916D2E60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'SleepArchitecture-FConly'!$J$37:$M$37</c:f>
                <c:numCache>
                  <c:formatCode>General</c:formatCode>
                  <c:ptCount val="4"/>
                  <c:pt idx="0">
                    <c:v>2.332328439815797</c:v>
                  </c:pt>
                  <c:pt idx="1">
                    <c:v>2.135593114673223</c:v>
                  </c:pt>
                  <c:pt idx="2">
                    <c:v>0.340674523238064</c:v>
                  </c:pt>
                  <c:pt idx="3">
                    <c:v>0.551904357678193</c:v>
                  </c:pt>
                </c:numCache>
              </c:numRef>
            </c:plus>
            <c:minus>
              <c:numRef>
                <c:f>'SleepArchitecture-FConly'!$J$37:$M$37</c:f>
                <c:numCache>
                  <c:formatCode>General</c:formatCode>
                  <c:ptCount val="4"/>
                  <c:pt idx="0">
                    <c:v>2.332328439815797</c:v>
                  </c:pt>
                  <c:pt idx="1">
                    <c:v>2.135593114673223</c:v>
                  </c:pt>
                  <c:pt idx="2">
                    <c:v>0.340674523238064</c:v>
                  </c:pt>
                  <c:pt idx="3">
                    <c:v>0.551904357678193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'SleepArchitecture-FConly'!$J$36:$M$36</c:f>
              <c:numCache>
                <c:formatCode>0\.0</c:formatCode>
                <c:ptCount val="4"/>
                <c:pt idx="0">
                  <c:v>36.4781117362334</c:v>
                </c:pt>
                <c:pt idx="1">
                  <c:v>50.84445986294876</c:v>
                </c:pt>
                <c:pt idx="2">
                  <c:v>6.918228038286443</c:v>
                </c:pt>
                <c:pt idx="3">
                  <c:v>8.730454740429787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FE-4EF5-A766-0663916D2E60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'SleepArchitecture-FConly'!$J$39:$M$39</c:f>
                <c:numCache>
                  <c:formatCode>General</c:formatCode>
                  <c:ptCount val="4"/>
                  <c:pt idx="0">
                    <c:v>2.532750441583747</c:v>
                  </c:pt>
                  <c:pt idx="1">
                    <c:v>1.63645951724642</c:v>
                  </c:pt>
                  <c:pt idx="2">
                    <c:v>0.310125848527154</c:v>
                  </c:pt>
                  <c:pt idx="3">
                    <c:v>0.764512987851792</c:v>
                  </c:pt>
                </c:numCache>
              </c:numRef>
            </c:plus>
            <c:minus>
              <c:numRef>
                <c:f>'SleepArchitecture-FConly'!$J$39:$M$39</c:f>
                <c:numCache>
                  <c:formatCode>General</c:formatCode>
                  <c:ptCount val="4"/>
                  <c:pt idx="0">
                    <c:v>2.532750441583747</c:v>
                  </c:pt>
                  <c:pt idx="1">
                    <c:v>1.63645951724642</c:v>
                  </c:pt>
                  <c:pt idx="2">
                    <c:v>0.310125848527154</c:v>
                  </c:pt>
                  <c:pt idx="3">
                    <c:v>0.764512987851792</c:v>
                  </c:pt>
                </c:numCache>
              </c:numRef>
            </c:minus>
          </c:errBars>
          <c:cat>
            <c:strRef>
              <c:f>'SleepArchitecture-FConly'!$C$3:$F$3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'SleepArchitecture-FConly'!$J$38:$M$38</c:f>
              <c:numCache>
                <c:formatCode>0\.0</c:formatCode>
                <c:ptCount val="4"/>
                <c:pt idx="0">
                  <c:v>37.18220380311952</c:v>
                </c:pt>
                <c:pt idx="1">
                  <c:v>48.38274598391874</c:v>
                </c:pt>
                <c:pt idx="2">
                  <c:v>6.182998269848466</c:v>
                </c:pt>
                <c:pt idx="3">
                  <c:v>7.91863796154243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FE-4EF5-A766-0663916D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4204464"/>
        <c:axId val="-2125211408"/>
      </c:barChart>
      <c:catAx>
        <c:axId val="-2114204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25211408"/>
        <c:crosses val="autoZero"/>
        <c:auto val="1"/>
        <c:lblAlgn val="ctr"/>
        <c:lblOffset val="100"/>
        <c:noMultiLvlLbl val="0"/>
      </c:catAx>
      <c:valAx>
        <c:axId val="-212521140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420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'SleepArchitecture-FConly'!$J$35:$M$35</c:f>
                <c:numCache>
                  <c:formatCode>General</c:formatCode>
                  <c:ptCount val="4"/>
                  <c:pt idx="0">
                    <c:v>4.276221255714904</c:v>
                  </c:pt>
                  <c:pt idx="1">
                    <c:v>3.599360800558404</c:v>
                  </c:pt>
                  <c:pt idx="2">
                    <c:v>0.928559299180975</c:v>
                  </c:pt>
                  <c:pt idx="3">
                    <c:v>0.689273378175521</c:v>
                  </c:pt>
                </c:numCache>
              </c:numRef>
            </c:plus>
            <c:minus>
              <c:numRef>
                <c:f>'SleepArchitecture-FConly'!$J$35:$M$35</c:f>
                <c:numCache>
                  <c:formatCode>General</c:formatCode>
                  <c:ptCount val="4"/>
                  <c:pt idx="0">
                    <c:v>4.276221255714904</c:v>
                  </c:pt>
                  <c:pt idx="1">
                    <c:v>3.599360800558404</c:v>
                  </c:pt>
                  <c:pt idx="2">
                    <c:v>0.928559299180975</c:v>
                  </c:pt>
                  <c:pt idx="3">
                    <c:v>0.689273378175521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'SleepArchitecture-FConly'!$O$34</c:f>
              <c:numCache>
                <c:formatCode>0\.0</c:formatCode>
                <c:ptCount val="1"/>
                <c:pt idx="0">
                  <c:v>18.43518518518518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4C-4051-B5B1-62AAE8E25BB6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'SleepArchitecture-FConly'!$J$37:$M$37</c:f>
                <c:numCache>
                  <c:formatCode>General</c:formatCode>
                  <c:ptCount val="4"/>
                  <c:pt idx="0">
                    <c:v>2.332328439815797</c:v>
                  </c:pt>
                  <c:pt idx="1">
                    <c:v>2.135593114673223</c:v>
                  </c:pt>
                  <c:pt idx="2">
                    <c:v>0.340674523238064</c:v>
                  </c:pt>
                  <c:pt idx="3">
                    <c:v>0.551904357678193</c:v>
                  </c:pt>
                </c:numCache>
              </c:numRef>
            </c:plus>
            <c:minus>
              <c:numRef>
                <c:f>'SleepArchitecture-FConly'!$J$37:$M$37</c:f>
                <c:numCache>
                  <c:formatCode>General</c:formatCode>
                  <c:ptCount val="4"/>
                  <c:pt idx="0">
                    <c:v>2.332328439815797</c:v>
                  </c:pt>
                  <c:pt idx="1">
                    <c:v>2.135593114673223</c:v>
                  </c:pt>
                  <c:pt idx="2">
                    <c:v>0.340674523238064</c:v>
                  </c:pt>
                  <c:pt idx="3">
                    <c:v>0.551904357678193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'SleepArchitecture-FConly'!$O$36</c:f>
              <c:numCache>
                <c:formatCode>0\.0</c:formatCode>
                <c:ptCount val="1"/>
                <c:pt idx="0">
                  <c:v>13.43518518518519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D4C-4051-B5B1-62AAE8E25BB6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'SleepArchitecture-FConly'!$J$39:$M$39</c:f>
                <c:numCache>
                  <c:formatCode>General</c:formatCode>
                  <c:ptCount val="4"/>
                  <c:pt idx="0">
                    <c:v>2.532750441583747</c:v>
                  </c:pt>
                  <c:pt idx="1">
                    <c:v>1.63645951724642</c:v>
                  </c:pt>
                  <c:pt idx="2">
                    <c:v>0.310125848527154</c:v>
                  </c:pt>
                  <c:pt idx="3">
                    <c:v>0.764512987851792</c:v>
                  </c:pt>
                </c:numCache>
              </c:numRef>
            </c:plus>
            <c:minus>
              <c:numRef>
                <c:f>'SleepArchitecture-FConly'!$J$39:$M$39</c:f>
                <c:numCache>
                  <c:formatCode>General</c:formatCode>
                  <c:ptCount val="4"/>
                  <c:pt idx="0">
                    <c:v>2.532750441583747</c:v>
                  </c:pt>
                  <c:pt idx="1">
                    <c:v>1.63645951724642</c:v>
                  </c:pt>
                  <c:pt idx="2">
                    <c:v>0.310125848527154</c:v>
                  </c:pt>
                  <c:pt idx="3">
                    <c:v>0.764512987851792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'SleepArchitecture-FConly'!$O$38</c:f>
              <c:numCache>
                <c:formatCode>0\.0</c:formatCode>
                <c:ptCount val="1"/>
                <c:pt idx="0">
                  <c:v>24.46212121212121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4C-4051-B5B1-62AAE8E2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584704"/>
        <c:axId val="-2125031056"/>
      </c:barChart>
      <c:catAx>
        <c:axId val="2102584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25031056"/>
        <c:crosses val="autoZero"/>
        <c:auto val="1"/>
        <c:lblAlgn val="ctr"/>
        <c:lblOffset val="100"/>
        <c:noMultiLvlLbl val="0"/>
      </c:catAx>
      <c:valAx>
        <c:axId val="-212503105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210258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130902777778"/>
          <c:y val="0.0783344444444445"/>
          <c:w val="0.776314930555556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'SleepArchitecture-ARConly'!$C$27:$F$27</c:f>
                <c:numCache>
                  <c:formatCode>General</c:formatCode>
                  <c:ptCount val="4"/>
                  <c:pt idx="0">
                    <c:v>10.30862721893118</c:v>
                  </c:pt>
                  <c:pt idx="1">
                    <c:v>9.45621895288601</c:v>
                  </c:pt>
                  <c:pt idx="2">
                    <c:v>1.994287476689993</c:v>
                  </c:pt>
                  <c:pt idx="3">
                    <c:v>2.188860121376508</c:v>
                  </c:pt>
                </c:numCache>
              </c:numRef>
            </c:plus>
            <c:minus>
              <c:numRef>
                <c:f>'SleepArchitecture-ARConly'!$C$27:$F$27</c:f>
                <c:numCache>
                  <c:formatCode>General</c:formatCode>
                  <c:ptCount val="4"/>
                  <c:pt idx="0">
                    <c:v>10.30862721893118</c:v>
                  </c:pt>
                  <c:pt idx="1">
                    <c:v>9.45621895288601</c:v>
                  </c:pt>
                  <c:pt idx="2">
                    <c:v>1.994287476689993</c:v>
                  </c:pt>
                  <c:pt idx="3">
                    <c:v>2.188860121376508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'SleepArchitecture-ARConly'!$C$26:$E$26</c:f>
              <c:numCache>
                <c:formatCode>0\.0</c:formatCode>
                <c:ptCount val="3"/>
                <c:pt idx="0">
                  <c:v>147.2708333333333</c:v>
                </c:pt>
                <c:pt idx="1">
                  <c:v>173.8541666666667</c:v>
                </c:pt>
                <c:pt idx="2">
                  <c:v>28.75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CA-453A-9CFD-274945D07C19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'SleepArchitecture-ARConly'!$C$29:$F$29</c:f>
                <c:numCache>
                  <c:formatCode>General</c:formatCode>
                  <c:ptCount val="4"/>
                  <c:pt idx="0">
                    <c:v>8.204267182387483</c:v>
                  </c:pt>
                  <c:pt idx="1">
                    <c:v>7.622408484928556</c:v>
                  </c:pt>
                  <c:pt idx="2">
                    <c:v>3.493804039534368</c:v>
                  </c:pt>
                  <c:pt idx="3">
                    <c:v>7.054273724330362</c:v>
                  </c:pt>
                </c:numCache>
              </c:numRef>
            </c:plus>
            <c:minus>
              <c:numRef>
                <c:f>'SleepArchitecture-ARConly'!$C$29:$F$29</c:f>
                <c:numCache>
                  <c:formatCode>General</c:formatCode>
                  <c:ptCount val="4"/>
                  <c:pt idx="0">
                    <c:v>8.204267182387483</c:v>
                  </c:pt>
                  <c:pt idx="1">
                    <c:v>7.622408484928556</c:v>
                  </c:pt>
                  <c:pt idx="2">
                    <c:v>3.493804039534368</c:v>
                  </c:pt>
                  <c:pt idx="3">
                    <c:v>7.054273724330362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'SleepArchitecture-ARConly'!$C$28:$E$28</c:f>
              <c:numCache>
                <c:formatCode>0\.0</c:formatCode>
                <c:ptCount val="3"/>
                <c:pt idx="0">
                  <c:v>151.7333333333333</c:v>
                </c:pt>
                <c:pt idx="1">
                  <c:v>143.9666666666667</c:v>
                </c:pt>
                <c:pt idx="2">
                  <c:v>20.13333333333333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CA-453A-9CFD-274945D07C19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'SleepArchitecture-ARConly'!$C$31:$F$31</c:f>
                <c:numCache>
                  <c:formatCode>General</c:formatCode>
                  <c:ptCount val="4"/>
                  <c:pt idx="0">
                    <c:v>5.993418803021584</c:v>
                  </c:pt>
                  <c:pt idx="1">
                    <c:v>5.13038697718937</c:v>
                  </c:pt>
                  <c:pt idx="2">
                    <c:v>2.185131938190824</c:v>
                  </c:pt>
                  <c:pt idx="3">
                    <c:v>1.916925448368604</c:v>
                  </c:pt>
                </c:numCache>
              </c:numRef>
            </c:plus>
            <c:minus>
              <c:numRef>
                <c:f>'SleepArchitecture-ARConly'!$C$31:$F$31</c:f>
                <c:numCache>
                  <c:formatCode>General</c:formatCode>
                  <c:ptCount val="4"/>
                  <c:pt idx="0">
                    <c:v>5.993418803021584</c:v>
                  </c:pt>
                  <c:pt idx="1">
                    <c:v>5.13038697718937</c:v>
                  </c:pt>
                  <c:pt idx="2">
                    <c:v>2.185131938190824</c:v>
                  </c:pt>
                  <c:pt idx="3">
                    <c:v>1.916925448368604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'SleepArchitecture-ARConly'!$C$30:$E$30</c:f>
              <c:numCache>
                <c:formatCode>0\.0</c:formatCode>
                <c:ptCount val="3"/>
                <c:pt idx="0">
                  <c:v>129.9791666666667</c:v>
                </c:pt>
                <c:pt idx="1">
                  <c:v>184.5208333333333</c:v>
                </c:pt>
                <c:pt idx="2">
                  <c:v>20.75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4CA-453A-9CFD-274945D07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4767712"/>
        <c:axId val="-2100562160"/>
      </c:barChart>
      <c:catAx>
        <c:axId val="-2114767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00562160"/>
        <c:crosses val="autoZero"/>
        <c:auto val="1"/>
        <c:lblAlgn val="ctr"/>
        <c:lblOffset val="100"/>
        <c:noMultiLvlLbl val="0"/>
      </c:catAx>
      <c:valAx>
        <c:axId val="-210056216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47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onstantia" panose="02030602050306030303" pitchFamily="18" charset="0"/>
        </a:defRPr>
      </a:pPr>
      <a:endParaRPr lang="en-US"/>
    </a:p>
  </c:txPr>
  <c:printSettings>
    <c:headerFooter/>
    <c:pageMargins b="0.787401575" l="0.7" r="0.7" t="0.7874015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'SleepArchitecture-ARConly'!$J$27:$M$27</c:f>
                <c:numCache>
                  <c:formatCode>General</c:formatCode>
                  <c:ptCount val="4"/>
                  <c:pt idx="0">
                    <c:v>2.93039950128645</c:v>
                  </c:pt>
                  <c:pt idx="1">
                    <c:v>2.377334397122603</c:v>
                  </c:pt>
                  <c:pt idx="2">
                    <c:v>0.502076094163094</c:v>
                  </c:pt>
                  <c:pt idx="3">
                    <c:v>0.573190708368154</c:v>
                  </c:pt>
                </c:numCache>
              </c:numRef>
            </c:plus>
            <c:minus>
              <c:numRef>
                <c:f>'SleepArchitecture-ARConly'!$J$27:$M$27</c:f>
                <c:numCache>
                  <c:formatCode>General</c:formatCode>
                  <c:ptCount val="4"/>
                  <c:pt idx="0">
                    <c:v>2.93039950128645</c:v>
                  </c:pt>
                  <c:pt idx="1">
                    <c:v>2.377334397122603</c:v>
                  </c:pt>
                  <c:pt idx="2">
                    <c:v>0.502076094163094</c:v>
                  </c:pt>
                  <c:pt idx="3">
                    <c:v>0.573190708368154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'SleepArchitecture-ARConly'!$J$26:$M$26</c:f>
              <c:numCache>
                <c:formatCode>0\.0</c:formatCode>
                <c:ptCount val="4"/>
                <c:pt idx="0">
                  <c:v>39.98594052596091</c:v>
                </c:pt>
                <c:pt idx="1">
                  <c:v>47.0403685937527</c:v>
                </c:pt>
                <c:pt idx="2">
                  <c:v>7.77378369919544</c:v>
                </c:pt>
                <c:pt idx="3">
                  <c:v>6.892043036375047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FE-4EF5-A766-0663916D2E60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'SleepArchitecture-ARConly'!$J$29:$M$29</c:f>
                <c:numCache>
                  <c:formatCode>General</c:formatCode>
                  <c:ptCount val="4"/>
                  <c:pt idx="0">
                    <c:v>2.291757022273235</c:v>
                  </c:pt>
                  <c:pt idx="1">
                    <c:v>1.968741326954422</c:v>
                  </c:pt>
                  <c:pt idx="2">
                    <c:v>0.942654914202482</c:v>
                  </c:pt>
                  <c:pt idx="3">
                    <c:v>1.966658203915316</c:v>
                  </c:pt>
                </c:numCache>
              </c:numRef>
            </c:plus>
            <c:minus>
              <c:numRef>
                <c:f>'SleepArchitecture-ARConly'!$J$29:$M$29</c:f>
                <c:numCache>
                  <c:formatCode>General</c:formatCode>
                  <c:ptCount val="4"/>
                  <c:pt idx="0">
                    <c:v>2.291757022273235</c:v>
                  </c:pt>
                  <c:pt idx="1">
                    <c:v>1.968741326954422</c:v>
                  </c:pt>
                  <c:pt idx="2">
                    <c:v>0.942654914202482</c:v>
                  </c:pt>
                  <c:pt idx="3">
                    <c:v>1.966658203915316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'SleepArchitecture-ARConly'!$J$28:$M$28</c:f>
              <c:numCache>
                <c:formatCode>0\.0</c:formatCode>
                <c:ptCount val="4"/>
                <c:pt idx="0">
                  <c:v>41.60920429859551</c:v>
                </c:pt>
                <c:pt idx="1">
                  <c:v>39.44271440675448</c:v>
                </c:pt>
                <c:pt idx="2">
                  <c:v>5.50832629042852</c:v>
                </c:pt>
                <c:pt idx="3">
                  <c:v>7.226857437914761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FE-4EF5-A766-0663916D2E60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'SleepArchitecture-ARConly'!$J$31:$M$31</c:f>
                <c:numCache>
                  <c:formatCode>General</c:formatCode>
                  <c:ptCount val="4"/>
                  <c:pt idx="0">
                    <c:v>1.037497358748117</c:v>
                  </c:pt>
                  <c:pt idx="1">
                    <c:v>0.882654703306738</c:v>
                  </c:pt>
                  <c:pt idx="2">
                    <c:v>0.702326062224203</c:v>
                  </c:pt>
                  <c:pt idx="3">
                    <c:v>0.557868728864244</c:v>
                  </c:pt>
                </c:numCache>
              </c:numRef>
            </c:plus>
            <c:minus>
              <c:numRef>
                <c:f>'SleepArchitecture-ARConly'!$J$31:$M$31</c:f>
                <c:numCache>
                  <c:formatCode>General</c:formatCode>
                  <c:ptCount val="4"/>
                  <c:pt idx="0">
                    <c:v>1.037497358748117</c:v>
                  </c:pt>
                  <c:pt idx="1">
                    <c:v>0.882654703306738</c:v>
                  </c:pt>
                  <c:pt idx="2">
                    <c:v>0.702326062224203</c:v>
                  </c:pt>
                  <c:pt idx="3">
                    <c:v>0.557868728864244</c:v>
                  </c:pt>
                </c:numCache>
              </c:numRef>
            </c:minus>
          </c:errBars>
          <c:cat>
            <c:strRef>
              <c:f>'SleepArchitecture-ARConly'!$C$3:$F$3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'SleepArchitecture-ARConly'!$J$30:$M$30</c:f>
              <c:numCache>
                <c:formatCode>0\.0</c:formatCode>
                <c:ptCount val="4"/>
                <c:pt idx="0">
                  <c:v>37.29498349475604</c:v>
                </c:pt>
                <c:pt idx="1">
                  <c:v>53.10706532354394</c:v>
                </c:pt>
                <c:pt idx="2">
                  <c:v>6.040068602259706</c:v>
                </c:pt>
                <c:pt idx="3">
                  <c:v>6.76866888004384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FE-4EF5-A766-0663916D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4840688"/>
        <c:axId val="-2117220496"/>
      </c:barChart>
      <c:catAx>
        <c:axId val="-211484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17220496"/>
        <c:crosses val="autoZero"/>
        <c:auto val="1"/>
        <c:lblAlgn val="ctr"/>
        <c:lblOffset val="100"/>
        <c:noMultiLvlLbl val="0"/>
      </c:catAx>
      <c:valAx>
        <c:axId val="-211722049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484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'SleepArchitecture-ARConly'!$J$27:$M$27</c:f>
                <c:numCache>
                  <c:formatCode>General</c:formatCode>
                  <c:ptCount val="4"/>
                  <c:pt idx="0">
                    <c:v>2.93039950128645</c:v>
                  </c:pt>
                  <c:pt idx="1">
                    <c:v>2.377334397122603</c:v>
                  </c:pt>
                  <c:pt idx="2">
                    <c:v>0.502076094163094</c:v>
                  </c:pt>
                  <c:pt idx="3">
                    <c:v>0.573190708368154</c:v>
                  </c:pt>
                </c:numCache>
              </c:numRef>
            </c:plus>
            <c:minus>
              <c:numRef>
                <c:f>'SleepArchitecture-ARConly'!$J$27:$M$27</c:f>
                <c:numCache>
                  <c:formatCode>General</c:formatCode>
                  <c:ptCount val="4"/>
                  <c:pt idx="0">
                    <c:v>2.93039950128645</c:v>
                  </c:pt>
                  <c:pt idx="1">
                    <c:v>2.377334397122603</c:v>
                  </c:pt>
                  <c:pt idx="2">
                    <c:v>0.502076094163094</c:v>
                  </c:pt>
                  <c:pt idx="3">
                    <c:v>0.573190708368154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'SleepArchitecture-ARConly'!$N$26</c:f>
              <c:numCache>
                <c:formatCode>0\.0</c:formatCode>
                <c:ptCount val="1"/>
                <c:pt idx="0">
                  <c:v>1163.75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4C-4051-B5B1-62AAE8E25BB6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'SleepArchitecture-ARConly'!$J$29:$M$29</c:f>
                <c:numCache>
                  <c:formatCode>General</c:formatCode>
                  <c:ptCount val="4"/>
                  <c:pt idx="0">
                    <c:v>2.291757022273235</c:v>
                  </c:pt>
                  <c:pt idx="1">
                    <c:v>1.968741326954422</c:v>
                  </c:pt>
                  <c:pt idx="2">
                    <c:v>0.942654914202482</c:v>
                  </c:pt>
                  <c:pt idx="3">
                    <c:v>1.966658203915316</c:v>
                  </c:pt>
                </c:numCache>
              </c:numRef>
            </c:plus>
            <c:minus>
              <c:numRef>
                <c:f>'SleepArchitecture-ARConly'!$J$29:$M$29</c:f>
                <c:numCache>
                  <c:formatCode>General</c:formatCode>
                  <c:ptCount val="4"/>
                  <c:pt idx="0">
                    <c:v>2.291757022273235</c:v>
                  </c:pt>
                  <c:pt idx="1">
                    <c:v>1.968741326954422</c:v>
                  </c:pt>
                  <c:pt idx="2">
                    <c:v>0.942654914202482</c:v>
                  </c:pt>
                  <c:pt idx="3">
                    <c:v>1.966658203915316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'SleepArchitecture-ARConly'!$N$28</c:f>
              <c:numCache>
                <c:formatCode>0\.0</c:formatCode>
                <c:ptCount val="1"/>
                <c:pt idx="0">
                  <c:v>2941.0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D4C-4051-B5B1-62AAE8E25BB6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'SleepArchitecture-ARConly'!$J$31:$M$31</c:f>
                <c:numCache>
                  <c:formatCode>General</c:formatCode>
                  <c:ptCount val="4"/>
                  <c:pt idx="0">
                    <c:v>1.037497358748117</c:v>
                  </c:pt>
                  <c:pt idx="1">
                    <c:v>0.882654703306738</c:v>
                  </c:pt>
                  <c:pt idx="2">
                    <c:v>0.702326062224203</c:v>
                  </c:pt>
                  <c:pt idx="3">
                    <c:v>0.557868728864244</c:v>
                  </c:pt>
                </c:numCache>
              </c:numRef>
            </c:plus>
            <c:minus>
              <c:numRef>
                <c:f>'SleepArchitecture-ARConly'!$J$31:$M$31</c:f>
                <c:numCache>
                  <c:formatCode>General</c:formatCode>
                  <c:ptCount val="4"/>
                  <c:pt idx="0">
                    <c:v>1.037497358748117</c:v>
                  </c:pt>
                  <c:pt idx="1">
                    <c:v>0.882654703306738</c:v>
                  </c:pt>
                  <c:pt idx="2">
                    <c:v>0.702326062224203</c:v>
                  </c:pt>
                  <c:pt idx="3">
                    <c:v>0.557868728864244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'SleepArchitecture-ARConly'!$N$30</c:f>
              <c:numCache>
                <c:formatCode>0\.0</c:formatCode>
                <c:ptCount val="1"/>
                <c:pt idx="0">
                  <c:v>762.5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4C-4051-B5B1-62AAE8E2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8060144"/>
        <c:axId val="-2126880016"/>
      </c:barChart>
      <c:catAx>
        <c:axId val="-2118060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26880016"/>
        <c:crosses val="autoZero"/>
        <c:auto val="1"/>
        <c:lblAlgn val="ctr"/>
        <c:lblOffset val="100"/>
        <c:noMultiLvlLbl val="0"/>
      </c:catAx>
      <c:valAx>
        <c:axId val="-212688001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806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130902777778"/>
          <c:y val="0.0783344444444445"/>
          <c:w val="0.776314930555556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SleepArchitecture!$C$59:$F$59</c:f>
                <c:numCache>
                  <c:formatCode>General</c:formatCode>
                  <c:ptCount val="4"/>
                  <c:pt idx="0">
                    <c:v>9.416102707387937</c:v>
                  </c:pt>
                  <c:pt idx="1">
                    <c:v>11.31332884495176</c:v>
                  </c:pt>
                  <c:pt idx="2">
                    <c:v>1.718740279060973</c:v>
                  </c:pt>
                  <c:pt idx="3">
                    <c:v>3.026602542903594</c:v>
                  </c:pt>
                </c:numCache>
              </c:numRef>
            </c:plus>
            <c:minus>
              <c:numRef>
                <c:f>SleepArchitecture!$C$59:$F$59</c:f>
                <c:numCache>
                  <c:formatCode>General</c:formatCode>
                  <c:ptCount val="4"/>
                  <c:pt idx="0">
                    <c:v>9.416102707387937</c:v>
                  </c:pt>
                  <c:pt idx="1">
                    <c:v>11.31332884495176</c:v>
                  </c:pt>
                  <c:pt idx="2">
                    <c:v>1.718740279060973</c:v>
                  </c:pt>
                  <c:pt idx="3">
                    <c:v>3.026602542903594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SleepArchitecture!$C$58:$E$58</c:f>
              <c:numCache>
                <c:formatCode>0\.0</c:formatCode>
                <c:ptCount val="3"/>
                <c:pt idx="0">
                  <c:v>116.5</c:v>
                </c:pt>
                <c:pt idx="1">
                  <c:v>169.1078431372549</c:v>
                </c:pt>
                <c:pt idx="2">
                  <c:v>23.24509803921569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CA-453A-9CFD-274945D07C19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SleepArchitecture!$C$61:$F$61</c:f>
                <c:numCache>
                  <c:formatCode>General</c:formatCode>
                  <c:ptCount val="4"/>
                  <c:pt idx="0">
                    <c:v>7.088453521168017</c:v>
                  </c:pt>
                  <c:pt idx="1">
                    <c:v>5.701219715990604</c:v>
                  </c:pt>
                  <c:pt idx="2">
                    <c:v>0.934857386628214</c:v>
                  </c:pt>
                  <c:pt idx="3">
                    <c:v>2.182553932132415</c:v>
                  </c:pt>
                </c:numCache>
              </c:numRef>
            </c:plus>
            <c:minus>
              <c:numRef>
                <c:f>SleepArchitecture!$C$61:$F$61</c:f>
                <c:numCache>
                  <c:formatCode>General</c:formatCode>
                  <c:ptCount val="4"/>
                  <c:pt idx="0">
                    <c:v>7.088453521168017</c:v>
                  </c:pt>
                  <c:pt idx="1">
                    <c:v>5.701219715990604</c:v>
                  </c:pt>
                  <c:pt idx="2">
                    <c:v>0.934857386628214</c:v>
                  </c:pt>
                  <c:pt idx="3">
                    <c:v>2.182553932132415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SleepArchitecture!$C$60:$E$60</c:f>
              <c:numCache>
                <c:formatCode>0\.0</c:formatCode>
                <c:ptCount val="3"/>
                <c:pt idx="0">
                  <c:v>126.6770833333333</c:v>
                </c:pt>
                <c:pt idx="1">
                  <c:v>189.1041666666667</c:v>
                </c:pt>
                <c:pt idx="2">
                  <c:v>24.54166666666667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CA-453A-9CFD-274945D07C19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SleepArchitecture!$C$63:$F$63</c:f>
                <c:numCache>
                  <c:formatCode>General</c:formatCode>
                  <c:ptCount val="4"/>
                  <c:pt idx="0">
                    <c:v>5.616595085180801</c:v>
                  </c:pt>
                  <c:pt idx="1">
                    <c:v>5.384552235588189</c:v>
                  </c:pt>
                  <c:pt idx="2">
                    <c:v>1.140782728620191</c:v>
                  </c:pt>
                  <c:pt idx="3">
                    <c:v>2.070888267477091</c:v>
                  </c:pt>
                </c:numCache>
              </c:numRef>
            </c:plus>
            <c:minus>
              <c:numRef>
                <c:f>SleepArchitecture!$C$63:$F$63</c:f>
                <c:numCache>
                  <c:formatCode>General</c:formatCode>
                  <c:ptCount val="4"/>
                  <c:pt idx="0">
                    <c:v>5.616595085180801</c:v>
                  </c:pt>
                  <c:pt idx="1">
                    <c:v>5.384552235588189</c:v>
                  </c:pt>
                  <c:pt idx="2">
                    <c:v>1.140782728620191</c:v>
                  </c:pt>
                  <c:pt idx="3">
                    <c:v>2.070888267477091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SleepArchitecture!$C$62:$E$62</c:f>
              <c:numCache>
                <c:formatCode>0\.0</c:formatCode>
                <c:ptCount val="3"/>
                <c:pt idx="0">
                  <c:v>133.2</c:v>
                </c:pt>
                <c:pt idx="1">
                  <c:v>179.125</c:v>
                </c:pt>
                <c:pt idx="2">
                  <c:v>24.49166666666666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4CA-453A-9CFD-274945D07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26585056"/>
        <c:axId val="-2115752560"/>
      </c:barChart>
      <c:catAx>
        <c:axId val="-2126585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15752560"/>
        <c:crosses val="autoZero"/>
        <c:auto val="1"/>
        <c:lblAlgn val="ctr"/>
        <c:lblOffset val="100"/>
        <c:noMultiLvlLbl val="0"/>
      </c:catAx>
      <c:valAx>
        <c:axId val="-211575256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2658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Constantia" panose="02030602050306030303" pitchFamily="18" charset="0"/>
        </a:defRPr>
      </a:pPr>
      <a:endParaRPr lang="en-US"/>
    </a:p>
  </c:txPr>
  <c:printSettings>
    <c:headerFooter/>
    <c:pageMargins b="0.787401575" l="0.7" r="0.7" t="0.7874015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SleepArchitecture!$J$59:$M$59</c:f>
                <c:numCache>
                  <c:formatCode>General</c:formatCode>
                  <c:ptCount val="4"/>
                  <c:pt idx="0">
                    <c:v>2.295535714417792</c:v>
                  </c:pt>
                  <c:pt idx="1">
                    <c:v>1.960671546574638</c:v>
                  </c:pt>
                  <c:pt idx="2">
                    <c:v>0.578520522811249</c:v>
                  </c:pt>
                  <c:pt idx="3">
                    <c:v>0.562310045099127</c:v>
                  </c:pt>
                </c:numCache>
              </c:numRef>
            </c:plus>
            <c:minus>
              <c:numRef>
                <c:f>SleepArchitecture!$J$59:$M$59</c:f>
                <c:numCache>
                  <c:formatCode>General</c:formatCode>
                  <c:ptCount val="4"/>
                  <c:pt idx="0">
                    <c:v>2.295535714417792</c:v>
                  </c:pt>
                  <c:pt idx="1">
                    <c:v>1.960671546574638</c:v>
                  </c:pt>
                  <c:pt idx="2">
                    <c:v>0.578520522811249</c:v>
                  </c:pt>
                  <c:pt idx="3">
                    <c:v>0.562310045099127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SleepArchitecture!$J$58:$M$58</c:f>
              <c:numCache>
                <c:formatCode>0\.0</c:formatCode>
                <c:ptCount val="4"/>
                <c:pt idx="0">
                  <c:v>34.65434819243395</c:v>
                </c:pt>
                <c:pt idx="1">
                  <c:v>51.84240363025947</c:v>
                </c:pt>
                <c:pt idx="2">
                  <c:v>7.33804628201782</c:v>
                </c:pt>
                <c:pt idx="3">
                  <c:v>9.364164288206406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FE-4EF5-A766-0663916D2E60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SleepArchitecture!$J$61:$M$61</c:f>
                <c:numCache>
                  <c:formatCode>General</c:formatCode>
                  <c:ptCount val="4"/>
                  <c:pt idx="0">
                    <c:v>1.828260819804896</c:v>
                  </c:pt>
                  <c:pt idx="1">
                    <c:v>1.564956905038657</c:v>
                  </c:pt>
                  <c:pt idx="2">
                    <c:v>0.301581926642887</c:v>
                  </c:pt>
                  <c:pt idx="3">
                    <c:v>0.623632462437911</c:v>
                  </c:pt>
                </c:numCache>
              </c:numRef>
            </c:plus>
            <c:minus>
              <c:numRef>
                <c:f>SleepArchitecture!$J$61:$M$61</c:f>
                <c:numCache>
                  <c:formatCode>General</c:formatCode>
                  <c:ptCount val="4"/>
                  <c:pt idx="0">
                    <c:v>1.828260819804896</c:v>
                  </c:pt>
                  <c:pt idx="1">
                    <c:v>1.564956905038657</c:v>
                  </c:pt>
                  <c:pt idx="2">
                    <c:v>0.301581926642887</c:v>
                  </c:pt>
                  <c:pt idx="3">
                    <c:v>0.623632462437911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SleepArchitecture!$J$60:$M$60</c:f>
              <c:numCache>
                <c:formatCode>0\.0</c:formatCode>
                <c:ptCount val="4"/>
                <c:pt idx="0">
                  <c:v>35.29137160953356</c:v>
                </c:pt>
                <c:pt idx="1">
                  <c:v>52.87569038075553</c:v>
                </c:pt>
                <c:pt idx="2">
                  <c:v>6.88507219304676</c:v>
                </c:pt>
                <c:pt idx="3">
                  <c:v>9.004492363307633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FE-4EF5-A766-0663916D2E60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SleepArchitecture!$J$63:$M$63</c:f>
                <c:numCache>
                  <c:formatCode>General</c:formatCode>
                  <c:ptCount val="4"/>
                  <c:pt idx="0">
                    <c:v>1.523607523790881</c:v>
                  </c:pt>
                  <c:pt idx="1">
                    <c:v>1.35270528094883</c:v>
                  </c:pt>
                  <c:pt idx="2">
                    <c:v>0.283249258463589</c:v>
                  </c:pt>
                  <c:pt idx="3">
                    <c:v>0.548910433418241</c:v>
                  </c:pt>
                </c:numCache>
              </c:numRef>
            </c:plus>
            <c:minus>
              <c:numRef>
                <c:f>SleepArchitecture!$J$63:$M$63</c:f>
                <c:numCache>
                  <c:formatCode>General</c:formatCode>
                  <c:ptCount val="4"/>
                  <c:pt idx="0">
                    <c:v>1.523607523790881</c:v>
                  </c:pt>
                  <c:pt idx="1">
                    <c:v>1.35270528094883</c:v>
                  </c:pt>
                  <c:pt idx="2">
                    <c:v>0.283249258463589</c:v>
                  </c:pt>
                  <c:pt idx="3">
                    <c:v>0.548910433418241</c:v>
                  </c:pt>
                </c:numCache>
              </c:numRef>
            </c:minus>
          </c:errBars>
          <c:cat>
            <c:strRef>
              <c:f>SleepArchitecture!$C$3:$F$3</c:f>
              <c:strCache>
                <c:ptCount val="4"/>
                <c:pt idx="0">
                  <c:v>Wake</c:v>
                </c:pt>
                <c:pt idx="1">
                  <c:v> NREM</c:v>
                </c:pt>
                <c:pt idx="2">
                  <c:v> REM</c:v>
                </c:pt>
                <c:pt idx="3">
                  <c:v> Arousal</c:v>
                </c:pt>
              </c:strCache>
            </c:strRef>
          </c:cat>
          <c:val>
            <c:numRef>
              <c:f>SleepArchitecture!$J$62:$M$62</c:f>
              <c:numCache>
                <c:formatCode>0\.0</c:formatCode>
                <c:ptCount val="4"/>
                <c:pt idx="0">
                  <c:v>36.2655601257943</c:v>
                </c:pt>
                <c:pt idx="1">
                  <c:v>48.72848590363323</c:v>
                </c:pt>
                <c:pt idx="2">
                  <c:v>6.649907676316998</c:v>
                </c:pt>
                <c:pt idx="3">
                  <c:v>8.11670759451905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FE-4EF5-A766-0663916D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6084752"/>
        <c:axId val="-2117296736"/>
      </c:barChart>
      <c:catAx>
        <c:axId val="-2116084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17296736"/>
        <c:crosses val="autoZero"/>
        <c:auto val="1"/>
        <c:lblAlgn val="ctr"/>
        <c:lblOffset val="100"/>
        <c:noMultiLvlLbl val="0"/>
      </c:catAx>
      <c:valAx>
        <c:axId val="-211729673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608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83641975309"/>
          <c:y val="0.0783344444444445"/>
          <c:w val="0.867058333333334"/>
          <c:h val="0.74491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SleepArchitecture!$J$59:$M$59</c:f>
                <c:numCache>
                  <c:formatCode>General</c:formatCode>
                  <c:ptCount val="4"/>
                  <c:pt idx="0">
                    <c:v>2.295535714417792</c:v>
                  </c:pt>
                  <c:pt idx="1">
                    <c:v>1.960671546574638</c:v>
                  </c:pt>
                  <c:pt idx="2">
                    <c:v>0.578520522811249</c:v>
                  </c:pt>
                  <c:pt idx="3">
                    <c:v>0.562310045099127</c:v>
                  </c:pt>
                </c:numCache>
              </c:numRef>
            </c:plus>
            <c:minus>
              <c:numRef>
                <c:f>SleepArchitecture!$J$59:$M$59</c:f>
                <c:numCache>
                  <c:formatCode>General</c:formatCode>
                  <c:ptCount val="4"/>
                  <c:pt idx="0">
                    <c:v>2.295535714417792</c:v>
                  </c:pt>
                  <c:pt idx="1">
                    <c:v>1.960671546574638</c:v>
                  </c:pt>
                  <c:pt idx="2">
                    <c:v>0.578520522811249</c:v>
                  </c:pt>
                  <c:pt idx="3">
                    <c:v>0.562310045099127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SleepArchitecture!$O$58</c:f>
              <c:numCache>
                <c:formatCode>0\.0</c:formatCode>
                <c:ptCount val="1"/>
                <c:pt idx="0">
                  <c:v>18.41666666666667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4C-4051-B5B1-62AAE8E25BB6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SleepArchitecture!$J$61:$M$61</c:f>
                <c:numCache>
                  <c:formatCode>General</c:formatCode>
                  <c:ptCount val="4"/>
                  <c:pt idx="0">
                    <c:v>1.828260819804896</c:v>
                  </c:pt>
                  <c:pt idx="1">
                    <c:v>1.564956905038657</c:v>
                  </c:pt>
                  <c:pt idx="2">
                    <c:v>0.301581926642887</c:v>
                  </c:pt>
                  <c:pt idx="3">
                    <c:v>0.623632462437911</c:v>
                  </c:pt>
                </c:numCache>
              </c:numRef>
            </c:plus>
            <c:minus>
              <c:numRef>
                <c:f>SleepArchitecture!$J$61:$M$61</c:f>
                <c:numCache>
                  <c:formatCode>General</c:formatCode>
                  <c:ptCount val="4"/>
                  <c:pt idx="0">
                    <c:v>1.828260819804896</c:v>
                  </c:pt>
                  <c:pt idx="1">
                    <c:v>1.564956905038657</c:v>
                  </c:pt>
                  <c:pt idx="2">
                    <c:v>0.301581926642887</c:v>
                  </c:pt>
                  <c:pt idx="3">
                    <c:v>0.623632462437911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SleepArchitecture!$O$60</c:f>
              <c:numCache>
                <c:formatCode>0\.0</c:formatCode>
                <c:ptCount val="1"/>
                <c:pt idx="0">
                  <c:v>13.57291666666667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D4C-4051-B5B1-62AAE8E25BB6}"/>
            </c:ext>
          </c:extLst>
        </c:ser>
        <c:ser>
          <c:idx val="2"/>
          <c:order val="2"/>
          <c:tx>
            <c:v>NOSTIM</c:v>
          </c:tx>
          <c:invertIfNegative val="0"/>
          <c:errBars>
            <c:errBarType val="plus"/>
            <c:errValType val="cust"/>
            <c:noEndCap val="0"/>
            <c:plus>
              <c:numRef>
                <c:f>SleepArchitecture!$J$63:$M$63</c:f>
                <c:numCache>
                  <c:formatCode>General</c:formatCode>
                  <c:ptCount val="4"/>
                  <c:pt idx="0">
                    <c:v>1.523607523790881</c:v>
                  </c:pt>
                  <c:pt idx="1">
                    <c:v>1.35270528094883</c:v>
                  </c:pt>
                  <c:pt idx="2">
                    <c:v>0.283249258463589</c:v>
                  </c:pt>
                  <c:pt idx="3">
                    <c:v>0.548910433418241</c:v>
                  </c:pt>
                </c:numCache>
              </c:numRef>
            </c:plus>
            <c:minus>
              <c:numRef>
                <c:f>SleepArchitecture!$J$63:$M$63</c:f>
                <c:numCache>
                  <c:formatCode>General</c:formatCode>
                  <c:ptCount val="4"/>
                  <c:pt idx="0">
                    <c:v>1.523607523790881</c:v>
                  </c:pt>
                  <c:pt idx="1">
                    <c:v>1.35270528094883</c:v>
                  </c:pt>
                  <c:pt idx="2">
                    <c:v>0.283249258463589</c:v>
                  </c:pt>
                  <c:pt idx="3">
                    <c:v>0.548910433418241</c:v>
                  </c:pt>
                </c:numCache>
              </c:numRef>
            </c:minus>
          </c:errBars>
          <c:cat>
            <c:strLit>
              <c:ptCount val="1"/>
            </c:strLit>
          </c:cat>
          <c:val>
            <c:numRef>
              <c:f>SleepArchitecture!$O$62</c:f>
              <c:numCache>
                <c:formatCode>0\.0</c:formatCode>
                <c:ptCount val="1"/>
                <c:pt idx="0">
                  <c:v>25.34166666666666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4C-4051-B5B1-62AAE8E2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17184112"/>
        <c:axId val="-2121211920"/>
      </c:barChart>
      <c:catAx>
        <c:axId val="-2117184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2121211920"/>
        <c:crosses val="autoZero"/>
        <c:auto val="1"/>
        <c:lblAlgn val="ctr"/>
        <c:lblOffset val="100"/>
        <c:noMultiLvlLbl val="0"/>
      </c:catAx>
      <c:valAx>
        <c:axId val="-212121192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11718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26098611111111"/>
          <c:y val="0.00523333333333332"/>
          <c:w val="0.573901388888889"/>
          <c:h val="0.10053277777777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45</xdr:row>
      <xdr:rowOff>0</xdr:rowOff>
    </xdr:from>
    <xdr:to>
      <xdr:col>6</xdr:col>
      <xdr:colOff>441600</xdr:colOff>
      <xdr:row>52</xdr:row>
      <xdr:rowOff>106500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14</xdr:col>
      <xdr:colOff>241575</xdr:colOff>
      <xdr:row>52</xdr:row>
      <xdr:rowOff>106500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45</xdr:row>
      <xdr:rowOff>0</xdr:rowOff>
    </xdr:from>
    <xdr:to>
      <xdr:col>18</xdr:col>
      <xdr:colOff>331200</xdr:colOff>
      <xdr:row>52</xdr:row>
      <xdr:rowOff>106500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37</xdr:row>
      <xdr:rowOff>0</xdr:rowOff>
    </xdr:from>
    <xdr:to>
      <xdr:col>6</xdr:col>
      <xdr:colOff>441600</xdr:colOff>
      <xdr:row>44</xdr:row>
      <xdr:rowOff>106500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13</xdr:col>
      <xdr:colOff>241575</xdr:colOff>
      <xdr:row>44</xdr:row>
      <xdr:rowOff>106500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17</xdr:col>
      <xdr:colOff>331200</xdr:colOff>
      <xdr:row>44</xdr:row>
      <xdr:rowOff>106500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69</xdr:row>
      <xdr:rowOff>0</xdr:rowOff>
    </xdr:from>
    <xdr:to>
      <xdr:col>6</xdr:col>
      <xdr:colOff>441600</xdr:colOff>
      <xdr:row>76</xdr:row>
      <xdr:rowOff>106500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14</xdr:col>
      <xdr:colOff>241575</xdr:colOff>
      <xdr:row>76</xdr:row>
      <xdr:rowOff>106500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18</xdr:col>
      <xdr:colOff>331200</xdr:colOff>
      <xdr:row>76</xdr:row>
      <xdr:rowOff>106500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OOptoStim-SleepArchitectur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OOptoStim-SleepArchitecture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OOptoStim-SleepArchitec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Relationship Id="rId3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Relationship Id="rId3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Relationship Id="rId3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activeCell="J22" sqref="J22:O32"/>
    </sheetView>
  </sheetViews>
  <sheetFormatPr baseColWidth="10" defaultColWidth="9.1640625" defaultRowHeight="15" x14ac:dyDescent="0.2"/>
  <cols>
    <col min="8" max="8" width="14.5" customWidth="1"/>
    <col min="9" max="9" width="2.83203125" style="12" customWidth="1"/>
    <col min="14" max="14" width="3" customWidth="1"/>
    <col min="22" max="22" width="24" bestFit="1" customWidth="1"/>
  </cols>
  <sheetData>
    <row r="1" spans="1:17" x14ac:dyDescent="0.2">
      <c r="C1" t="s">
        <v>0</v>
      </c>
    </row>
    <row r="2" spans="1:17" x14ac:dyDescent="0.2">
      <c r="C2" s="16" t="s">
        <v>14</v>
      </c>
      <c r="D2" s="16"/>
      <c r="E2" s="16"/>
      <c r="F2" s="16"/>
      <c r="G2" s="16"/>
      <c r="J2" s="16" t="s">
        <v>15</v>
      </c>
      <c r="K2" s="16"/>
      <c r="L2" s="16"/>
      <c r="M2" s="16"/>
    </row>
    <row r="3" spans="1:17" x14ac:dyDescent="0.2">
      <c r="B3" t="s">
        <v>16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J3" t="s">
        <v>1</v>
      </c>
      <c r="K3" t="s">
        <v>11</v>
      </c>
      <c r="L3" t="s">
        <v>12</v>
      </c>
      <c r="M3" t="s">
        <v>13</v>
      </c>
      <c r="O3" t="s">
        <v>19</v>
      </c>
    </row>
    <row r="4" spans="1:17" s="6" customFormat="1" x14ac:dyDescent="0.2">
      <c r="A4" s="6" t="s">
        <v>73</v>
      </c>
      <c r="B4" s="6">
        <v>11</v>
      </c>
      <c r="C4" s="6">
        <v>279</v>
      </c>
      <c r="D4" s="6">
        <v>232</v>
      </c>
      <c r="E4" s="6">
        <v>33</v>
      </c>
      <c r="F4" s="6">
        <v>37</v>
      </c>
      <c r="G4" s="6">
        <v>546</v>
      </c>
      <c r="H4" s="6">
        <v>90</v>
      </c>
      <c r="I4" s="12"/>
      <c r="J4" s="7">
        <f t="shared" ref="J4:J12" si="0">C4/$G4*100</f>
        <v>51.098901098901095</v>
      </c>
      <c r="K4" s="7">
        <f t="shared" ref="K4:M12" si="1">D4/$G4*100</f>
        <v>42.490842490842489</v>
      </c>
      <c r="L4" s="7">
        <f t="shared" si="1"/>
        <v>6.0439560439560438</v>
      </c>
      <c r="M4" s="7">
        <f t="shared" si="1"/>
        <v>6.7765567765567765</v>
      </c>
      <c r="O4" s="6">
        <v>5</v>
      </c>
      <c r="Q4" s="6" t="s">
        <v>73</v>
      </c>
    </row>
    <row r="5" spans="1:17" s="6" customFormat="1" x14ac:dyDescent="0.2">
      <c r="A5" s="6" t="s">
        <v>74</v>
      </c>
      <c r="B5" s="6">
        <v>12</v>
      </c>
      <c r="C5" s="6">
        <v>37</v>
      </c>
      <c r="D5" s="6">
        <v>420</v>
      </c>
      <c r="E5" s="6">
        <v>82</v>
      </c>
      <c r="F5" s="6">
        <v>40</v>
      </c>
      <c r="G5" s="6">
        <v>546</v>
      </c>
      <c r="H5" s="6">
        <v>90</v>
      </c>
      <c r="I5" s="12"/>
      <c r="J5" s="7">
        <f t="shared" si="0"/>
        <v>6.7765567765567765</v>
      </c>
      <c r="K5" s="7">
        <f t="shared" si="1"/>
        <v>76.923076923076934</v>
      </c>
      <c r="L5" s="7">
        <f t="shared" si="1"/>
        <v>15.018315018315018</v>
      </c>
      <c r="M5" s="7">
        <f t="shared" si="1"/>
        <v>7.3260073260073266</v>
      </c>
      <c r="O5" s="6">
        <v>5</v>
      </c>
      <c r="Q5" s="6" t="s">
        <v>74</v>
      </c>
    </row>
    <row r="6" spans="1:17" s="6" customFormat="1" x14ac:dyDescent="0.2">
      <c r="A6" s="6" t="s">
        <v>75</v>
      </c>
      <c r="B6" s="6">
        <v>13</v>
      </c>
      <c r="C6" s="6">
        <v>648</v>
      </c>
      <c r="D6" s="6">
        <v>1009</v>
      </c>
      <c r="E6" s="6">
        <v>130</v>
      </c>
      <c r="F6" s="6">
        <v>170</v>
      </c>
      <c r="G6" s="6">
        <v>2162</v>
      </c>
      <c r="H6" s="6">
        <v>360</v>
      </c>
      <c r="I6" s="12"/>
      <c r="J6" s="7">
        <f t="shared" si="0"/>
        <v>29.972247918593897</v>
      </c>
      <c r="K6" s="7">
        <f t="shared" si="1"/>
        <v>46.669750231267344</v>
      </c>
      <c r="L6" s="7">
        <f t="shared" si="1"/>
        <v>6.0129509713228497</v>
      </c>
      <c r="M6" s="7">
        <f t="shared" si="1"/>
        <v>7.8630897317298807</v>
      </c>
      <c r="O6" s="6">
        <v>3565</v>
      </c>
      <c r="Q6" s="6" t="s">
        <v>75</v>
      </c>
    </row>
    <row r="7" spans="1:17" s="6" customFormat="1" x14ac:dyDescent="0.2">
      <c r="A7" s="6" t="s">
        <v>76</v>
      </c>
      <c r="B7" s="6">
        <v>14</v>
      </c>
      <c r="C7" s="6">
        <v>820</v>
      </c>
      <c r="D7" s="6">
        <v>1028</v>
      </c>
      <c r="E7" s="6">
        <v>173</v>
      </c>
      <c r="F7" s="6">
        <v>137</v>
      </c>
      <c r="G7" s="6">
        <v>2163</v>
      </c>
      <c r="H7" s="6">
        <v>360</v>
      </c>
      <c r="I7" s="12"/>
      <c r="J7" s="7">
        <f t="shared" si="0"/>
        <v>37.910309754969951</v>
      </c>
      <c r="K7" s="7">
        <f t="shared" si="1"/>
        <v>47.526583448913549</v>
      </c>
      <c r="L7" s="7">
        <f t="shared" si="1"/>
        <v>7.9981507165973191</v>
      </c>
      <c r="M7" s="7">
        <f t="shared" si="1"/>
        <v>6.3337956541840033</v>
      </c>
      <c r="O7" s="6">
        <v>865</v>
      </c>
      <c r="Q7" s="6" t="s">
        <v>76</v>
      </c>
    </row>
    <row r="8" spans="1:17" s="6" customFormat="1" x14ac:dyDescent="0.2">
      <c r="A8" s="6" t="s">
        <v>77</v>
      </c>
      <c r="B8" s="6">
        <v>15</v>
      </c>
      <c r="C8" s="6">
        <v>755</v>
      </c>
      <c r="D8" s="6">
        <v>1176</v>
      </c>
      <c r="E8" s="6">
        <v>144</v>
      </c>
      <c r="F8" s="6">
        <v>277</v>
      </c>
      <c r="G8" s="6">
        <v>2240</v>
      </c>
      <c r="H8" s="6">
        <v>373</v>
      </c>
      <c r="I8" s="12"/>
      <c r="J8" s="7">
        <f t="shared" si="0"/>
        <v>33.705357142857146</v>
      </c>
      <c r="K8" s="7">
        <f t="shared" si="1"/>
        <v>52.5</v>
      </c>
      <c r="L8" s="7">
        <f t="shared" si="1"/>
        <v>6.4285714285714279</v>
      </c>
      <c r="M8" s="7">
        <f t="shared" si="1"/>
        <v>12.366071428571429</v>
      </c>
      <c r="O8" s="6">
        <v>1115</v>
      </c>
      <c r="Q8" s="6" t="s">
        <v>77</v>
      </c>
    </row>
    <row r="9" spans="1:17" s="6" customFormat="1" x14ac:dyDescent="0.2">
      <c r="A9" s="6" t="s">
        <v>78</v>
      </c>
      <c r="B9" s="6">
        <v>16</v>
      </c>
      <c r="C9" s="6">
        <v>800</v>
      </c>
      <c r="D9" s="6">
        <v>982</v>
      </c>
      <c r="E9" s="6">
        <v>148</v>
      </c>
      <c r="F9" s="6">
        <v>192</v>
      </c>
      <c r="G9" s="6">
        <v>2162</v>
      </c>
      <c r="H9" s="6">
        <v>360</v>
      </c>
      <c r="I9" s="12"/>
      <c r="J9" s="7">
        <f t="shared" si="0"/>
        <v>37.002775208140612</v>
      </c>
      <c r="K9" s="7">
        <f t="shared" si="1"/>
        <v>45.420906567992596</v>
      </c>
      <c r="L9" s="7">
        <f t="shared" si="1"/>
        <v>6.8455134135060129</v>
      </c>
      <c r="M9" s="7">
        <f t="shared" si="1"/>
        <v>8.8806660499537458</v>
      </c>
      <c r="O9" s="6">
        <v>1705</v>
      </c>
      <c r="Q9" s="6" t="s">
        <v>78</v>
      </c>
    </row>
    <row r="10" spans="1:17" s="6" customFormat="1" x14ac:dyDescent="0.2">
      <c r="A10" s="6" t="s">
        <v>79</v>
      </c>
      <c r="B10" s="6">
        <v>17</v>
      </c>
      <c r="C10" s="6">
        <v>1076</v>
      </c>
      <c r="D10" s="6">
        <v>870</v>
      </c>
      <c r="E10" s="6">
        <v>149</v>
      </c>
      <c r="F10" s="6">
        <v>151</v>
      </c>
      <c r="G10" s="6">
        <v>2169</v>
      </c>
      <c r="H10" s="6">
        <v>361</v>
      </c>
      <c r="I10" s="12"/>
      <c r="J10" s="7">
        <f t="shared" si="0"/>
        <v>49.608114338404796</v>
      </c>
      <c r="K10" s="7">
        <f t="shared" si="1"/>
        <v>40.110650069156293</v>
      </c>
      <c r="L10" s="7">
        <f t="shared" si="1"/>
        <v>6.869525126786538</v>
      </c>
      <c r="M10" s="7">
        <f t="shared" si="1"/>
        <v>6.9617335177501154</v>
      </c>
      <c r="O10" s="6">
        <v>405</v>
      </c>
      <c r="Q10" s="6" t="s">
        <v>79</v>
      </c>
    </row>
    <row r="11" spans="1:17" s="6" customFormat="1" x14ac:dyDescent="0.2">
      <c r="A11" s="6" t="s">
        <v>80</v>
      </c>
      <c r="B11" s="6">
        <v>18</v>
      </c>
      <c r="C11" s="6">
        <v>694</v>
      </c>
      <c r="D11" s="6">
        <v>1062</v>
      </c>
      <c r="E11" s="6">
        <v>176</v>
      </c>
      <c r="F11" s="6">
        <v>201</v>
      </c>
      <c r="G11" s="6">
        <v>2162</v>
      </c>
      <c r="H11" s="6">
        <v>360</v>
      </c>
      <c r="I11" s="12"/>
      <c r="J11" s="7">
        <f t="shared" ref="J11" si="2">C11/$G11*100</f>
        <v>32.099907493061977</v>
      </c>
      <c r="K11" s="7">
        <f t="shared" ref="K11" si="3">D11/$G11*100</f>
        <v>49.121184088806665</v>
      </c>
      <c r="L11" s="7">
        <f t="shared" ref="L11" si="4">E11/$G11*100</f>
        <v>8.1406105457909348</v>
      </c>
      <c r="M11" s="7">
        <f t="shared" ref="M11" si="5">F11/$G11*100</f>
        <v>9.2969472710453296</v>
      </c>
      <c r="O11" s="6">
        <v>1775</v>
      </c>
      <c r="Q11" s="6" t="s">
        <v>80</v>
      </c>
    </row>
    <row r="12" spans="1:17" s="6" customFormat="1" x14ac:dyDescent="0.2">
      <c r="A12" s="6" t="s">
        <v>81</v>
      </c>
      <c r="B12" s="6">
        <v>19</v>
      </c>
      <c r="C12" s="6">
        <v>757</v>
      </c>
      <c r="D12" s="6">
        <v>1152</v>
      </c>
      <c r="E12" s="6">
        <v>171</v>
      </c>
      <c r="F12" s="6">
        <v>240</v>
      </c>
      <c r="G12" s="6">
        <v>2165</v>
      </c>
      <c r="H12" s="6">
        <v>360</v>
      </c>
      <c r="I12" s="12"/>
      <c r="J12" s="7">
        <f t="shared" si="0"/>
        <v>34.965357967667437</v>
      </c>
      <c r="K12" s="7">
        <f t="shared" si="1"/>
        <v>53.210161662817555</v>
      </c>
      <c r="L12" s="7">
        <f t="shared" si="1"/>
        <v>7.8983833718244796</v>
      </c>
      <c r="M12" s="7">
        <f t="shared" si="1"/>
        <v>11.085450346420323</v>
      </c>
      <c r="O12" s="6">
        <v>515</v>
      </c>
      <c r="Q12" s="6" t="s">
        <v>81</v>
      </c>
    </row>
    <row r="13" spans="1:17" s="4" customFormat="1" x14ac:dyDescent="0.2">
      <c r="A13" s="4" t="s">
        <v>82</v>
      </c>
      <c r="B13" s="4">
        <v>10</v>
      </c>
      <c r="C13" s="4">
        <v>549</v>
      </c>
      <c r="D13" s="4">
        <v>1372</v>
      </c>
      <c r="E13" s="4">
        <v>177</v>
      </c>
      <c r="F13" s="4">
        <v>212</v>
      </c>
      <c r="G13" s="4">
        <v>2172</v>
      </c>
      <c r="H13" s="4">
        <v>362</v>
      </c>
      <c r="I13" s="12"/>
      <c r="J13" s="5">
        <f t="shared" ref="J13:M21" si="6">C13/$G13*100</f>
        <v>25.276243093922652</v>
      </c>
      <c r="K13" s="5">
        <f t="shared" si="6"/>
        <v>63.167587476979747</v>
      </c>
      <c r="L13" s="5">
        <f t="shared" si="6"/>
        <v>8.1491712707182327</v>
      </c>
      <c r="M13" s="5">
        <f t="shared" si="6"/>
        <v>9.7605893186003687</v>
      </c>
      <c r="O13" s="4">
        <v>405</v>
      </c>
      <c r="Q13" s="4" t="s">
        <v>82</v>
      </c>
    </row>
    <row r="14" spans="1:17" s="4" customFormat="1" x14ac:dyDescent="0.2">
      <c r="A14" s="4" t="s">
        <v>83</v>
      </c>
      <c r="B14" s="4">
        <v>11</v>
      </c>
      <c r="C14" s="4">
        <v>794</v>
      </c>
      <c r="D14" s="4">
        <v>1096</v>
      </c>
      <c r="E14" s="4">
        <v>152</v>
      </c>
      <c r="F14" s="4">
        <v>194</v>
      </c>
      <c r="G14" s="4">
        <v>2162</v>
      </c>
      <c r="H14" s="4">
        <v>360</v>
      </c>
      <c r="I14" s="12"/>
      <c r="J14" s="5">
        <f t="shared" si="6"/>
        <v>36.725254394079556</v>
      </c>
      <c r="K14" s="5">
        <f t="shared" si="6"/>
        <v>50.693802035152636</v>
      </c>
      <c r="L14" s="5">
        <f t="shared" si="6"/>
        <v>7.0305272895467157</v>
      </c>
      <c r="M14" s="5">
        <f t="shared" si="6"/>
        <v>8.9731729879740989</v>
      </c>
      <c r="O14" s="4">
        <v>915</v>
      </c>
      <c r="Q14" s="4" t="s">
        <v>83</v>
      </c>
    </row>
    <row r="15" spans="1:17" s="4" customFormat="1" x14ac:dyDescent="0.2">
      <c r="A15" s="4" t="s">
        <v>84</v>
      </c>
      <c r="B15" s="4">
        <v>12</v>
      </c>
      <c r="C15" s="4">
        <v>971</v>
      </c>
      <c r="D15" s="4">
        <v>913</v>
      </c>
      <c r="E15" s="4">
        <v>123</v>
      </c>
      <c r="F15" s="4">
        <v>247</v>
      </c>
      <c r="G15" s="4">
        <v>2158</v>
      </c>
      <c r="H15" s="4">
        <v>359</v>
      </c>
      <c r="I15" s="12"/>
      <c r="J15" s="5">
        <f t="shared" si="6"/>
        <v>44.99536607970343</v>
      </c>
      <c r="K15" s="5">
        <f t="shared" si="6"/>
        <v>42.307692307692307</v>
      </c>
      <c r="L15" s="5">
        <f t="shared" si="6"/>
        <v>5.6997219647822055</v>
      </c>
      <c r="M15" s="5">
        <f t="shared" si="6"/>
        <v>11.445783132530121</v>
      </c>
      <c r="O15" s="4">
        <v>1215</v>
      </c>
      <c r="Q15" s="4" t="s">
        <v>84</v>
      </c>
    </row>
    <row r="16" spans="1:17" s="4" customFormat="1" x14ac:dyDescent="0.2">
      <c r="A16" s="4" t="s">
        <v>85</v>
      </c>
      <c r="B16" s="4">
        <v>13</v>
      </c>
      <c r="C16" s="4">
        <v>794</v>
      </c>
      <c r="D16" s="4">
        <v>1303</v>
      </c>
      <c r="E16" s="4">
        <v>165</v>
      </c>
      <c r="F16" s="4">
        <v>190</v>
      </c>
      <c r="G16" s="4">
        <v>2352</v>
      </c>
      <c r="H16" s="4">
        <v>392</v>
      </c>
      <c r="I16" s="12"/>
      <c r="J16" s="5">
        <f t="shared" si="6"/>
        <v>33.758503401360542</v>
      </c>
      <c r="K16" s="5">
        <f t="shared" si="6"/>
        <v>55.39965986394558</v>
      </c>
      <c r="L16" s="5">
        <f t="shared" si="6"/>
        <v>7.0153061224489788</v>
      </c>
      <c r="M16" s="5">
        <f t="shared" si="6"/>
        <v>8.0782312925170068</v>
      </c>
      <c r="O16" s="4">
        <v>305</v>
      </c>
      <c r="Q16" s="4" t="s">
        <v>85</v>
      </c>
    </row>
    <row r="17" spans="1:17" s="4" customFormat="1" x14ac:dyDescent="0.2">
      <c r="A17" s="4" t="s">
        <v>86</v>
      </c>
      <c r="B17" s="4">
        <v>14</v>
      </c>
      <c r="C17" s="4">
        <v>814</v>
      </c>
      <c r="D17" s="4">
        <v>1037</v>
      </c>
      <c r="E17" s="4">
        <v>161</v>
      </c>
      <c r="F17" s="4">
        <v>183</v>
      </c>
      <c r="G17" s="4">
        <v>2163</v>
      </c>
      <c r="H17" s="4">
        <v>360</v>
      </c>
      <c r="I17" s="12"/>
      <c r="J17" s="5">
        <f t="shared" si="6"/>
        <v>37.632917244567729</v>
      </c>
      <c r="K17" s="5">
        <f t="shared" si="6"/>
        <v>47.942672214516875</v>
      </c>
      <c r="L17" s="5">
        <f t="shared" si="6"/>
        <v>7.4433656957928811</v>
      </c>
      <c r="M17" s="5">
        <f t="shared" si="6"/>
        <v>8.4604715672676836</v>
      </c>
      <c r="O17" s="4">
        <v>965</v>
      </c>
      <c r="Q17" s="4" t="s">
        <v>86</v>
      </c>
    </row>
    <row r="18" spans="1:17" s="4" customFormat="1" x14ac:dyDescent="0.2">
      <c r="A18" s="4" t="s">
        <v>87</v>
      </c>
      <c r="B18" s="4">
        <v>15</v>
      </c>
      <c r="C18" s="4">
        <v>758</v>
      </c>
      <c r="D18" s="4">
        <v>1052</v>
      </c>
      <c r="E18" s="4">
        <v>152</v>
      </c>
      <c r="F18" s="4">
        <v>220</v>
      </c>
      <c r="G18" s="4">
        <v>2240</v>
      </c>
      <c r="H18" s="4">
        <v>373</v>
      </c>
      <c r="I18" s="12"/>
      <c r="J18" s="5">
        <f t="shared" si="6"/>
        <v>33.839285714285715</v>
      </c>
      <c r="K18" s="5">
        <f t="shared" si="6"/>
        <v>46.964285714285715</v>
      </c>
      <c r="L18" s="5">
        <f t="shared" si="6"/>
        <v>6.7857142857142856</v>
      </c>
      <c r="M18" s="5">
        <f t="shared" si="6"/>
        <v>9.8214285714285712</v>
      </c>
      <c r="O18" s="4">
        <v>1785</v>
      </c>
      <c r="Q18" s="4" t="s">
        <v>87</v>
      </c>
    </row>
    <row r="19" spans="1:17" s="4" customFormat="1" x14ac:dyDescent="0.2">
      <c r="A19" s="4" t="s">
        <v>88</v>
      </c>
      <c r="B19" s="4">
        <v>16</v>
      </c>
      <c r="C19" s="4">
        <v>615</v>
      </c>
      <c r="D19" s="4">
        <v>1222</v>
      </c>
      <c r="E19" s="4">
        <v>183</v>
      </c>
      <c r="F19" s="4">
        <v>188</v>
      </c>
      <c r="G19" s="4">
        <v>2162</v>
      </c>
      <c r="H19" s="4">
        <v>360</v>
      </c>
      <c r="I19" s="12"/>
      <c r="J19" s="5">
        <f t="shared" si="6"/>
        <v>28.445883441258097</v>
      </c>
      <c r="K19" s="5">
        <f t="shared" si="6"/>
        <v>56.521739130434781</v>
      </c>
      <c r="L19" s="5">
        <f t="shared" si="6"/>
        <v>8.4643848288621655</v>
      </c>
      <c r="M19" s="5">
        <f t="shared" si="6"/>
        <v>8.695652173913043</v>
      </c>
      <c r="O19" s="4">
        <v>1015</v>
      </c>
      <c r="Q19" s="4" t="s">
        <v>88</v>
      </c>
    </row>
    <row r="20" spans="1:17" s="4" customFormat="1" x14ac:dyDescent="0.2">
      <c r="A20" s="4" t="s">
        <v>89</v>
      </c>
      <c r="B20" s="4">
        <v>17</v>
      </c>
      <c r="C20" s="4">
        <v>987</v>
      </c>
      <c r="D20" s="4">
        <v>1004</v>
      </c>
      <c r="E20" s="4">
        <v>118</v>
      </c>
      <c r="F20" s="4">
        <v>117</v>
      </c>
      <c r="G20" s="4">
        <v>2169</v>
      </c>
      <c r="H20" s="4">
        <v>361</v>
      </c>
      <c r="I20" s="12"/>
      <c r="J20" s="5">
        <f t="shared" si="6"/>
        <v>45.50484094052559</v>
      </c>
      <c r="K20" s="5">
        <f t="shared" si="6"/>
        <v>46.288612263715997</v>
      </c>
      <c r="L20" s="5">
        <f t="shared" si="6"/>
        <v>5.4402950668510837</v>
      </c>
      <c r="M20" s="5">
        <f t="shared" si="6"/>
        <v>5.394190871369295</v>
      </c>
      <c r="O20" s="4">
        <v>245</v>
      </c>
      <c r="Q20" s="4" t="s">
        <v>89</v>
      </c>
    </row>
    <row r="21" spans="1:17" s="4" customFormat="1" x14ac:dyDescent="0.2">
      <c r="A21" s="4" t="s">
        <v>90</v>
      </c>
      <c r="B21" s="4">
        <v>18</v>
      </c>
      <c r="C21" s="4">
        <v>912</v>
      </c>
      <c r="D21" s="4">
        <v>1046</v>
      </c>
      <c r="E21" s="4">
        <v>135</v>
      </c>
      <c r="F21" s="4">
        <v>172</v>
      </c>
      <c r="G21" s="4">
        <v>2165</v>
      </c>
      <c r="H21" s="4">
        <v>360</v>
      </c>
      <c r="I21" s="12"/>
      <c r="J21" s="5">
        <f t="shared" si="6"/>
        <v>42.124711316397232</v>
      </c>
      <c r="K21" s="5">
        <f t="shared" si="6"/>
        <v>48.314087759815244</v>
      </c>
      <c r="L21" s="5">
        <f t="shared" si="6"/>
        <v>6.2355658198614323</v>
      </c>
      <c r="M21" s="5">
        <f t="shared" si="6"/>
        <v>7.9445727482678992</v>
      </c>
      <c r="O21" s="4">
        <v>405</v>
      </c>
      <c r="Q21" s="4" t="s">
        <v>90</v>
      </c>
    </row>
    <row r="22" spans="1:17" s="2" customFormat="1" x14ac:dyDescent="0.2">
      <c r="A22" s="2" t="s">
        <v>91</v>
      </c>
      <c r="B22" s="2">
        <v>10</v>
      </c>
      <c r="C22" s="2">
        <v>827</v>
      </c>
      <c r="D22" s="2">
        <v>1095</v>
      </c>
      <c r="E22" s="2">
        <v>125</v>
      </c>
      <c r="F22" s="2">
        <v>157</v>
      </c>
      <c r="G22" s="2">
        <v>2160</v>
      </c>
      <c r="H22" s="2">
        <v>360</v>
      </c>
      <c r="I22" s="12"/>
      <c r="J22" s="3">
        <f t="shared" ref="J22:M32" si="7">C22/$G22*100</f>
        <v>38.287037037037038</v>
      </c>
      <c r="K22" s="3">
        <f t="shared" si="7"/>
        <v>50.694444444444443</v>
      </c>
      <c r="L22" s="3">
        <f t="shared" si="7"/>
        <v>5.7870370370370372</v>
      </c>
      <c r="M22" s="3">
        <f t="shared" si="7"/>
        <v>7.268518518518519</v>
      </c>
      <c r="O22" s="2">
        <v>1065</v>
      </c>
      <c r="Q22" s="2" t="s">
        <v>91</v>
      </c>
    </row>
    <row r="23" spans="1:17" s="2" customFormat="1" x14ac:dyDescent="0.2">
      <c r="A23" s="2" t="s">
        <v>92</v>
      </c>
      <c r="B23" s="2">
        <v>11</v>
      </c>
      <c r="C23" s="2">
        <v>456</v>
      </c>
      <c r="D23" s="2">
        <v>896</v>
      </c>
      <c r="E23" s="2">
        <v>133</v>
      </c>
      <c r="F23" s="2">
        <v>98</v>
      </c>
      <c r="G23" s="2">
        <v>2172</v>
      </c>
      <c r="H23" s="2">
        <v>362</v>
      </c>
      <c r="I23" s="12"/>
      <c r="J23" s="3">
        <f t="shared" si="7"/>
        <v>20.994475138121548</v>
      </c>
      <c r="K23" s="3">
        <f t="shared" si="7"/>
        <v>41.25230202578269</v>
      </c>
      <c r="L23" s="3">
        <f t="shared" si="7"/>
        <v>6.1233885819521179</v>
      </c>
      <c r="M23" s="3">
        <f t="shared" si="7"/>
        <v>4.5119705340699818</v>
      </c>
      <c r="O23" s="2">
        <v>6525</v>
      </c>
      <c r="Q23" s="2" t="s">
        <v>92</v>
      </c>
    </row>
    <row r="24" spans="1:17" s="2" customFormat="1" x14ac:dyDescent="0.2">
      <c r="A24" s="2" t="s">
        <v>93</v>
      </c>
      <c r="B24" s="2">
        <v>12</v>
      </c>
      <c r="C24" s="2">
        <v>647</v>
      </c>
      <c r="D24" s="2">
        <v>1220</v>
      </c>
      <c r="E24" s="2">
        <v>180</v>
      </c>
      <c r="F24" s="2">
        <v>200</v>
      </c>
      <c r="G24" s="2">
        <v>2162</v>
      </c>
      <c r="H24" s="2">
        <v>360</v>
      </c>
      <c r="I24" s="12"/>
      <c r="J24" s="3">
        <f t="shared" si="7"/>
        <v>29.925994449583719</v>
      </c>
      <c r="K24" s="3">
        <f t="shared" si="7"/>
        <v>56.429232192414439</v>
      </c>
      <c r="L24" s="3">
        <f t="shared" si="7"/>
        <v>8.3256244218316375</v>
      </c>
      <c r="M24" s="3">
        <f t="shared" si="7"/>
        <v>9.250693802035153</v>
      </c>
      <c r="O24" s="2">
        <v>875</v>
      </c>
      <c r="Q24" s="2" t="s">
        <v>93</v>
      </c>
    </row>
    <row r="25" spans="1:17" s="2" customFormat="1" x14ac:dyDescent="0.2">
      <c r="A25" s="2" t="s">
        <v>94</v>
      </c>
      <c r="B25" s="2">
        <v>13</v>
      </c>
      <c r="C25" s="2">
        <v>1152</v>
      </c>
      <c r="D25" s="2">
        <v>853</v>
      </c>
      <c r="E25" s="2">
        <v>112</v>
      </c>
      <c r="F25" s="2">
        <v>235</v>
      </c>
      <c r="G25" s="2">
        <v>2158</v>
      </c>
      <c r="H25" s="2">
        <v>359</v>
      </c>
      <c r="I25" s="12"/>
      <c r="J25" s="3">
        <f t="shared" si="7"/>
        <v>53.38276181649676</v>
      </c>
      <c r="K25" s="3">
        <f t="shared" si="7"/>
        <v>39.527340129749767</v>
      </c>
      <c r="L25" s="3">
        <f t="shared" si="7"/>
        <v>5.1899907321594068</v>
      </c>
      <c r="M25" s="3">
        <f t="shared" si="7"/>
        <v>10.889712696941613</v>
      </c>
      <c r="O25" s="2">
        <v>145</v>
      </c>
      <c r="Q25" s="2" t="s">
        <v>94</v>
      </c>
    </row>
    <row r="26" spans="1:17" s="2" customFormat="1" x14ac:dyDescent="0.2">
      <c r="A26" s="2" t="s">
        <v>95</v>
      </c>
      <c r="B26" s="2">
        <v>14</v>
      </c>
      <c r="C26" s="2">
        <v>824</v>
      </c>
      <c r="D26" s="2">
        <v>1159</v>
      </c>
      <c r="E26" s="2">
        <v>168</v>
      </c>
      <c r="F26" s="2">
        <v>176</v>
      </c>
      <c r="G26" s="2">
        <v>2352</v>
      </c>
      <c r="H26" s="2">
        <v>392</v>
      </c>
      <c r="I26" s="12"/>
      <c r="J26" s="3">
        <f t="shared" si="7"/>
        <v>35.034013605442176</v>
      </c>
      <c r="K26" s="3">
        <f t="shared" si="7"/>
        <v>49.277210884353742</v>
      </c>
      <c r="L26" s="3">
        <f t="shared" si="7"/>
        <v>7.1428571428571423</v>
      </c>
      <c r="M26" s="3">
        <f t="shared" si="7"/>
        <v>7.4829931972789119</v>
      </c>
      <c r="O26" s="2">
        <v>1555</v>
      </c>
      <c r="Q26" s="2" t="s">
        <v>95</v>
      </c>
    </row>
    <row r="27" spans="1:17" s="2" customFormat="1" x14ac:dyDescent="0.2">
      <c r="A27" s="2" t="s">
        <v>96</v>
      </c>
      <c r="B27" s="2">
        <v>15</v>
      </c>
      <c r="C27" s="2">
        <v>822</v>
      </c>
      <c r="D27" s="2">
        <v>1079</v>
      </c>
      <c r="E27" s="2">
        <v>128</v>
      </c>
      <c r="F27" s="2">
        <v>194</v>
      </c>
      <c r="G27" s="2">
        <v>2163</v>
      </c>
      <c r="H27" s="2">
        <v>360</v>
      </c>
      <c r="I27" s="12"/>
      <c r="J27" s="3">
        <f t="shared" si="7"/>
        <v>38.002773925104023</v>
      </c>
      <c r="K27" s="3">
        <f t="shared" si="7"/>
        <v>49.884419787332405</v>
      </c>
      <c r="L27" s="3">
        <f t="shared" si="7"/>
        <v>5.9177068885806747</v>
      </c>
      <c r="M27" s="3">
        <f t="shared" si="7"/>
        <v>8.9690245030050857</v>
      </c>
      <c r="O27" s="2">
        <v>925</v>
      </c>
      <c r="Q27" s="2" t="s">
        <v>96</v>
      </c>
    </row>
    <row r="28" spans="1:17" s="2" customFormat="1" x14ac:dyDescent="0.2">
      <c r="A28" s="2" t="s">
        <v>97</v>
      </c>
      <c r="B28" s="2">
        <v>16</v>
      </c>
      <c r="C28" s="2">
        <v>817</v>
      </c>
      <c r="D28" s="2">
        <v>1143</v>
      </c>
      <c r="E28" s="2">
        <v>146</v>
      </c>
      <c r="F28" s="2">
        <v>229</v>
      </c>
      <c r="G28" s="2">
        <v>2240</v>
      </c>
      <c r="H28" s="2">
        <v>373</v>
      </c>
      <c r="I28" s="12"/>
      <c r="J28" s="3">
        <f t="shared" si="7"/>
        <v>36.473214285714285</v>
      </c>
      <c r="K28" s="3">
        <f t="shared" si="7"/>
        <v>51.026785714285715</v>
      </c>
      <c r="L28" s="3">
        <f t="shared" si="7"/>
        <v>6.5178571428571432</v>
      </c>
      <c r="M28" s="3">
        <f t="shared" si="7"/>
        <v>10.223214285714285</v>
      </c>
      <c r="O28" s="2">
        <v>655</v>
      </c>
      <c r="Q28" s="2" t="s">
        <v>97</v>
      </c>
    </row>
    <row r="29" spans="1:17" s="2" customFormat="1" x14ac:dyDescent="0.2">
      <c r="A29" s="2" t="s">
        <v>98</v>
      </c>
      <c r="B29" s="2">
        <v>17</v>
      </c>
      <c r="C29" s="2">
        <v>820</v>
      </c>
      <c r="D29" s="2">
        <v>1075</v>
      </c>
      <c r="E29" s="2">
        <v>153</v>
      </c>
      <c r="F29" s="2">
        <v>139</v>
      </c>
      <c r="G29" s="2">
        <v>2162</v>
      </c>
      <c r="H29" s="2">
        <v>360</v>
      </c>
      <c r="I29" s="12"/>
      <c r="J29" s="3">
        <f t="shared" si="7"/>
        <v>37.927844588344129</v>
      </c>
      <c r="K29" s="3">
        <f t="shared" si="7"/>
        <v>49.722479185938944</v>
      </c>
      <c r="L29" s="3">
        <f t="shared" si="7"/>
        <v>7.0767807585568914</v>
      </c>
      <c r="M29" s="3">
        <f t="shared" si="7"/>
        <v>6.4292321924144318</v>
      </c>
      <c r="O29" s="2">
        <v>745</v>
      </c>
      <c r="Q29" s="2" t="s">
        <v>98</v>
      </c>
    </row>
    <row r="30" spans="1:17" s="2" customFormat="1" x14ac:dyDescent="0.2">
      <c r="A30" s="2" t="s">
        <v>99</v>
      </c>
      <c r="B30" s="2">
        <v>18</v>
      </c>
      <c r="C30" s="2">
        <v>834</v>
      </c>
      <c r="D30" s="2">
        <v>999</v>
      </c>
      <c r="E30" s="2">
        <v>114</v>
      </c>
      <c r="F30" s="2">
        <v>241</v>
      </c>
      <c r="G30" s="2">
        <v>2162</v>
      </c>
      <c r="H30" s="2">
        <v>360</v>
      </c>
      <c r="I30" s="12"/>
      <c r="J30" s="3">
        <f t="shared" si="7"/>
        <v>38.575393154486584</v>
      </c>
      <c r="K30" s="3">
        <f t="shared" si="7"/>
        <v>46.207215541165588</v>
      </c>
      <c r="L30" s="3">
        <f t="shared" si="7"/>
        <v>5.272895467160037</v>
      </c>
      <c r="M30" s="3">
        <f t="shared" si="7"/>
        <v>11.147086031452359</v>
      </c>
      <c r="O30" s="2">
        <v>2025</v>
      </c>
      <c r="Q30" s="2" t="s">
        <v>99</v>
      </c>
    </row>
    <row r="31" spans="1:17" s="2" customFormat="1" x14ac:dyDescent="0.2">
      <c r="A31" s="2" t="s">
        <v>100</v>
      </c>
      <c r="B31" s="2">
        <v>19</v>
      </c>
      <c r="C31" s="2">
        <v>1024</v>
      </c>
      <c r="D31" s="2">
        <v>928</v>
      </c>
      <c r="E31" s="2">
        <v>103</v>
      </c>
      <c r="F31" s="2">
        <v>69</v>
      </c>
      <c r="G31" s="2">
        <v>2165</v>
      </c>
      <c r="H31" s="2">
        <v>360</v>
      </c>
      <c r="I31" s="12"/>
      <c r="J31" s="3">
        <f t="shared" si="7"/>
        <v>47.297921478060047</v>
      </c>
      <c r="K31" s="3">
        <f t="shared" si="7"/>
        <v>42.863741339491916</v>
      </c>
      <c r="L31" s="3">
        <f t="shared" si="7"/>
        <v>4.7575057736720554</v>
      </c>
      <c r="M31" s="3">
        <f t="shared" si="7"/>
        <v>3.1870669745958433</v>
      </c>
      <c r="O31" s="2">
        <v>975</v>
      </c>
      <c r="Q31" s="2" t="s">
        <v>100</v>
      </c>
    </row>
    <row r="32" spans="1:17" s="2" customFormat="1" x14ac:dyDescent="0.2">
      <c r="A32" s="2" t="s">
        <v>101</v>
      </c>
      <c r="B32" s="2">
        <v>20</v>
      </c>
      <c r="C32" s="2">
        <v>718</v>
      </c>
      <c r="D32" s="2">
        <v>1200</v>
      </c>
      <c r="E32" s="2">
        <v>128</v>
      </c>
      <c r="F32" s="2">
        <v>168</v>
      </c>
      <c r="G32" s="2">
        <v>2169</v>
      </c>
      <c r="H32" s="2">
        <v>361</v>
      </c>
      <c r="I32" s="12"/>
      <c r="J32" s="3">
        <f t="shared" si="7"/>
        <v>33.102812355924385</v>
      </c>
      <c r="K32" s="3">
        <f t="shared" si="7"/>
        <v>55.325034578146614</v>
      </c>
      <c r="L32" s="3">
        <f t="shared" si="7"/>
        <v>5.9013370216689713</v>
      </c>
      <c r="M32" s="3">
        <f t="shared" si="7"/>
        <v>7.7455048409405256</v>
      </c>
      <c r="O32" s="2">
        <v>655</v>
      </c>
      <c r="Q32" s="2" t="s">
        <v>101</v>
      </c>
    </row>
    <row r="34" spans="1:15" s="6" customFormat="1" x14ac:dyDescent="0.2">
      <c r="A34" s="8" t="s">
        <v>17</v>
      </c>
      <c r="B34" s="20" t="s">
        <v>6</v>
      </c>
      <c r="C34" s="7">
        <f>AVERAGE(C4:C12)/6</f>
        <v>108.62962962962963</v>
      </c>
      <c r="D34" s="7">
        <f>AVERAGE(D4:D12)/6</f>
        <v>146.87037037037035</v>
      </c>
      <c r="E34" s="7">
        <f>AVERAGE(E4:E12)/6</f>
        <v>22.333333333333332</v>
      </c>
      <c r="F34" s="7">
        <f>AVERAGE(F4:F12)/6</f>
        <v>26.759259259259256</v>
      </c>
      <c r="G34" s="7">
        <f>AVERAGE(G4:G12)/6</f>
        <v>302.12962962962962</v>
      </c>
      <c r="H34" s="7">
        <f>AVERAGE(H4:H12)</f>
        <v>301.55555555555554</v>
      </c>
      <c r="I34" s="12"/>
      <c r="J34" s="7">
        <f>AVERAGE(J4:J12)</f>
        <v>34.793280855461518</v>
      </c>
      <c r="K34" s="7">
        <f>AVERAGE(K4:K12)</f>
        <v>50.441461720319268</v>
      </c>
      <c r="L34" s="7">
        <f>AVERAGE(L4:L12)</f>
        <v>7.9173307374078474</v>
      </c>
      <c r="M34" s="7">
        <f>AVERAGE(M4:M12)</f>
        <v>8.5433686780243239</v>
      </c>
      <c r="O34" s="7">
        <f>AVERAGE(O4:O12)/60</f>
        <v>18.435185185185183</v>
      </c>
    </row>
    <row r="35" spans="1:15" s="6" customFormat="1" x14ac:dyDescent="0.2">
      <c r="A35" s="8" t="s">
        <v>18</v>
      </c>
      <c r="B35" s="20"/>
      <c r="C35" s="7">
        <f>STDEV(C4:C12)/SQRT(COUNT(C4:C12))/6</f>
        <v>17.243172243704553</v>
      </c>
      <c r="D35" s="7">
        <f>STDEV(D4:D12)/SQRT(COUNT(D4:D12))/6</f>
        <v>18.376039858411144</v>
      </c>
      <c r="E35" s="7">
        <f>STDEV(E4:E12)/SQRT(COUNT(E4:E12))/6</f>
        <v>2.6422493223542474</v>
      </c>
      <c r="F35" s="7">
        <f>STDEV(F4:F12)/SQRT(COUNT(F4:F12))/6</f>
        <v>4.5231836876423257</v>
      </c>
      <c r="G35" s="7">
        <f>STDEV(G4:G12)/SQRT(COUNT(G4:G12))/6</f>
        <v>39.923970739937019</v>
      </c>
      <c r="H35" s="7">
        <f>STDEV(H4:H12)/SQRT(COUNT(H4:H12))</f>
        <v>40.004899391307589</v>
      </c>
      <c r="I35" s="12"/>
      <c r="J35" s="7">
        <f>STDEV(J4:J12)/SQRT(COUNT(J4:J12))</f>
        <v>4.2762212557149049</v>
      </c>
      <c r="K35" s="7">
        <f>STDEV(K4:K12)/SQRT(COUNT(K4:K12))</f>
        <v>3.5993608005584039</v>
      </c>
      <c r="L35" s="7">
        <f>STDEV(L4:L12)/SQRT(COUNT(L4:L12))</f>
        <v>0.92855929918097457</v>
      </c>
      <c r="M35" s="7">
        <f>STDEV(M4:M12)/SQRT(COUNT(M4:M12))</f>
        <v>0.68927337817552115</v>
      </c>
      <c r="O35" s="7">
        <f>(STDEV(O4:O12)/SQRT(COUNT(O4:O12)))/60</f>
        <v>6.2658099077234741</v>
      </c>
    </row>
    <row r="36" spans="1:15" s="4" customFormat="1" x14ac:dyDescent="0.2">
      <c r="A36" s="9" t="s">
        <v>17</v>
      </c>
      <c r="B36" s="14" t="s">
        <v>7</v>
      </c>
      <c r="C36" s="5">
        <f>AVERAGE(C13:C21)/6</f>
        <v>133.22222222222223</v>
      </c>
      <c r="D36" s="5">
        <f>AVERAGE(D13:D21)/6</f>
        <v>186.0185185185185</v>
      </c>
      <c r="E36" s="5">
        <f>AVERAGE(E13:E21)/6</f>
        <v>25.296296296296294</v>
      </c>
      <c r="F36" s="5">
        <f>AVERAGE(F13:F21)/6</f>
        <v>31.907407407407408</v>
      </c>
      <c r="G36" s="5">
        <f>AVERAGE(G13:G21)/6</f>
        <v>365.61111111111109</v>
      </c>
      <c r="H36" s="5">
        <f>AVERAGE(H13:H21)</f>
        <v>365.22222222222223</v>
      </c>
      <c r="I36" s="12"/>
      <c r="J36" s="5">
        <f>AVERAGE(J13:J21)</f>
        <v>36.478111736233394</v>
      </c>
      <c r="K36" s="5">
        <f>AVERAGE(K13:K21)</f>
        <v>50.84445986294876</v>
      </c>
      <c r="L36" s="5">
        <f>AVERAGE(L13:L21)</f>
        <v>6.9182280382864434</v>
      </c>
      <c r="M36" s="5">
        <f>AVERAGE(M13:M21)</f>
        <v>8.7304547404297868</v>
      </c>
      <c r="O36" s="5">
        <f>AVERAGE(O13:O21)/60</f>
        <v>13.435185185185185</v>
      </c>
    </row>
    <row r="37" spans="1:15" s="4" customFormat="1" x14ac:dyDescent="0.2">
      <c r="A37" s="9" t="s">
        <v>18</v>
      </c>
      <c r="B37" s="14"/>
      <c r="C37" s="5">
        <f>STDEV(C13:C21)/SQRT(COUNT(C13:C21))/6</f>
        <v>8.2404078168288688</v>
      </c>
      <c r="D37" s="5">
        <f>STDEV(D13:D21)/SQRT(COUNT(D13:D21))/6</f>
        <v>8.3594703283219864</v>
      </c>
      <c r="E37" s="5">
        <f>STDEV(E13:E21)/SQRT(COUNT(E13:E21))/6</f>
        <v>1.2609941752497194</v>
      </c>
      <c r="F37" s="5">
        <f>STDEV(F13:F21)/SQRT(COUNT(F13:F21))/6</f>
        <v>1.996932661576172</v>
      </c>
      <c r="G37" s="5">
        <f>STDEV(G13:G21)/SQRT(COUNT(G13:G21))/6</f>
        <v>3.5861315517103995</v>
      </c>
      <c r="H37" s="5">
        <f>STDEV(H13:H21)/SQRT(COUNT(H13:H21))</f>
        <v>3.6392069411471826</v>
      </c>
      <c r="I37" s="12"/>
      <c r="J37" s="5">
        <f>STDEV(J13:J21)/SQRT(COUNT(J13:J21))</f>
        <v>2.3323284398157966</v>
      </c>
      <c r="K37" s="5">
        <f>STDEV(K13:K21)/SQRT(COUNT(K13:K21))</f>
        <v>2.1355931146732234</v>
      </c>
      <c r="L37" s="5">
        <f>STDEV(L13:L21)/SQRT(COUNT(L13:L21))</f>
        <v>0.34067452323806363</v>
      </c>
      <c r="M37" s="5">
        <f>STDEV(M13:M21)/SQRT(COUNT(M13:M21))</f>
        <v>0.55190435767819335</v>
      </c>
      <c r="O37" s="5">
        <f>(STDEV(O13:O21)/SQRT(COUNT(O13:O21)))/60</f>
        <v>2.842230644105709</v>
      </c>
    </row>
    <row r="38" spans="1:15" s="2" customFormat="1" x14ac:dyDescent="0.2">
      <c r="A38" s="10" t="s">
        <v>17</v>
      </c>
      <c r="B38" s="15" t="s">
        <v>9</v>
      </c>
      <c r="C38" s="3">
        <f>AVERAGE(C22:C32)/6</f>
        <v>135.46969696969697</v>
      </c>
      <c r="D38" s="3">
        <f>AVERAGE(D22:D32)/6</f>
        <v>176.46969696969697</v>
      </c>
      <c r="E38" s="3">
        <f>AVERAGE(E22:E32)/6</f>
        <v>22.575757575757578</v>
      </c>
      <c r="F38" s="3">
        <f>AVERAGE(F22:F32)/6</f>
        <v>28.878787878787879</v>
      </c>
      <c r="G38" s="3">
        <f>AVERAGE(G22:G32)/6</f>
        <v>364.62121212121207</v>
      </c>
      <c r="H38" s="3">
        <f>AVERAGE(H22:H32)</f>
        <v>364.27272727272725</v>
      </c>
      <c r="I38" s="12"/>
      <c r="J38" s="3">
        <f>AVERAGE(J22:J32)</f>
        <v>37.182203803119521</v>
      </c>
      <c r="K38" s="3">
        <f>AVERAGE(K22:K32)</f>
        <v>48.382745983918745</v>
      </c>
      <c r="L38" s="3">
        <f>AVERAGE(L22:L32)</f>
        <v>6.1829982698484658</v>
      </c>
      <c r="M38" s="3">
        <f>AVERAGE(M22:M32)</f>
        <v>7.9186379615424292</v>
      </c>
      <c r="O38" s="3">
        <f>AVERAGE(O22:O32)/60</f>
        <v>24.462121212121211</v>
      </c>
    </row>
    <row r="39" spans="1:15" s="2" customFormat="1" x14ac:dyDescent="0.2">
      <c r="A39" s="10" t="s">
        <v>18</v>
      </c>
      <c r="B39" s="15"/>
      <c r="C39" s="3">
        <f>STDEV(C22:C32)/SQRT(COUNT(C22:C32))/6</f>
        <v>9.050582273299705</v>
      </c>
      <c r="D39" s="3">
        <f>STDEV(D22:D32)/SQRT(COUNT(D22:D32))/6</f>
        <v>6.2477397198490081</v>
      </c>
      <c r="E39" s="3">
        <f>STDEV(E22:E32)/SQRT(COUNT(E22:E32))/6</f>
        <v>1.205283745536444</v>
      </c>
      <c r="F39" s="3">
        <f>STDEV(F22:F32)/SQRT(COUNT(F22:F32))/6</f>
        <v>2.782529452873145</v>
      </c>
      <c r="G39" s="3">
        <f>STDEV(G22:G32)/SQRT(COUNT(G22:G32))/6</f>
        <v>2.9764302146654114</v>
      </c>
      <c r="H39" s="3">
        <f>STDEV(H22:H32)/SQRT(COUNT(H22:H32))</f>
        <v>3.0123711865056162</v>
      </c>
      <c r="I39" s="12"/>
      <c r="J39" s="3">
        <f>STDEV(J22:J32)/SQRT(COUNT(J22:J32))</f>
        <v>2.5327504415837474</v>
      </c>
      <c r="K39" s="3">
        <f>STDEV(K22:K32)/SQRT(COUNT(K22:K32))</f>
        <v>1.6364595172464205</v>
      </c>
      <c r="L39" s="3">
        <f>STDEV(L22:L32)/SQRT(COUNT(L22:L32))</f>
        <v>0.31012584852715369</v>
      </c>
      <c r="M39" s="3">
        <f>STDEV(M22:M32)/SQRT(COUNT(M22:M32))</f>
        <v>0.76451298785179178</v>
      </c>
      <c r="O39" s="3">
        <f>(STDEV(O22:O32)/SQRT(COUNT(O22:O32)))/60</f>
        <v>8.7815834295327342</v>
      </c>
    </row>
    <row r="41" spans="1:15" x14ac:dyDescent="0.2">
      <c r="A41" t="s">
        <v>6</v>
      </c>
      <c r="B41" t="s">
        <v>7</v>
      </c>
      <c r="C41" s="1">
        <f t="shared" ref="C41:H41" si="8">TTEST(C4:C12,C13:C21,2,3)</f>
        <v>0.22351229572799022</v>
      </c>
      <c r="D41" s="1">
        <f t="shared" si="8"/>
        <v>7.8138938465931465E-2</v>
      </c>
      <c r="E41" s="1">
        <f t="shared" si="8"/>
        <v>0.33240431270953252</v>
      </c>
      <c r="F41" s="1">
        <f t="shared" si="8"/>
        <v>0.32011308282296197</v>
      </c>
      <c r="G41" s="1">
        <f t="shared" si="8"/>
        <v>0.15132606597281148</v>
      </c>
      <c r="H41" s="1">
        <f t="shared" si="8"/>
        <v>0.15102910520707391</v>
      </c>
      <c r="I41" s="13"/>
      <c r="J41" s="1">
        <f>TTEST(J4:J12,J13:J21,2,3)</f>
        <v>0.73523130764316069</v>
      </c>
      <c r="K41" s="1">
        <f>TTEST(K4:K12,K13:K21,2,3)</f>
        <v>0.92475712909004204</v>
      </c>
      <c r="L41" s="1">
        <f>TTEST(L4:L12,L13:L21,2,3)</f>
        <v>0.33598416869616943</v>
      </c>
      <c r="M41" s="1">
        <f>TTEST(M4:M12,M13:M21,2,3)</f>
        <v>0.83500702708011765</v>
      </c>
      <c r="O41" s="1">
        <f>TTEST(O4:O12,O13:O21,2,3)</f>
        <v>0.48236992848181404</v>
      </c>
    </row>
    <row r="42" spans="1:15" x14ac:dyDescent="0.2">
      <c r="A42" t="s">
        <v>6</v>
      </c>
      <c r="B42" t="s">
        <v>9</v>
      </c>
      <c r="C42" s="1">
        <f t="shared" ref="C42:H42" si="9">TTEST(C4:C12,C22:C32,2,3)</f>
        <v>0.19274064796715132</v>
      </c>
      <c r="D42" s="1">
        <f t="shared" si="9"/>
        <v>0.15869343161351573</v>
      </c>
      <c r="E42" s="1">
        <f t="shared" si="9"/>
        <v>0.93493656814822224</v>
      </c>
      <c r="F42" s="1">
        <f t="shared" si="9"/>
        <v>0.69598539220335631</v>
      </c>
      <c r="G42" s="1">
        <f t="shared" si="9"/>
        <v>0.15674873953317292</v>
      </c>
      <c r="H42" s="1">
        <f t="shared" si="9"/>
        <v>0.15618519048120855</v>
      </c>
      <c r="I42" s="13"/>
      <c r="J42" s="1">
        <f>TTEST(J4:J12,J22:J32,2,3)</f>
        <v>0.63856875562280724</v>
      </c>
      <c r="K42" s="1">
        <f>TTEST(K4:K12,K22:K32,2,3)</f>
        <v>0.6126722482895558</v>
      </c>
      <c r="L42" s="1">
        <f>TTEST(L4:L12,L22:L32,2,3)</f>
        <v>0.10753739052553381</v>
      </c>
      <c r="M42" s="1">
        <f>TTEST(M4:M12,M22:M32,2,3)</f>
        <v>0.55148847425827041</v>
      </c>
      <c r="O42" s="1">
        <f>TTEST(O4:O12,O22:O32,2,3)</f>
        <v>0.58358006029364995</v>
      </c>
    </row>
    <row r="43" spans="1:15" x14ac:dyDescent="0.2">
      <c r="A43" t="s">
        <v>7</v>
      </c>
      <c r="B43" t="s">
        <v>9</v>
      </c>
      <c r="C43" s="1">
        <f t="shared" ref="C43:H43" si="10">TTEST(C13:C21,C22:C32,2,3)</f>
        <v>0.85636685521012257</v>
      </c>
      <c r="D43" s="1">
        <f t="shared" si="10"/>
        <v>0.37417776131334646</v>
      </c>
      <c r="E43" s="11">
        <f t="shared" si="10"/>
        <v>0.13668571621864264</v>
      </c>
      <c r="F43" s="1">
        <f t="shared" si="10"/>
        <v>0.38871065179726305</v>
      </c>
      <c r="G43" s="1">
        <f t="shared" si="10"/>
        <v>0.83438622122388717</v>
      </c>
      <c r="H43" s="1">
        <f t="shared" si="10"/>
        <v>0.84316489052904309</v>
      </c>
      <c r="I43" s="13"/>
      <c r="J43" s="1">
        <f>TTEST(J13:J21,J22:J32,2,3)</f>
        <v>0.84026175941068915</v>
      </c>
      <c r="K43" s="1">
        <f>TTEST(K13:K21,K22:K32,2,3)</f>
        <v>0.37396522320977799</v>
      </c>
      <c r="L43" s="11">
        <f>TTEST(L13:L21,L22:L32,2,3)</f>
        <v>0.12864449571688022</v>
      </c>
      <c r="M43" s="1">
        <f>TTEST(M13:M21,M22:M32,2,3)</f>
        <v>0.40104752821730261</v>
      </c>
      <c r="O43" s="1">
        <f>TTEST(O13:O21,O22:O32,2,3)</f>
        <v>0.25521934559917164</v>
      </c>
    </row>
  </sheetData>
  <mergeCells count="5">
    <mergeCell ref="B36:B37"/>
    <mergeCell ref="B38:B39"/>
    <mergeCell ref="C2:G2"/>
    <mergeCell ref="J2:M2"/>
    <mergeCell ref="B34:B3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14" workbookViewId="0">
      <selection activeCell="J17" sqref="J17:N24"/>
    </sheetView>
  </sheetViews>
  <sheetFormatPr baseColWidth="10" defaultColWidth="9.1640625" defaultRowHeight="15" x14ac:dyDescent="0.2"/>
  <cols>
    <col min="8" max="8" width="14.5" customWidth="1"/>
    <col min="9" max="9" width="2.83203125" style="12" customWidth="1"/>
    <col min="21" max="21" width="24" bestFit="1" customWidth="1"/>
  </cols>
  <sheetData>
    <row r="1" spans="1:14" x14ac:dyDescent="0.2">
      <c r="C1" t="s">
        <v>0</v>
      </c>
    </row>
    <row r="2" spans="1:14" x14ac:dyDescent="0.2">
      <c r="C2" s="16" t="s">
        <v>14</v>
      </c>
      <c r="D2" s="16"/>
      <c r="E2" s="16"/>
      <c r="F2" s="16"/>
      <c r="G2" s="16"/>
      <c r="J2" s="16" t="s">
        <v>15</v>
      </c>
      <c r="K2" s="16"/>
      <c r="L2" s="16"/>
      <c r="M2" s="16"/>
    </row>
    <row r="3" spans="1:14" x14ac:dyDescent="0.2">
      <c r="B3" t="s">
        <v>16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J3" t="s">
        <v>1</v>
      </c>
      <c r="K3" t="s">
        <v>11</v>
      </c>
      <c r="L3" t="s">
        <v>12</v>
      </c>
      <c r="M3" t="s">
        <v>13</v>
      </c>
      <c r="N3" t="s">
        <v>19</v>
      </c>
    </row>
    <row r="4" spans="1:14" s="6" customFormat="1" x14ac:dyDescent="0.2">
      <c r="A4" s="17" t="s">
        <v>102</v>
      </c>
      <c r="B4" s="6">
        <v>1</v>
      </c>
      <c r="C4" s="6">
        <v>869</v>
      </c>
      <c r="D4" s="6">
        <v>1046</v>
      </c>
      <c r="E4" s="6">
        <v>199</v>
      </c>
      <c r="F4" s="6">
        <v>152</v>
      </c>
      <c r="G4" s="6">
        <v>2172</v>
      </c>
      <c r="H4" s="6">
        <v>361</v>
      </c>
      <c r="J4" s="7">
        <f t="shared" ref="J4:J21" si="0">C4/$G4*100</f>
        <v>40.009208103130753</v>
      </c>
      <c r="K4" s="7">
        <f t="shared" ref="K4:M19" si="1">D4/$G4*100</f>
        <v>48.158379373848987</v>
      </c>
      <c r="L4" s="7">
        <f t="shared" si="1"/>
        <v>9.1620626151012896</v>
      </c>
      <c r="M4" s="7">
        <f t="shared" si="1"/>
        <v>6.9981583793738489</v>
      </c>
      <c r="N4" s="6">
        <v>585</v>
      </c>
    </row>
    <row r="5" spans="1:14" s="6" customFormat="1" x14ac:dyDescent="0.2">
      <c r="A5" s="17"/>
      <c r="B5" s="6">
        <v>2</v>
      </c>
      <c r="C5" s="6">
        <v>1023</v>
      </c>
      <c r="D5" s="6">
        <v>883</v>
      </c>
      <c r="E5" s="6">
        <v>131</v>
      </c>
      <c r="F5" s="6">
        <v>130</v>
      </c>
      <c r="G5" s="6">
        <v>2172</v>
      </c>
      <c r="H5" s="6">
        <v>361</v>
      </c>
      <c r="J5" s="7">
        <f t="shared" si="0"/>
        <v>47.099447513812152</v>
      </c>
      <c r="K5" s="7">
        <f t="shared" si="1"/>
        <v>40.653775322283607</v>
      </c>
      <c r="L5" s="7">
        <f t="shared" si="1"/>
        <v>6.0313075506445673</v>
      </c>
      <c r="M5" s="7">
        <f t="shared" si="1"/>
        <v>5.9852670349907919</v>
      </c>
      <c r="N5" s="6">
        <v>1355</v>
      </c>
    </row>
    <row r="6" spans="1:14" s="6" customFormat="1" x14ac:dyDescent="0.2">
      <c r="A6" s="17"/>
      <c r="B6" s="6">
        <v>3</v>
      </c>
      <c r="C6" s="6">
        <v>883</v>
      </c>
      <c r="D6" s="6">
        <v>1102</v>
      </c>
      <c r="E6" s="6">
        <v>154</v>
      </c>
      <c r="F6" s="6">
        <v>132</v>
      </c>
      <c r="G6" s="6">
        <v>2197</v>
      </c>
      <c r="H6" s="6">
        <v>366</v>
      </c>
      <c r="J6" s="7">
        <f t="shared" si="0"/>
        <v>40.191169776968593</v>
      </c>
      <c r="K6" s="7">
        <f t="shared" si="1"/>
        <v>50.159308147473823</v>
      </c>
      <c r="L6" s="7">
        <f t="shared" si="1"/>
        <v>7.0095584888484304</v>
      </c>
      <c r="M6" s="7">
        <f t="shared" si="1"/>
        <v>6.0081929904415112</v>
      </c>
      <c r="N6" s="6">
        <v>585</v>
      </c>
    </row>
    <row r="7" spans="1:14" s="6" customFormat="1" x14ac:dyDescent="0.2">
      <c r="A7" s="17"/>
      <c r="B7" s="6">
        <v>4</v>
      </c>
      <c r="C7" s="6">
        <v>723</v>
      </c>
      <c r="D7" s="6">
        <v>1193</v>
      </c>
      <c r="E7" s="6">
        <v>193</v>
      </c>
      <c r="F7" s="6">
        <v>147</v>
      </c>
      <c r="G7" s="6">
        <v>2197</v>
      </c>
      <c r="H7" s="6">
        <v>366</v>
      </c>
      <c r="J7" s="7">
        <f t="shared" si="0"/>
        <v>32.908511606736454</v>
      </c>
      <c r="K7" s="7">
        <f t="shared" si="1"/>
        <v>54.301319981793348</v>
      </c>
      <c r="L7" s="7">
        <f t="shared" si="1"/>
        <v>8.7847064178425125</v>
      </c>
      <c r="M7" s="7">
        <f t="shared" si="1"/>
        <v>6.6909421939007743</v>
      </c>
      <c r="N7" s="6">
        <v>885</v>
      </c>
    </row>
    <row r="8" spans="1:14" s="6" customFormat="1" x14ac:dyDescent="0.2">
      <c r="A8" s="17"/>
      <c r="B8" s="6">
        <v>5</v>
      </c>
      <c r="C8" s="6">
        <v>1196</v>
      </c>
      <c r="D8" s="6">
        <v>755</v>
      </c>
      <c r="E8" s="6">
        <v>150</v>
      </c>
      <c r="F8" s="6">
        <v>169</v>
      </c>
      <c r="G8" s="6">
        <v>2212</v>
      </c>
      <c r="H8" s="6">
        <v>368</v>
      </c>
      <c r="J8" s="7">
        <f t="shared" si="0"/>
        <v>54.068716094032553</v>
      </c>
      <c r="K8" s="7">
        <f t="shared" si="1"/>
        <v>34.132007233273058</v>
      </c>
      <c r="L8" s="7">
        <f t="shared" si="1"/>
        <v>6.7811934900542497</v>
      </c>
      <c r="M8" s="7">
        <f t="shared" si="1"/>
        <v>7.6401446654611211</v>
      </c>
      <c r="N8" s="6">
        <v>1115</v>
      </c>
    </row>
    <row r="9" spans="1:14" s="6" customFormat="1" x14ac:dyDescent="0.2">
      <c r="A9" s="17"/>
      <c r="B9" s="6">
        <v>6</v>
      </c>
      <c r="C9" s="6">
        <v>764</v>
      </c>
      <c r="D9" s="6">
        <v>1071</v>
      </c>
      <c r="E9" s="6">
        <v>189</v>
      </c>
      <c r="F9" s="6">
        <v>95</v>
      </c>
      <c r="G9" s="6">
        <v>2212</v>
      </c>
      <c r="H9" s="6">
        <v>368</v>
      </c>
      <c r="J9" s="7">
        <f t="shared" si="0"/>
        <v>34.538878842676311</v>
      </c>
      <c r="K9" s="7">
        <f t="shared" si="1"/>
        <v>48.417721518987342</v>
      </c>
      <c r="L9" s="7">
        <f t="shared" si="1"/>
        <v>8.5443037974683538</v>
      </c>
      <c r="M9" s="7">
        <f t="shared" si="1"/>
        <v>4.2947558770343575</v>
      </c>
      <c r="N9" s="6">
        <v>1885</v>
      </c>
    </row>
    <row r="10" spans="1:14" s="6" customFormat="1" x14ac:dyDescent="0.2">
      <c r="A10" s="17"/>
      <c r="B10" s="6">
        <v>7</v>
      </c>
      <c r="C10" s="6">
        <v>656</v>
      </c>
      <c r="D10" s="6">
        <v>1255</v>
      </c>
      <c r="E10" s="6">
        <v>226</v>
      </c>
      <c r="F10" s="6">
        <v>179</v>
      </c>
      <c r="G10" s="6">
        <v>2340</v>
      </c>
      <c r="H10" s="6">
        <v>389</v>
      </c>
      <c r="J10" s="7">
        <f t="shared" si="0"/>
        <v>28.034188034188034</v>
      </c>
      <c r="K10" s="7">
        <f t="shared" si="1"/>
        <v>53.63247863247863</v>
      </c>
      <c r="L10" s="7">
        <f t="shared" si="1"/>
        <v>9.6581196581196593</v>
      </c>
      <c r="M10" s="7">
        <f t="shared" si="1"/>
        <v>7.6495726495726499</v>
      </c>
      <c r="N10" s="6">
        <v>2035</v>
      </c>
    </row>
    <row r="11" spans="1:14" s="6" customFormat="1" x14ac:dyDescent="0.2">
      <c r="A11" s="17"/>
      <c r="B11" s="6">
        <v>16</v>
      </c>
      <c r="C11" s="6">
        <v>955</v>
      </c>
      <c r="D11" s="6">
        <v>1040</v>
      </c>
      <c r="E11" s="6">
        <v>138</v>
      </c>
      <c r="F11" s="6">
        <v>219</v>
      </c>
      <c r="G11" s="6">
        <v>2219</v>
      </c>
      <c r="H11" s="6">
        <v>369</v>
      </c>
      <c r="J11" s="7">
        <f t="shared" si="0"/>
        <v>43.037404236142407</v>
      </c>
      <c r="K11" s="7">
        <f t="shared" si="1"/>
        <v>46.867958539882828</v>
      </c>
      <c r="L11" s="7">
        <f t="shared" si="1"/>
        <v>6.219017575484453</v>
      </c>
      <c r="M11" s="7">
        <f t="shared" si="1"/>
        <v>9.8693105002253265</v>
      </c>
      <c r="N11" s="6">
        <v>865</v>
      </c>
    </row>
    <row r="12" spans="1:14" s="4" customFormat="1" x14ac:dyDescent="0.2">
      <c r="A12" s="18" t="s">
        <v>103</v>
      </c>
      <c r="B12" s="4">
        <v>15</v>
      </c>
      <c r="C12" s="4">
        <v>901</v>
      </c>
      <c r="D12" s="4">
        <v>908</v>
      </c>
      <c r="E12" s="4">
        <v>123</v>
      </c>
      <c r="F12" s="4">
        <v>117</v>
      </c>
      <c r="G12" s="4">
        <v>2205</v>
      </c>
      <c r="H12" s="4">
        <v>367</v>
      </c>
      <c r="J12" s="5">
        <f t="shared" si="0"/>
        <v>40.861678004535143</v>
      </c>
      <c r="K12" s="5">
        <f t="shared" si="1"/>
        <v>41.17913832199546</v>
      </c>
      <c r="L12" s="5">
        <f t="shared" si="1"/>
        <v>5.5782312925170068</v>
      </c>
      <c r="M12" s="5">
        <f t="shared" si="1"/>
        <v>5.3061224489795915</v>
      </c>
      <c r="N12" s="4">
        <v>2735</v>
      </c>
    </row>
    <row r="13" spans="1:14" s="4" customFormat="1" x14ac:dyDescent="0.2">
      <c r="A13" s="18"/>
      <c r="B13" s="4">
        <v>16</v>
      </c>
      <c r="C13" s="4">
        <v>1004</v>
      </c>
      <c r="D13" s="4">
        <v>960</v>
      </c>
      <c r="E13" s="4">
        <v>185</v>
      </c>
      <c r="F13" s="4">
        <v>90</v>
      </c>
      <c r="G13" s="4">
        <v>2205</v>
      </c>
      <c r="H13" s="4">
        <v>367</v>
      </c>
      <c r="J13" s="5">
        <f t="shared" si="0"/>
        <v>45.532879818594104</v>
      </c>
      <c r="K13" s="5">
        <f t="shared" si="1"/>
        <v>43.537414965986393</v>
      </c>
      <c r="L13" s="5">
        <f t="shared" si="1"/>
        <v>8.3900226757369616</v>
      </c>
      <c r="M13" s="5">
        <f t="shared" si="1"/>
        <v>4.0816326530612246</v>
      </c>
      <c r="N13" s="4">
        <v>565</v>
      </c>
    </row>
    <row r="14" spans="1:14" s="4" customFormat="1" x14ac:dyDescent="0.2">
      <c r="A14" s="18"/>
      <c r="B14" s="4">
        <v>17</v>
      </c>
      <c r="C14" s="4">
        <v>937</v>
      </c>
      <c r="D14" s="4">
        <v>698</v>
      </c>
      <c r="E14" s="4">
        <v>54</v>
      </c>
      <c r="F14" s="4">
        <v>183</v>
      </c>
      <c r="G14" s="4">
        <v>2168</v>
      </c>
      <c r="H14" s="4">
        <v>361</v>
      </c>
      <c r="J14" s="5">
        <f t="shared" si="0"/>
        <v>43.219557195571959</v>
      </c>
      <c r="K14" s="5">
        <f t="shared" si="1"/>
        <v>32.195571955719558</v>
      </c>
      <c r="L14" s="5">
        <f t="shared" si="1"/>
        <v>2.4907749077490773</v>
      </c>
      <c r="M14" s="5">
        <f t="shared" si="1"/>
        <v>8.440959409594095</v>
      </c>
      <c r="N14" s="4">
        <v>4795</v>
      </c>
    </row>
    <row r="15" spans="1:14" s="4" customFormat="1" x14ac:dyDescent="0.2">
      <c r="A15" s="18"/>
      <c r="B15" s="4">
        <v>18</v>
      </c>
      <c r="C15" s="4">
        <v>983</v>
      </c>
      <c r="D15" s="4">
        <v>839</v>
      </c>
      <c r="E15" s="4">
        <v>111</v>
      </c>
      <c r="F15" s="4">
        <v>312</v>
      </c>
      <c r="G15" s="4">
        <v>2168</v>
      </c>
      <c r="H15" s="4">
        <v>361</v>
      </c>
      <c r="J15" s="5">
        <f t="shared" si="0"/>
        <v>45.341328413284131</v>
      </c>
      <c r="K15" s="5">
        <f t="shared" si="1"/>
        <v>38.699261992619924</v>
      </c>
      <c r="L15" s="5">
        <f t="shared" si="1"/>
        <v>5.1199261992619931</v>
      </c>
      <c r="M15" s="5">
        <f t="shared" si="1"/>
        <v>14.391143911439114</v>
      </c>
      <c r="N15" s="4">
        <v>2355</v>
      </c>
    </row>
    <row r="16" spans="1:14" s="4" customFormat="1" x14ac:dyDescent="0.2">
      <c r="A16" s="18"/>
      <c r="B16" s="4">
        <v>19</v>
      </c>
      <c r="C16" s="4">
        <v>727</v>
      </c>
      <c r="D16" s="4">
        <v>914</v>
      </c>
      <c r="E16" s="4">
        <v>131</v>
      </c>
      <c r="F16" s="4">
        <v>86</v>
      </c>
      <c r="G16" s="4">
        <v>2197</v>
      </c>
      <c r="H16" s="4">
        <v>366</v>
      </c>
      <c r="J16" s="5">
        <f t="shared" si="0"/>
        <v>33.090578060992257</v>
      </c>
      <c r="K16" s="5">
        <f t="shared" si="1"/>
        <v>41.602184797451066</v>
      </c>
      <c r="L16" s="5">
        <f t="shared" si="1"/>
        <v>5.9626763768775604</v>
      </c>
      <c r="M16" s="5">
        <f t="shared" si="1"/>
        <v>3.9144287664997721</v>
      </c>
      <c r="N16" s="4">
        <v>4255</v>
      </c>
    </row>
    <row r="17" spans="1:14" s="2" customFormat="1" x14ac:dyDescent="0.2">
      <c r="A17" s="19" t="s">
        <v>107</v>
      </c>
      <c r="B17" s="2">
        <v>1</v>
      </c>
      <c r="C17" s="2">
        <v>753</v>
      </c>
      <c r="D17" s="2">
        <v>1144</v>
      </c>
      <c r="E17" s="2">
        <v>172</v>
      </c>
      <c r="F17" s="2">
        <v>164</v>
      </c>
      <c r="G17" s="2">
        <v>2165</v>
      </c>
      <c r="H17" s="2">
        <v>360</v>
      </c>
      <c r="J17" s="3">
        <f t="shared" si="0"/>
        <v>34.780600461893762</v>
      </c>
      <c r="K17" s="3">
        <f t="shared" si="1"/>
        <v>52.840646651270205</v>
      </c>
      <c r="L17" s="3">
        <f t="shared" si="1"/>
        <v>7.9445727482678992</v>
      </c>
      <c r="M17" s="3">
        <f t="shared" si="1"/>
        <v>7.575057736720554</v>
      </c>
      <c r="N17" s="2">
        <v>965</v>
      </c>
    </row>
    <row r="18" spans="1:14" s="2" customFormat="1" x14ac:dyDescent="0.2">
      <c r="A18" s="19"/>
      <c r="B18" s="2">
        <v>2</v>
      </c>
      <c r="C18" s="2">
        <v>815</v>
      </c>
      <c r="D18" s="2">
        <v>1080</v>
      </c>
      <c r="E18" s="2">
        <v>169</v>
      </c>
      <c r="F18" s="2">
        <v>141</v>
      </c>
      <c r="G18" s="2">
        <v>2165</v>
      </c>
      <c r="H18" s="2">
        <v>360</v>
      </c>
      <c r="J18" s="3">
        <f t="shared" si="0"/>
        <v>37.644341801385686</v>
      </c>
      <c r="K18" s="3">
        <f t="shared" si="1"/>
        <v>49.884526558891459</v>
      </c>
      <c r="L18" s="3">
        <f t="shared" si="1"/>
        <v>7.806004618937644</v>
      </c>
      <c r="M18" s="3">
        <f t="shared" si="1"/>
        <v>6.5127020785219401</v>
      </c>
      <c r="N18" s="2">
        <v>1015</v>
      </c>
    </row>
    <row r="19" spans="1:14" s="2" customFormat="1" x14ac:dyDescent="0.2">
      <c r="A19" s="19"/>
      <c r="B19" s="2">
        <v>4</v>
      </c>
      <c r="C19" s="2">
        <v>755</v>
      </c>
      <c r="D19" s="2">
        <v>1175</v>
      </c>
      <c r="E19" s="2">
        <v>97</v>
      </c>
      <c r="F19" s="2">
        <v>123</v>
      </c>
      <c r="G19" s="2">
        <v>2172</v>
      </c>
      <c r="H19" s="2">
        <v>361</v>
      </c>
      <c r="J19" s="3">
        <f t="shared" si="0"/>
        <v>34.760589318600367</v>
      </c>
      <c r="K19" s="3">
        <f t="shared" si="1"/>
        <v>54.097605893186007</v>
      </c>
      <c r="L19" s="3">
        <f t="shared" si="1"/>
        <v>4.4659300184162056</v>
      </c>
      <c r="M19" s="3">
        <f t="shared" si="1"/>
        <v>5.6629834254143647</v>
      </c>
      <c r="N19" s="2">
        <v>1455</v>
      </c>
    </row>
    <row r="20" spans="1:14" s="2" customFormat="1" x14ac:dyDescent="0.2">
      <c r="A20" s="19"/>
      <c r="B20" s="2">
        <v>5</v>
      </c>
      <c r="C20" s="2">
        <v>655</v>
      </c>
      <c r="D20" s="2">
        <v>1011</v>
      </c>
      <c r="E20" s="2">
        <v>117</v>
      </c>
      <c r="F20" s="2">
        <v>164</v>
      </c>
      <c r="G20" s="2">
        <v>1817</v>
      </c>
      <c r="H20" s="2">
        <v>302</v>
      </c>
      <c r="J20" s="3">
        <f t="shared" si="0"/>
        <v>36.048431480462298</v>
      </c>
      <c r="K20" s="3">
        <f t="shared" ref="J20:M24" si="2">D20/$G20*100</f>
        <v>55.641166758392956</v>
      </c>
      <c r="L20" s="3">
        <f t="shared" si="2"/>
        <v>6.4391854705558611</v>
      </c>
      <c r="M20" s="3">
        <f t="shared" si="2"/>
        <v>9.0258668134287294</v>
      </c>
      <c r="N20" s="2">
        <v>345</v>
      </c>
    </row>
    <row r="21" spans="1:14" s="2" customFormat="1" x14ac:dyDescent="0.2">
      <c r="A21" s="19"/>
      <c r="B21" s="2">
        <v>6</v>
      </c>
      <c r="C21" s="2">
        <v>651</v>
      </c>
      <c r="D21" s="2">
        <v>972</v>
      </c>
      <c r="E21" s="2">
        <v>162</v>
      </c>
      <c r="F21" s="2">
        <v>91</v>
      </c>
      <c r="G21" s="2">
        <v>1817</v>
      </c>
      <c r="H21" s="2">
        <v>302</v>
      </c>
      <c r="J21" s="3">
        <f t="shared" si="0"/>
        <v>35.828288387451849</v>
      </c>
      <c r="K21" s="3">
        <f t="shared" si="2"/>
        <v>53.494771601541004</v>
      </c>
      <c r="L21" s="3">
        <f t="shared" si="2"/>
        <v>8.9157952669234994</v>
      </c>
      <c r="M21" s="3">
        <f t="shared" si="2"/>
        <v>5.0082553659878926</v>
      </c>
      <c r="N21" s="2">
        <v>325</v>
      </c>
    </row>
    <row r="22" spans="1:14" s="2" customFormat="1" x14ac:dyDescent="0.2">
      <c r="A22" s="19"/>
      <c r="B22" s="2" t="s">
        <v>105</v>
      </c>
      <c r="C22" s="2">
        <v>826</v>
      </c>
      <c r="D22" s="2">
        <v>1207</v>
      </c>
      <c r="E22" s="2">
        <v>101</v>
      </c>
      <c r="F22" s="2">
        <v>163</v>
      </c>
      <c r="G22" s="2">
        <v>2197</v>
      </c>
      <c r="H22" s="2">
        <v>366</v>
      </c>
      <c r="J22" s="3">
        <f t="shared" si="2"/>
        <v>37.596722803823397</v>
      </c>
      <c r="K22" s="3">
        <f t="shared" si="2"/>
        <v>54.938552571688668</v>
      </c>
      <c r="L22" s="3">
        <f t="shared" si="2"/>
        <v>4.5971779699590352</v>
      </c>
      <c r="M22" s="3">
        <f t="shared" si="2"/>
        <v>7.4192080109239873</v>
      </c>
      <c r="N22" s="2">
        <v>635</v>
      </c>
    </row>
    <row r="23" spans="1:14" s="2" customFormat="1" x14ac:dyDescent="0.2">
      <c r="A23" s="19"/>
      <c r="B23" s="2" t="s">
        <v>106</v>
      </c>
      <c r="C23" s="2">
        <v>964</v>
      </c>
      <c r="D23" s="2">
        <v>1073</v>
      </c>
      <c r="E23" s="2">
        <v>96</v>
      </c>
      <c r="F23" s="2">
        <v>102</v>
      </c>
      <c r="G23" s="2">
        <v>2197</v>
      </c>
      <c r="H23" s="2">
        <v>366</v>
      </c>
      <c r="J23" s="3">
        <f t="shared" si="2"/>
        <v>43.87801547564861</v>
      </c>
      <c r="K23" s="3">
        <f t="shared" si="2"/>
        <v>48.839326354119258</v>
      </c>
      <c r="L23" s="3">
        <f t="shared" si="2"/>
        <v>4.3695949021392808</v>
      </c>
      <c r="M23" s="3">
        <f t="shared" si="2"/>
        <v>4.642694583522986</v>
      </c>
      <c r="N23" s="2">
        <v>645</v>
      </c>
    </row>
    <row r="24" spans="1:14" s="2" customFormat="1" x14ac:dyDescent="0.2">
      <c r="A24" s="19"/>
      <c r="B24" s="2" t="s">
        <v>104</v>
      </c>
      <c r="C24" s="2">
        <v>820</v>
      </c>
      <c r="D24" s="2">
        <v>1195</v>
      </c>
      <c r="E24" s="2">
        <v>82</v>
      </c>
      <c r="F24" s="2">
        <v>180</v>
      </c>
      <c r="G24" s="2">
        <v>2168</v>
      </c>
      <c r="H24" s="2">
        <v>361</v>
      </c>
      <c r="J24" s="3">
        <f t="shared" si="2"/>
        <v>37.822878228782287</v>
      </c>
      <c r="K24" s="3">
        <f t="shared" si="2"/>
        <v>55.11992619926199</v>
      </c>
      <c r="L24" s="3">
        <f t="shared" si="2"/>
        <v>3.7822878228782288</v>
      </c>
      <c r="M24" s="3">
        <f t="shared" si="2"/>
        <v>8.3025830258302591</v>
      </c>
      <c r="N24" s="2">
        <v>715</v>
      </c>
    </row>
    <row r="26" spans="1:14" s="6" customFormat="1" x14ac:dyDescent="0.2">
      <c r="A26" s="8" t="s">
        <v>17</v>
      </c>
      <c r="B26" s="20" t="s">
        <v>6</v>
      </c>
      <c r="C26" s="7">
        <f>AVERAGE(C4:C11)/6</f>
        <v>147.27083333333334</v>
      </c>
      <c r="D26" s="7">
        <f t="shared" ref="D26:G26" si="3">AVERAGE(D4:D11)/6</f>
        <v>173.85416666666666</v>
      </c>
      <c r="E26" s="7">
        <f t="shared" si="3"/>
        <v>28.75</v>
      </c>
      <c r="F26" s="7">
        <f t="shared" si="3"/>
        <v>25.479166666666668</v>
      </c>
      <c r="G26" s="7">
        <f t="shared" si="3"/>
        <v>369.1875</v>
      </c>
      <c r="H26" s="7">
        <f>AVERAGE(H4:H11)</f>
        <v>368.5</v>
      </c>
      <c r="I26" s="12"/>
      <c r="J26" s="7">
        <f t="shared" ref="J26:N26" si="4">AVERAGE(J4:J11)</f>
        <v>39.985940525960913</v>
      </c>
      <c r="K26" s="7">
        <f t="shared" si="4"/>
        <v>47.040368593752696</v>
      </c>
      <c r="L26" s="7">
        <f t="shared" si="4"/>
        <v>7.7737836991954392</v>
      </c>
      <c r="M26" s="7">
        <f t="shared" si="4"/>
        <v>6.8920430363750471</v>
      </c>
      <c r="N26" s="7">
        <f t="shared" si="4"/>
        <v>1163.75</v>
      </c>
    </row>
    <row r="27" spans="1:14" s="6" customFormat="1" x14ac:dyDescent="0.2">
      <c r="A27" s="8" t="s">
        <v>18</v>
      </c>
      <c r="B27" s="20"/>
      <c r="C27" s="7">
        <f>STDEV(C4:C11)/SQRT(COUNT(C4:C11))/6</f>
        <v>10.308627218931184</v>
      </c>
      <c r="D27" s="7">
        <f t="shared" ref="D27:G27" si="5">STDEV(D4:D11)/SQRT(COUNT(D4:D11))/6</f>
        <v>9.4562189528860117</v>
      </c>
      <c r="E27" s="7">
        <f t="shared" si="5"/>
        <v>1.994287476689993</v>
      </c>
      <c r="F27" s="7">
        <f t="shared" si="5"/>
        <v>2.1888601213765075</v>
      </c>
      <c r="G27" s="7">
        <f t="shared" si="5"/>
        <v>3.1500877885222223</v>
      </c>
      <c r="H27" s="7">
        <f>STDEV(H4:H11)/SQRT(COUNT(H4:H11))</f>
        <v>3.1224989991991992</v>
      </c>
      <c r="I27" s="12"/>
      <c r="J27" s="7">
        <f t="shared" ref="J27:N27" si="6">STDEV(J4:J11)/SQRT(COUNT(J4:J11))</f>
        <v>2.9303995012864501</v>
      </c>
      <c r="K27" s="7">
        <f t="shared" si="6"/>
        <v>2.3773343971226031</v>
      </c>
      <c r="L27" s="7">
        <f t="shared" si="6"/>
        <v>0.50207609416309373</v>
      </c>
      <c r="M27" s="7">
        <f t="shared" si="6"/>
        <v>0.573190708368154</v>
      </c>
      <c r="N27" s="7">
        <f t="shared" si="6"/>
        <v>196.17264171423815</v>
      </c>
    </row>
    <row r="28" spans="1:14" s="4" customFormat="1" x14ac:dyDescent="0.2">
      <c r="A28" s="9" t="s">
        <v>17</v>
      </c>
      <c r="B28" s="14" t="s">
        <v>7</v>
      </c>
      <c r="C28" s="5">
        <f>AVERAGE(C12:C16)/6</f>
        <v>151.73333333333332</v>
      </c>
      <c r="D28" s="5">
        <f t="shared" ref="D28:G28" si="7">AVERAGE(D12:D16)/6</f>
        <v>143.96666666666667</v>
      </c>
      <c r="E28" s="5">
        <f t="shared" si="7"/>
        <v>20.133333333333333</v>
      </c>
      <c r="F28" s="5">
        <f t="shared" si="7"/>
        <v>26.266666666666666</v>
      </c>
      <c r="G28" s="5">
        <f t="shared" si="7"/>
        <v>364.76666666666665</v>
      </c>
      <c r="H28" s="5">
        <f>AVERAGE(H12:H16)</f>
        <v>364.4</v>
      </c>
      <c r="I28" s="12"/>
      <c r="J28" s="5">
        <f t="shared" ref="J28:N28" si="8">AVERAGE(J12:J16)</f>
        <v>41.609204298595515</v>
      </c>
      <c r="K28" s="5">
        <f t="shared" si="8"/>
        <v>39.442714406754476</v>
      </c>
      <c r="L28" s="5">
        <f t="shared" si="8"/>
        <v>5.5083262904285197</v>
      </c>
      <c r="M28" s="5">
        <f t="shared" si="8"/>
        <v>7.2268574379147612</v>
      </c>
      <c r="N28" s="5">
        <f t="shared" si="8"/>
        <v>2941</v>
      </c>
    </row>
    <row r="29" spans="1:14" s="4" customFormat="1" x14ac:dyDescent="0.2">
      <c r="A29" s="9" t="s">
        <v>18</v>
      </c>
      <c r="B29" s="14"/>
      <c r="C29" s="5">
        <f>STDEV(C12:C16)/SQRT(COUNT(C12:C16))/6</f>
        <v>8.2042671823874826</v>
      </c>
      <c r="D29" s="5">
        <f t="shared" ref="D29:G29" si="9">STDEV(D12:D16)/SQRT(COUNT(D12:D16))/6</f>
        <v>7.622408484928556</v>
      </c>
      <c r="E29" s="5">
        <f t="shared" si="9"/>
        <v>3.4938040395343681</v>
      </c>
      <c r="F29" s="5">
        <f t="shared" si="9"/>
        <v>7.0542737243303621</v>
      </c>
      <c r="G29" s="5">
        <f t="shared" si="9"/>
        <v>1.4226344888582201</v>
      </c>
      <c r="H29" s="5">
        <f>STDEV(H12:H16)/SQRT(COUNT(H12:H16))</f>
        <v>1.4</v>
      </c>
      <c r="I29" s="12"/>
      <c r="J29" s="5">
        <f t="shared" ref="J29:N29" si="10">STDEV(J12:J16)/SQRT(COUNT(J12:J16))</f>
        <v>2.2917570222732349</v>
      </c>
      <c r="K29" s="5">
        <f t="shared" si="10"/>
        <v>1.9687413269544223</v>
      </c>
      <c r="L29" s="5">
        <f t="shared" si="10"/>
        <v>0.9426549142024816</v>
      </c>
      <c r="M29" s="5">
        <f t="shared" si="10"/>
        <v>1.966658203915316</v>
      </c>
      <c r="N29" s="5">
        <f t="shared" si="10"/>
        <v>748.1684302347968</v>
      </c>
    </row>
    <row r="30" spans="1:14" s="2" customFormat="1" x14ac:dyDescent="0.2">
      <c r="A30" s="10" t="s">
        <v>17</v>
      </c>
      <c r="B30" s="15" t="s">
        <v>9</v>
      </c>
      <c r="C30" s="3">
        <f>AVERAGE(C17:C24)/6</f>
        <v>129.97916666666666</v>
      </c>
      <c r="D30" s="3">
        <f t="shared" ref="D30:G30" si="11">AVERAGE(D17:D24)/6</f>
        <v>184.52083333333334</v>
      </c>
      <c r="E30" s="3">
        <f t="shared" si="11"/>
        <v>20.75</v>
      </c>
      <c r="F30" s="3">
        <f t="shared" si="11"/>
        <v>23.5</v>
      </c>
      <c r="G30" s="3">
        <f t="shared" si="11"/>
        <v>347.875</v>
      </c>
      <c r="H30" s="3">
        <f>AVERAGE(H17:H24)</f>
        <v>347.25</v>
      </c>
      <c r="I30" s="12"/>
      <c r="J30" s="3">
        <f t="shared" ref="J30:N30" si="12">AVERAGE(J17:J24)</f>
        <v>37.294983494756039</v>
      </c>
      <c r="K30" s="3">
        <f t="shared" si="12"/>
        <v>53.107065323543942</v>
      </c>
      <c r="L30" s="3">
        <f t="shared" si="12"/>
        <v>6.0400686022597068</v>
      </c>
      <c r="M30" s="3">
        <f t="shared" si="12"/>
        <v>6.7686688800438395</v>
      </c>
      <c r="N30" s="3">
        <f t="shared" si="12"/>
        <v>762.5</v>
      </c>
    </row>
    <row r="31" spans="1:14" s="2" customFormat="1" x14ac:dyDescent="0.2">
      <c r="A31" s="10" t="s">
        <v>18</v>
      </c>
      <c r="B31" s="15"/>
      <c r="C31" s="3">
        <f>STDEV(C17:C24)/SQRT(COUNT(C17:C24))/6</f>
        <v>5.9934188030215845</v>
      </c>
      <c r="D31" s="3">
        <f t="shared" ref="D31:G31" si="13">STDEV(D17:D24)/SQRT(COUNT(D17:D24))/6</f>
        <v>5.13038697718937</v>
      </c>
      <c r="E31" s="3">
        <f t="shared" si="13"/>
        <v>2.1851319381908243</v>
      </c>
      <c r="F31" s="3">
        <f t="shared" si="13"/>
        <v>1.9169254483686038</v>
      </c>
      <c r="G31" s="3">
        <f t="shared" si="13"/>
        <v>9.8589632693317064</v>
      </c>
      <c r="H31" s="3">
        <f>STDEV(H17:H24)/SQRT(COUNT(H17:H24))</f>
        <v>9.9116634037164228</v>
      </c>
      <c r="I31" s="12"/>
      <c r="J31" s="3">
        <f t="shared" ref="J31:N31" si="14">STDEV(J17:J24)/SQRT(COUNT(J17:J24))</f>
        <v>1.0374973587481173</v>
      </c>
      <c r="K31" s="3">
        <f t="shared" si="14"/>
        <v>0.88265470330673756</v>
      </c>
      <c r="L31" s="3">
        <f t="shared" si="14"/>
        <v>0.70232606222420324</v>
      </c>
      <c r="M31" s="3">
        <f t="shared" si="14"/>
        <v>0.55786872886424432</v>
      </c>
      <c r="N31" s="3">
        <f t="shared" si="14"/>
        <v>132.44608067328488</v>
      </c>
    </row>
    <row r="33" spans="1:14" x14ac:dyDescent="0.2">
      <c r="A33" t="s">
        <v>6</v>
      </c>
      <c r="B33" t="s">
        <v>7</v>
      </c>
      <c r="C33" s="1">
        <f>TTEST(C4:C11,C12:C16,2,3)</f>
        <v>0.74121950917070145</v>
      </c>
      <c r="D33" s="1">
        <f t="shared" ref="D33:H33" si="15">TTEST(D4:D11,D12:D16,2,3)</f>
        <v>3.1716408776943289E-2</v>
      </c>
      <c r="E33" s="1">
        <f t="shared" si="15"/>
        <v>7.1621541012167667E-2</v>
      </c>
      <c r="F33" s="1">
        <f t="shared" si="15"/>
        <v>0.91941810072569374</v>
      </c>
      <c r="G33" s="1">
        <f t="shared" si="15"/>
        <v>0.23137970586890244</v>
      </c>
      <c r="H33" s="1">
        <f t="shared" si="15"/>
        <v>0.2601089332470975</v>
      </c>
      <c r="I33" s="13"/>
      <c r="J33" s="1">
        <f t="shared" ref="J33:M33" si="16">TTEST(J4:J11,J12:J16,2,3)</f>
        <v>0.67103568504510658</v>
      </c>
      <c r="K33" s="1">
        <f>TTEST(K4:K11,K12:K16,2,3)</f>
        <v>3.1758402751698729E-2</v>
      </c>
      <c r="L33" s="1">
        <f t="shared" si="16"/>
        <v>7.5956829380060223E-2</v>
      </c>
      <c r="M33" s="1">
        <f t="shared" si="16"/>
        <v>0.87697684316198954</v>
      </c>
      <c r="N33" s="1">
        <f>TTEST(N4:N11,N12:N16,2,3)</f>
        <v>7.5077346670436806E-2</v>
      </c>
    </row>
    <row r="34" spans="1:14" x14ac:dyDescent="0.2">
      <c r="A34" t="s">
        <v>6</v>
      </c>
      <c r="B34" t="s">
        <v>9</v>
      </c>
      <c r="C34" s="1">
        <f>TTEST(C4:C11,C17:C24,2,3)</f>
        <v>0.17433350347456175</v>
      </c>
      <c r="D34" s="1">
        <f t="shared" ref="D34:H34" si="17">TTEST(D4:D11,D17:D24,2,3)</f>
        <v>0.34315892851894492</v>
      </c>
      <c r="E34" s="1">
        <f t="shared" si="17"/>
        <v>1.7215662750171369E-2</v>
      </c>
      <c r="F34" s="1">
        <f t="shared" si="17"/>
        <v>0.50764757398288718</v>
      </c>
      <c r="G34" s="1">
        <f t="shared" si="17"/>
        <v>7.1730977036133445E-2</v>
      </c>
      <c r="H34" s="1">
        <f t="shared" si="17"/>
        <v>7.3527014568771601E-2</v>
      </c>
      <c r="I34" s="13"/>
      <c r="J34" s="1">
        <f t="shared" ref="J34:N34" si="18">TTEST(J4:J11,J17:J24,2,3)</f>
        <v>0.40985201601447385</v>
      </c>
      <c r="K34" s="1">
        <f t="shared" si="18"/>
        <v>4.0715290019311401E-2</v>
      </c>
      <c r="L34" s="1">
        <f t="shared" si="18"/>
        <v>6.6428851777556544E-2</v>
      </c>
      <c r="M34" s="1">
        <f t="shared" si="18"/>
        <v>0.87961885664292772</v>
      </c>
      <c r="N34" s="1">
        <f t="shared" si="18"/>
        <v>0.11521563082643449</v>
      </c>
    </row>
    <row r="35" spans="1:14" x14ac:dyDescent="0.2">
      <c r="A35" t="s">
        <v>7</v>
      </c>
      <c r="B35" t="s">
        <v>9</v>
      </c>
      <c r="C35" s="1">
        <f>TTEST(C12:C16,C17:C24,2,3)</f>
        <v>6.4281675067923372E-2</v>
      </c>
      <c r="D35" s="1">
        <f t="shared" ref="D35:H35" si="19">TTEST(D12:D16,D17:D24,2,3)</f>
        <v>2.5771142705381602E-3</v>
      </c>
      <c r="E35" s="1">
        <f t="shared" si="19"/>
        <v>0.88519606056162514</v>
      </c>
      <c r="F35" s="1">
        <f t="shared" si="19"/>
        <v>0.72191699579234292</v>
      </c>
      <c r="G35" s="1">
        <f t="shared" si="19"/>
        <v>0.1320475923791356</v>
      </c>
      <c r="H35" s="1">
        <f t="shared" si="19"/>
        <v>0.12875356353661685</v>
      </c>
      <c r="I35" s="13"/>
      <c r="J35" s="1">
        <f t="shared" ref="J35:M35" si="20">TTEST(J12:J16,J17:J24,2,3)</f>
        <v>0.14004277089323475</v>
      </c>
      <c r="K35" s="1">
        <f t="shared" si="20"/>
        <v>9.2139212142370501E-4</v>
      </c>
      <c r="L35" s="1">
        <f t="shared" si="20"/>
        <v>0.66271326726008506</v>
      </c>
      <c r="M35" s="1">
        <f t="shared" si="20"/>
        <v>0.83215900623084049</v>
      </c>
      <c r="N35" s="1">
        <f>TTEST(N12:N16,N17:N24,2,3)</f>
        <v>4.2420338238305273E-2</v>
      </c>
    </row>
  </sheetData>
  <mergeCells count="8">
    <mergeCell ref="C2:G2"/>
    <mergeCell ref="J2:M2"/>
    <mergeCell ref="B26:B27"/>
    <mergeCell ref="B28:B29"/>
    <mergeCell ref="B30:B31"/>
    <mergeCell ref="A4:A11"/>
    <mergeCell ref="A12:A16"/>
    <mergeCell ref="A17:A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>
      <selection activeCell="J19" sqref="J19"/>
    </sheetView>
  </sheetViews>
  <sheetFormatPr baseColWidth="10" defaultColWidth="9.1640625" defaultRowHeight="15" x14ac:dyDescent="0.2"/>
  <cols>
    <col min="8" max="8" width="14.5" customWidth="1"/>
    <col min="9" max="9" width="2.83203125" style="12" customWidth="1"/>
    <col min="14" max="14" width="3" customWidth="1"/>
    <col min="22" max="22" width="24" bestFit="1" customWidth="1"/>
  </cols>
  <sheetData>
    <row r="1" spans="1:17" x14ac:dyDescent="0.2">
      <c r="C1" t="s">
        <v>0</v>
      </c>
    </row>
    <row r="2" spans="1:17" x14ac:dyDescent="0.2">
      <c r="C2" s="16" t="s">
        <v>14</v>
      </c>
      <c r="D2" s="16"/>
      <c r="E2" s="16"/>
      <c r="F2" s="16"/>
      <c r="G2" s="16"/>
      <c r="J2" s="16" t="s">
        <v>15</v>
      </c>
      <c r="K2" s="16"/>
      <c r="L2" s="16"/>
      <c r="M2" s="16"/>
    </row>
    <row r="3" spans="1:17" x14ac:dyDescent="0.2">
      <c r="B3" t="s">
        <v>16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J3" t="s">
        <v>1</v>
      </c>
      <c r="K3" t="s">
        <v>11</v>
      </c>
      <c r="L3" t="s">
        <v>12</v>
      </c>
      <c r="M3" t="s">
        <v>13</v>
      </c>
      <c r="O3" t="s">
        <v>19</v>
      </c>
    </row>
    <row r="4" spans="1:17" s="6" customFormat="1" x14ac:dyDescent="0.2">
      <c r="A4" s="17" t="s">
        <v>6</v>
      </c>
      <c r="B4" s="6">
        <v>1</v>
      </c>
      <c r="C4" s="6">
        <v>779</v>
      </c>
      <c r="D4" s="6">
        <v>1166</v>
      </c>
      <c r="E4" s="6">
        <v>120</v>
      </c>
      <c r="F4" s="6">
        <v>305</v>
      </c>
      <c r="G4" s="6">
        <v>2227</v>
      </c>
      <c r="H4" s="6">
        <v>371</v>
      </c>
      <c r="I4" s="12"/>
      <c r="J4" s="7">
        <f>C4/$G4*100</f>
        <v>34.979793444095201</v>
      </c>
      <c r="K4" s="7">
        <f t="shared" ref="K4:M22" si="0">D4/$G4*100</f>
        <v>52.357431522227216</v>
      </c>
      <c r="L4" s="7">
        <f t="shared" si="0"/>
        <v>5.3884149079479116</v>
      </c>
      <c r="M4" s="7">
        <f t="shared" si="0"/>
        <v>13.695554557700943</v>
      </c>
      <c r="O4" s="6">
        <v>1495</v>
      </c>
      <c r="Q4" s="6" t="s">
        <v>20</v>
      </c>
    </row>
    <row r="5" spans="1:17" s="6" customFormat="1" x14ac:dyDescent="0.2">
      <c r="A5" s="17"/>
      <c r="B5" s="6">
        <v>2</v>
      </c>
      <c r="C5" s="6">
        <v>793</v>
      </c>
      <c r="D5" s="6">
        <v>1136</v>
      </c>
      <c r="E5" s="6">
        <v>162</v>
      </c>
      <c r="F5" s="6">
        <v>181</v>
      </c>
      <c r="G5" s="6">
        <v>2157</v>
      </c>
      <c r="H5" s="6">
        <v>359</v>
      </c>
      <c r="I5" s="12"/>
      <c r="J5" s="7">
        <f t="shared" ref="J5:M23" si="1">C5/$G5*100</f>
        <v>36.764024107556793</v>
      </c>
      <c r="K5" s="7">
        <f t="shared" si="0"/>
        <v>52.665739452943903</v>
      </c>
      <c r="L5" s="7">
        <f t="shared" si="0"/>
        <v>7.5104311543810853</v>
      </c>
      <c r="M5" s="7">
        <f t="shared" si="0"/>
        <v>8.3912841910060258</v>
      </c>
      <c r="O5" s="6">
        <v>665</v>
      </c>
      <c r="Q5" s="6" t="s">
        <v>21</v>
      </c>
    </row>
    <row r="6" spans="1:17" s="6" customFormat="1" x14ac:dyDescent="0.2">
      <c r="A6" s="17"/>
      <c r="B6" s="6">
        <v>3</v>
      </c>
      <c r="C6" s="6">
        <v>866</v>
      </c>
      <c r="D6" s="6">
        <v>1102</v>
      </c>
      <c r="E6" s="6">
        <v>88</v>
      </c>
      <c r="F6" s="6">
        <v>280</v>
      </c>
      <c r="G6" s="6">
        <v>2164</v>
      </c>
      <c r="H6" s="6">
        <v>360</v>
      </c>
      <c r="I6" s="12"/>
      <c r="J6" s="7">
        <f t="shared" si="1"/>
        <v>40.018484288354898</v>
      </c>
      <c r="K6" s="7">
        <f t="shared" si="0"/>
        <v>50.924214417744921</v>
      </c>
      <c r="L6" s="7">
        <f t="shared" si="0"/>
        <v>4.066543438077634</v>
      </c>
      <c r="M6" s="7">
        <f t="shared" si="0"/>
        <v>12.939001848428836</v>
      </c>
      <c r="O6" s="6">
        <v>1085</v>
      </c>
      <c r="Q6" s="6" t="s">
        <v>22</v>
      </c>
    </row>
    <row r="7" spans="1:17" s="6" customFormat="1" x14ac:dyDescent="0.2">
      <c r="A7" s="17"/>
      <c r="B7" s="6">
        <v>4</v>
      </c>
      <c r="C7" s="6">
        <v>609</v>
      </c>
      <c r="D7" s="6">
        <v>1237</v>
      </c>
      <c r="E7" s="6">
        <v>156</v>
      </c>
      <c r="F7" s="6">
        <v>213</v>
      </c>
      <c r="G7" s="6">
        <v>2168</v>
      </c>
      <c r="H7" s="6">
        <v>361</v>
      </c>
      <c r="I7" s="12"/>
      <c r="J7" s="7">
        <f t="shared" si="1"/>
        <v>28.09040590405904</v>
      </c>
      <c r="K7" s="7">
        <f t="shared" si="0"/>
        <v>57.057195571955724</v>
      </c>
      <c r="L7" s="7">
        <f t="shared" si="0"/>
        <v>7.195571955719557</v>
      </c>
      <c r="M7" s="7">
        <f t="shared" si="0"/>
        <v>9.8247232472324733</v>
      </c>
      <c r="O7" s="6">
        <v>1665</v>
      </c>
      <c r="Q7" s="6" t="s">
        <v>23</v>
      </c>
    </row>
    <row r="8" spans="1:17" s="6" customFormat="1" x14ac:dyDescent="0.2">
      <c r="A8" s="17"/>
      <c r="B8" s="6">
        <v>5</v>
      </c>
      <c r="C8" s="6">
        <v>633</v>
      </c>
      <c r="D8" s="6">
        <v>1296</v>
      </c>
      <c r="E8" s="6">
        <v>163</v>
      </c>
      <c r="F8" s="6">
        <v>230</v>
      </c>
      <c r="G8" s="6">
        <v>2191</v>
      </c>
      <c r="H8" s="6">
        <v>365</v>
      </c>
      <c r="I8" s="12"/>
      <c r="J8" s="7">
        <f t="shared" si="1"/>
        <v>28.890917389319949</v>
      </c>
      <c r="K8" s="7">
        <f t="shared" si="0"/>
        <v>59.151072569602924</v>
      </c>
      <c r="L8" s="7">
        <f t="shared" si="0"/>
        <v>7.4395253308991327</v>
      </c>
      <c r="M8" s="7">
        <f t="shared" si="0"/>
        <v>10.497489730716568</v>
      </c>
      <c r="O8" s="6">
        <v>995</v>
      </c>
      <c r="Q8" s="6" t="s">
        <v>24</v>
      </c>
    </row>
    <row r="9" spans="1:17" s="6" customFormat="1" x14ac:dyDescent="0.2">
      <c r="A9" s="17"/>
      <c r="B9" s="6">
        <v>6</v>
      </c>
      <c r="C9" s="6">
        <v>816</v>
      </c>
      <c r="D9" s="6">
        <v>1131</v>
      </c>
      <c r="E9" s="6">
        <v>121</v>
      </c>
      <c r="F9" s="6">
        <v>183</v>
      </c>
      <c r="G9" s="6">
        <v>2209</v>
      </c>
      <c r="H9" s="6">
        <v>368</v>
      </c>
      <c r="I9" s="12"/>
      <c r="J9" s="7">
        <f t="shared" si="1"/>
        <v>36.939791760977819</v>
      </c>
      <c r="K9" s="7">
        <f t="shared" si="0"/>
        <v>51.199637845178813</v>
      </c>
      <c r="L9" s="7">
        <f t="shared" si="0"/>
        <v>5.4775916704391125</v>
      </c>
      <c r="M9" s="7">
        <f t="shared" si="0"/>
        <v>8.2842915346310555</v>
      </c>
      <c r="O9" s="6">
        <v>1415</v>
      </c>
      <c r="Q9" s="6" t="s">
        <v>25</v>
      </c>
    </row>
    <row r="10" spans="1:17" s="6" customFormat="1" x14ac:dyDescent="0.2">
      <c r="A10" s="17"/>
      <c r="B10" s="6">
        <v>7</v>
      </c>
      <c r="C10" s="6">
        <v>778</v>
      </c>
      <c r="D10" s="6">
        <v>1180</v>
      </c>
      <c r="E10" s="6">
        <v>139</v>
      </c>
      <c r="F10" s="6">
        <v>252</v>
      </c>
      <c r="G10" s="6">
        <v>2166</v>
      </c>
      <c r="H10" s="6">
        <v>360</v>
      </c>
      <c r="I10" s="12"/>
      <c r="J10" s="7">
        <f t="shared" si="1"/>
        <v>35.918744228993539</v>
      </c>
      <c r="K10" s="7">
        <f t="shared" si="0"/>
        <v>54.478301015697141</v>
      </c>
      <c r="L10" s="7">
        <f t="shared" si="0"/>
        <v>6.4173591874422895</v>
      </c>
      <c r="M10" s="7">
        <f t="shared" si="0"/>
        <v>11.634349030470915</v>
      </c>
      <c r="O10" s="6">
        <v>695</v>
      </c>
      <c r="Q10" s="6" t="s">
        <v>26</v>
      </c>
    </row>
    <row r="11" spans="1:17" s="6" customFormat="1" x14ac:dyDescent="0.2">
      <c r="A11" s="17"/>
      <c r="B11" s="6">
        <v>8</v>
      </c>
      <c r="C11" s="6">
        <v>743</v>
      </c>
      <c r="D11" s="6">
        <v>1070</v>
      </c>
      <c r="E11" s="6">
        <v>216</v>
      </c>
      <c r="F11" s="6">
        <v>152</v>
      </c>
      <c r="G11" s="6">
        <v>2161</v>
      </c>
      <c r="H11" s="6">
        <v>360</v>
      </c>
      <c r="I11" s="12"/>
      <c r="J11" s="7">
        <f t="shared" si="1"/>
        <v>34.382230448866267</v>
      </c>
      <c r="K11" s="7">
        <f t="shared" si="0"/>
        <v>49.514113836186951</v>
      </c>
      <c r="L11" s="7">
        <f t="shared" si="0"/>
        <v>9.9953725127255897</v>
      </c>
      <c r="M11" s="7">
        <f t="shared" si="0"/>
        <v>7.0337806571031933</v>
      </c>
      <c r="O11" s="6">
        <v>815</v>
      </c>
      <c r="Q11" s="6" t="s">
        <v>27</v>
      </c>
    </row>
    <row r="12" spans="1:17" s="6" customFormat="1" x14ac:dyDescent="0.2">
      <c r="A12" s="17"/>
      <c r="B12" s="6">
        <v>11</v>
      </c>
      <c r="C12" s="6">
        <v>279</v>
      </c>
      <c r="D12" s="6">
        <v>232</v>
      </c>
      <c r="E12" s="6">
        <v>33</v>
      </c>
      <c r="F12" s="6">
        <v>37</v>
      </c>
      <c r="G12" s="6">
        <v>546</v>
      </c>
      <c r="H12" s="6">
        <v>90</v>
      </c>
      <c r="I12" s="12"/>
      <c r="J12" s="7">
        <f t="shared" ref="J12:J17" si="2">C12/$G12*100</f>
        <v>51.098901098901095</v>
      </c>
      <c r="K12" s="7">
        <f t="shared" ref="K12:K17" si="3">D12/$G12*100</f>
        <v>42.490842490842489</v>
      </c>
      <c r="L12" s="7">
        <f t="shared" ref="L12:L17" si="4">E12/$G12*100</f>
        <v>6.0439560439560438</v>
      </c>
      <c r="M12" s="7">
        <f t="shared" ref="M12:M17" si="5">F12/$G12*100</f>
        <v>6.7765567765567765</v>
      </c>
      <c r="O12" s="6">
        <v>5</v>
      </c>
      <c r="Q12" s="6" t="s">
        <v>28</v>
      </c>
    </row>
    <row r="13" spans="1:17" s="6" customFormat="1" x14ac:dyDescent="0.2">
      <c r="A13" s="17"/>
      <c r="B13" s="6">
        <v>12</v>
      </c>
      <c r="C13" s="6">
        <v>37</v>
      </c>
      <c r="D13" s="6">
        <v>420</v>
      </c>
      <c r="E13" s="6">
        <v>82</v>
      </c>
      <c r="F13" s="6">
        <v>40</v>
      </c>
      <c r="G13" s="6">
        <v>546</v>
      </c>
      <c r="H13" s="6">
        <v>90</v>
      </c>
      <c r="I13" s="12"/>
      <c r="J13" s="7">
        <f t="shared" si="2"/>
        <v>6.7765567765567765</v>
      </c>
      <c r="K13" s="7">
        <f t="shared" si="3"/>
        <v>76.923076923076934</v>
      </c>
      <c r="L13" s="7">
        <f t="shared" si="4"/>
        <v>15.018315018315018</v>
      </c>
      <c r="M13" s="7">
        <f t="shared" si="5"/>
        <v>7.3260073260073266</v>
      </c>
      <c r="O13" s="6">
        <v>5</v>
      </c>
      <c r="Q13" s="6" t="s">
        <v>29</v>
      </c>
    </row>
    <row r="14" spans="1:17" s="6" customFormat="1" x14ac:dyDescent="0.2">
      <c r="A14" s="17"/>
      <c r="B14" s="6">
        <v>13</v>
      </c>
      <c r="C14" s="6">
        <v>648</v>
      </c>
      <c r="D14" s="6">
        <v>1009</v>
      </c>
      <c r="E14" s="6">
        <v>130</v>
      </c>
      <c r="F14" s="6">
        <v>170</v>
      </c>
      <c r="G14" s="6">
        <v>2162</v>
      </c>
      <c r="H14" s="6">
        <v>360</v>
      </c>
      <c r="I14" s="12"/>
      <c r="J14" s="7">
        <f t="shared" si="2"/>
        <v>29.972247918593897</v>
      </c>
      <c r="K14" s="7">
        <f t="shared" si="3"/>
        <v>46.669750231267344</v>
      </c>
      <c r="L14" s="7">
        <f t="shared" si="4"/>
        <v>6.0129509713228497</v>
      </c>
      <c r="M14" s="7">
        <f t="shared" si="5"/>
        <v>7.8630897317298807</v>
      </c>
      <c r="O14" s="6">
        <v>3565</v>
      </c>
      <c r="Q14" s="6" t="s">
        <v>30</v>
      </c>
    </row>
    <row r="15" spans="1:17" s="6" customFormat="1" x14ac:dyDescent="0.2">
      <c r="A15" s="17"/>
      <c r="B15" s="6">
        <v>14</v>
      </c>
      <c r="C15" s="6">
        <v>820</v>
      </c>
      <c r="D15" s="6">
        <v>1028</v>
      </c>
      <c r="E15" s="6">
        <v>173</v>
      </c>
      <c r="F15" s="6">
        <v>137</v>
      </c>
      <c r="G15" s="6">
        <v>2163</v>
      </c>
      <c r="H15" s="6">
        <v>360</v>
      </c>
      <c r="I15" s="12"/>
      <c r="J15" s="7">
        <f t="shared" si="2"/>
        <v>37.910309754969951</v>
      </c>
      <c r="K15" s="7">
        <f t="shared" si="3"/>
        <v>47.526583448913549</v>
      </c>
      <c r="L15" s="7">
        <f t="shared" si="4"/>
        <v>7.9981507165973191</v>
      </c>
      <c r="M15" s="7">
        <f t="shared" si="5"/>
        <v>6.3337956541840033</v>
      </c>
      <c r="O15" s="6">
        <v>865</v>
      </c>
      <c r="Q15" s="6" t="s">
        <v>31</v>
      </c>
    </row>
    <row r="16" spans="1:17" s="6" customFormat="1" x14ac:dyDescent="0.2">
      <c r="A16" s="17"/>
      <c r="B16" s="6">
        <v>15</v>
      </c>
      <c r="C16" s="6">
        <v>755</v>
      </c>
      <c r="D16" s="6">
        <v>1176</v>
      </c>
      <c r="E16" s="6">
        <v>144</v>
      </c>
      <c r="F16" s="6">
        <v>277</v>
      </c>
      <c r="G16" s="6">
        <v>2240</v>
      </c>
      <c r="H16" s="6">
        <v>373</v>
      </c>
      <c r="I16" s="12"/>
      <c r="J16" s="7">
        <f t="shared" si="2"/>
        <v>33.705357142857146</v>
      </c>
      <c r="K16" s="7">
        <f t="shared" si="3"/>
        <v>52.5</v>
      </c>
      <c r="L16" s="7">
        <f t="shared" si="4"/>
        <v>6.4285714285714279</v>
      </c>
      <c r="M16" s="7">
        <f t="shared" si="5"/>
        <v>12.366071428571429</v>
      </c>
      <c r="O16" s="6">
        <v>1115</v>
      </c>
      <c r="Q16" s="6" t="s">
        <v>32</v>
      </c>
    </row>
    <row r="17" spans="1:17" s="6" customFormat="1" x14ac:dyDescent="0.2">
      <c r="A17" s="17"/>
      <c r="B17" s="6">
        <v>16</v>
      </c>
      <c r="C17" s="6">
        <v>800</v>
      </c>
      <c r="D17" s="6">
        <v>982</v>
      </c>
      <c r="E17" s="6">
        <v>148</v>
      </c>
      <c r="F17" s="6">
        <v>192</v>
      </c>
      <c r="G17" s="6">
        <v>2162</v>
      </c>
      <c r="H17" s="6">
        <v>360</v>
      </c>
      <c r="I17" s="12"/>
      <c r="J17" s="7">
        <f t="shared" si="2"/>
        <v>37.002775208140612</v>
      </c>
      <c r="K17" s="7">
        <f t="shared" si="3"/>
        <v>45.420906567992596</v>
      </c>
      <c r="L17" s="7">
        <f t="shared" si="4"/>
        <v>6.8455134135060129</v>
      </c>
      <c r="M17" s="7">
        <f t="shared" si="5"/>
        <v>8.8806660499537458</v>
      </c>
      <c r="O17" s="6">
        <v>1705</v>
      </c>
      <c r="Q17" s="6" t="s">
        <v>33</v>
      </c>
    </row>
    <row r="18" spans="1:17" s="6" customFormat="1" x14ac:dyDescent="0.2">
      <c r="A18" s="17"/>
      <c r="B18" s="6">
        <v>17</v>
      </c>
      <c r="C18" s="6">
        <v>1076</v>
      </c>
      <c r="D18" s="6">
        <v>870</v>
      </c>
      <c r="E18" s="6">
        <v>149</v>
      </c>
      <c r="F18" s="6">
        <v>151</v>
      </c>
      <c r="G18" s="6">
        <v>2169</v>
      </c>
      <c r="H18" s="6">
        <v>361</v>
      </c>
      <c r="I18" s="12"/>
      <c r="J18" s="7">
        <f t="shared" si="1"/>
        <v>49.608114338404796</v>
      </c>
      <c r="K18" s="7">
        <f t="shared" si="0"/>
        <v>40.110650069156293</v>
      </c>
      <c r="L18" s="7">
        <f t="shared" si="0"/>
        <v>6.869525126786538</v>
      </c>
      <c r="M18" s="7">
        <f t="shared" si="0"/>
        <v>6.9617335177501154</v>
      </c>
      <c r="O18" s="6">
        <v>405</v>
      </c>
      <c r="Q18" s="6" t="s">
        <v>34</v>
      </c>
    </row>
    <row r="19" spans="1:17" s="6" customFormat="1" x14ac:dyDescent="0.2">
      <c r="A19" s="17"/>
      <c r="B19" s="6">
        <v>18</v>
      </c>
      <c r="C19" s="6">
        <v>694</v>
      </c>
      <c r="D19" s="6">
        <v>1062</v>
      </c>
      <c r="E19" s="6">
        <v>176</v>
      </c>
      <c r="F19" s="6">
        <v>201</v>
      </c>
      <c r="G19" s="6">
        <v>2162</v>
      </c>
      <c r="H19" s="6">
        <v>360</v>
      </c>
      <c r="I19" s="12"/>
      <c r="J19" s="7">
        <f t="shared" ref="J19" si="6">C19/$G19*100</f>
        <v>32.099907493061977</v>
      </c>
      <c r="K19" s="7">
        <f t="shared" ref="K19" si="7">D19/$G19*100</f>
        <v>49.121184088806665</v>
      </c>
      <c r="L19" s="7">
        <f t="shared" ref="L19" si="8">E19/$G19*100</f>
        <v>8.1406105457909348</v>
      </c>
      <c r="M19" s="7">
        <f t="shared" ref="M19" si="9">F19/$G19*100</f>
        <v>9.2969472710453296</v>
      </c>
      <c r="O19" s="6">
        <v>1775</v>
      </c>
      <c r="Q19" s="6" t="s">
        <v>35</v>
      </c>
    </row>
    <row r="20" spans="1:17" s="6" customFormat="1" x14ac:dyDescent="0.2">
      <c r="A20" s="17"/>
      <c r="B20" s="6">
        <v>19</v>
      </c>
      <c r="C20" s="6">
        <v>757</v>
      </c>
      <c r="D20" s="6">
        <v>1152</v>
      </c>
      <c r="E20" s="6">
        <v>171</v>
      </c>
      <c r="F20" s="6">
        <v>240</v>
      </c>
      <c r="G20" s="6">
        <v>2165</v>
      </c>
      <c r="H20" s="6">
        <v>360</v>
      </c>
      <c r="I20" s="12"/>
      <c r="J20" s="7">
        <f t="shared" si="1"/>
        <v>34.965357967667437</v>
      </c>
      <c r="K20" s="7">
        <f t="shared" si="0"/>
        <v>53.210161662817555</v>
      </c>
      <c r="L20" s="7">
        <f t="shared" si="0"/>
        <v>7.8983833718244796</v>
      </c>
      <c r="M20" s="7">
        <f t="shared" si="0"/>
        <v>11.085450346420323</v>
      </c>
      <c r="O20" s="6">
        <v>515</v>
      </c>
      <c r="Q20" s="6" t="s">
        <v>36</v>
      </c>
    </row>
    <row r="21" spans="1:17" s="4" customFormat="1" x14ac:dyDescent="0.2">
      <c r="A21" s="18" t="s">
        <v>7</v>
      </c>
      <c r="B21" s="4">
        <v>1</v>
      </c>
      <c r="C21" s="4">
        <v>637</v>
      </c>
      <c r="D21" s="4">
        <v>1319</v>
      </c>
      <c r="E21" s="4">
        <v>111</v>
      </c>
      <c r="F21" s="4">
        <v>301</v>
      </c>
      <c r="G21" s="4">
        <v>2171</v>
      </c>
      <c r="H21" s="4">
        <v>361</v>
      </c>
      <c r="I21" s="12"/>
      <c r="J21" s="5">
        <f t="shared" si="1"/>
        <v>29.341317365269461</v>
      </c>
      <c r="K21" s="5">
        <f t="shared" si="0"/>
        <v>60.755412252418239</v>
      </c>
      <c r="L21" s="5">
        <f t="shared" si="0"/>
        <v>5.112851220635652</v>
      </c>
      <c r="M21" s="5">
        <f t="shared" si="0"/>
        <v>13.864578535237218</v>
      </c>
      <c r="O21" s="4">
        <v>1045</v>
      </c>
      <c r="Q21" s="4" t="s">
        <v>37</v>
      </c>
    </row>
    <row r="22" spans="1:17" s="4" customFormat="1" x14ac:dyDescent="0.2">
      <c r="A22" s="18"/>
      <c r="B22" s="4">
        <v>2</v>
      </c>
      <c r="C22" s="4">
        <v>532</v>
      </c>
      <c r="D22" s="4">
        <v>1326</v>
      </c>
      <c r="E22" s="4">
        <v>144</v>
      </c>
      <c r="F22" s="4">
        <v>260</v>
      </c>
      <c r="G22" s="4">
        <v>2168</v>
      </c>
      <c r="H22" s="4">
        <v>361</v>
      </c>
      <c r="I22" s="12"/>
      <c r="J22" s="5">
        <f t="shared" si="1"/>
        <v>24.538745387453876</v>
      </c>
      <c r="K22" s="5">
        <f t="shared" si="0"/>
        <v>61.162361623616235</v>
      </c>
      <c r="L22" s="5">
        <f t="shared" si="0"/>
        <v>6.6420664206642073</v>
      </c>
      <c r="M22" s="5">
        <f t="shared" si="0"/>
        <v>11.992619926199263</v>
      </c>
      <c r="O22" s="4">
        <v>1665</v>
      </c>
      <c r="Q22" s="4" t="s">
        <v>38</v>
      </c>
    </row>
    <row r="23" spans="1:17" s="4" customFormat="1" x14ac:dyDescent="0.2">
      <c r="A23" s="18"/>
      <c r="B23" s="4">
        <v>3</v>
      </c>
      <c r="C23" s="4">
        <v>1015</v>
      </c>
      <c r="D23" s="4">
        <v>1021</v>
      </c>
      <c r="E23" s="4">
        <v>122</v>
      </c>
      <c r="F23" s="4">
        <v>104</v>
      </c>
      <c r="G23" s="4">
        <v>2191</v>
      </c>
      <c r="H23" s="4">
        <v>365</v>
      </c>
      <c r="I23" s="12"/>
      <c r="J23" s="5">
        <f t="shared" si="1"/>
        <v>46.325878594249204</v>
      </c>
      <c r="K23" s="5">
        <f t="shared" si="1"/>
        <v>46.599726152441804</v>
      </c>
      <c r="L23" s="5">
        <f t="shared" si="1"/>
        <v>5.568233683249658</v>
      </c>
      <c r="M23" s="5">
        <f t="shared" si="1"/>
        <v>4.7466910086718395</v>
      </c>
      <c r="O23" s="4">
        <v>335</v>
      </c>
      <c r="Q23" s="4" t="s">
        <v>39</v>
      </c>
    </row>
    <row r="24" spans="1:17" s="4" customFormat="1" x14ac:dyDescent="0.2">
      <c r="A24" s="18"/>
      <c r="B24" s="4">
        <v>4</v>
      </c>
      <c r="C24" s="4">
        <v>942</v>
      </c>
      <c r="D24" s="4">
        <v>1110</v>
      </c>
      <c r="E24" s="4">
        <v>125</v>
      </c>
      <c r="F24" s="4">
        <v>114</v>
      </c>
      <c r="G24" s="4">
        <v>2209</v>
      </c>
      <c r="H24" s="4">
        <v>368</v>
      </c>
      <c r="I24" s="12"/>
      <c r="J24" s="5">
        <f t="shared" ref="J24:M42" si="10">C24/$G24*100</f>
        <v>42.643730194658211</v>
      </c>
      <c r="K24" s="5">
        <f t="shared" si="10"/>
        <v>50.248981439565412</v>
      </c>
      <c r="L24" s="5">
        <f t="shared" si="10"/>
        <v>5.6586690810321407</v>
      </c>
      <c r="M24" s="5">
        <f t="shared" si="10"/>
        <v>5.1607062019013128</v>
      </c>
      <c r="O24" s="4">
        <v>325</v>
      </c>
      <c r="Q24" s="4" t="s">
        <v>40</v>
      </c>
    </row>
    <row r="25" spans="1:17" s="4" customFormat="1" x14ac:dyDescent="0.2">
      <c r="A25" s="18"/>
      <c r="B25" s="4">
        <v>5</v>
      </c>
      <c r="C25" s="4">
        <v>636</v>
      </c>
      <c r="D25" s="4">
        <v>1051</v>
      </c>
      <c r="E25" s="4">
        <v>156</v>
      </c>
      <c r="F25" s="4">
        <v>210</v>
      </c>
      <c r="G25" s="4">
        <v>1870</v>
      </c>
      <c r="H25" s="4">
        <v>311</v>
      </c>
      <c r="I25" s="12"/>
      <c r="J25" s="5">
        <f t="shared" si="10"/>
        <v>34.010695187165773</v>
      </c>
      <c r="K25" s="5">
        <f t="shared" si="10"/>
        <v>56.203208556149733</v>
      </c>
      <c r="L25" s="5">
        <f t="shared" si="10"/>
        <v>8.3422459893048124</v>
      </c>
      <c r="M25" s="5">
        <f t="shared" si="10"/>
        <v>11.229946524064172</v>
      </c>
      <c r="O25" s="4">
        <v>275</v>
      </c>
      <c r="Q25" s="4" t="s">
        <v>41</v>
      </c>
    </row>
    <row r="26" spans="1:17" s="4" customFormat="1" x14ac:dyDescent="0.2">
      <c r="A26" s="18"/>
      <c r="B26" s="4">
        <v>6</v>
      </c>
      <c r="C26" s="4">
        <v>519</v>
      </c>
      <c r="D26" s="4">
        <v>1089</v>
      </c>
      <c r="E26" s="4">
        <v>168</v>
      </c>
      <c r="F26" s="4">
        <v>179</v>
      </c>
      <c r="G26" s="4">
        <v>1870</v>
      </c>
      <c r="H26" s="4">
        <v>311</v>
      </c>
      <c r="I26" s="12"/>
      <c r="J26" s="5">
        <f t="shared" si="10"/>
        <v>27.754010695187166</v>
      </c>
      <c r="K26" s="5">
        <f t="shared" si="10"/>
        <v>58.235294117647065</v>
      </c>
      <c r="L26" s="5">
        <f t="shared" si="10"/>
        <v>8.9839572192513373</v>
      </c>
      <c r="M26" s="5">
        <f t="shared" si="10"/>
        <v>9.572192513368984</v>
      </c>
      <c r="O26" s="4">
        <v>945</v>
      </c>
      <c r="Q26" s="4" t="s">
        <v>42</v>
      </c>
    </row>
    <row r="27" spans="1:17" s="4" customFormat="1" x14ac:dyDescent="0.2">
      <c r="A27" s="18"/>
      <c r="B27" s="4">
        <v>7</v>
      </c>
      <c r="C27" s="4">
        <v>686</v>
      </c>
      <c r="D27" s="4">
        <v>1193</v>
      </c>
      <c r="E27" s="4">
        <v>164</v>
      </c>
      <c r="F27" s="4">
        <v>193</v>
      </c>
      <c r="G27" s="4">
        <v>2161</v>
      </c>
      <c r="H27" s="4">
        <v>360</v>
      </c>
      <c r="I27" s="12"/>
      <c r="J27" s="5">
        <f t="shared" si="10"/>
        <v>31.744562702452566</v>
      </c>
      <c r="K27" s="5">
        <f t="shared" si="10"/>
        <v>55.205923183711249</v>
      </c>
      <c r="L27" s="5">
        <f t="shared" si="10"/>
        <v>7.5890791300323919</v>
      </c>
      <c r="M27" s="5">
        <f t="shared" si="10"/>
        <v>8.9310504396112904</v>
      </c>
      <c r="O27" s="4">
        <v>1185</v>
      </c>
      <c r="Q27" s="4" t="s">
        <v>43</v>
      </c>
    </row>
    <row r="28" spans="1:17" s="4" customFormat="1" x14ac:dyDescent="0.2">
      <c r="A28" s="18"/>
      <c r="B28" s="4">
        <v>10</v>
      </c>
      <c r="C28" s="4">
        <v>549</v>
      </c>
      <c r="D28" s="4">
        <v>1372</v>
      </c>
      <c r="E28" s="4">
        <v>177</v>
      </c>
      <c r="F28" s="4">
        <v>212</v>
      </c>
      <c r="G28" s="4">
        <v>2172</v>
      </c>
      <c r="H28" s="4">
        <v>362</v>
      </c>
      <c r="I28" s="12"/>
      <c r="J28" s="5">
        <f t="shared" si="10"/>
        <v>25.276243093922652</v>
      </c>
      <c r="K28" s="5">
        <f t="shared" si="10"/>
        <v>63.167587476979747</v>
      </c>
      <c r="L28" s="5">
        <f t="shared" si="10"/>
        <v>8.1491712707182327</v>
      </c>
      <c r="M28" s="5">
        <f t="shared" si="10"/>
        <v>9.7605893186003687</v>
      </c>
      <c r="O28" s="4">
        <v>405</v>
      </c>
      <c r="Q28" s="4" t="s">
        <v>44</v>
      </c>
    </row>
    <row r="29" spans="1:17" s="4" customFormat="1" x14ac:dyDescent="0.2">
      <c r="A29" s="18"/>
      <c r="B29" s="4">
        <v>11</v>
      </c>
      <c r="C29" s="4">
        <v>794</v>
      </c>
      <c r="D29" s="4">
        <v>1096</v>
      </c>
      <c r="E29" s="4">
        <v>152</v>
      </c>
      <c r="F29" s="4">
        <v>194</v>
      </c>
      <c r="G29" s="4">
        <v>2162</v>
      </c>
      <c r="H29" s="4">
        <v>360</v>
      </c>
      <c r="I29" s="12"/>
      <c r="J29" s="5">
        <f t="shared" ref="J29:J35" si="11">C29/$G29*100</f>
        <v>36.725254394079556</v>
      </c>
      <c r="K29" s="5">
        <f t="shared" ref="K29:K35" si="12">D29/$G29*100</f>
        <v>50.693802035152636</v>
      </c>
      <c r="L29" s="5">
        <f t="shared" ref="L29:L35" si="13">E29/$G29*100</f>
        <v>7.0305272895467157</v>
      </c>
      <c r="M29" s="5">
        <f t="shared" ref="M29:M35" si="14">F29/$G29*100</f>
        <v>8.9731729879740989</v>
      </c>
      <c r="O29" s="4">
        <v>915</v>
      </c>
      <c r="Q29" s="4" t="s">
        <v>45</v>
      </c>
    </row>
    <row r="30" spans="1:17" s="4" customFormat="1" x14ac:dyDescent="0.2">
      <c r="A30" s="18"/>
      <c r="B30" s="4">
        <v>12</v>
      </c>
      <c r="C30" s="4">
        <v>971</v>
      </c>
      <c r="D30" s="4">
        <v>913</v>
      </c>
      <c r="E30" s="4">
        <v>123</v>
      </c>
      <c r="F30" s="4">
        <v>247</v>
      </c>
      <c r="G30" s="4">
        <v>2158</v>
      </c>
      <c r="H30" s="4">
        <v>359</v>
      </c>
      <c r="I30" s="12"/>
      <c r="J30" s="5">
        <f t="shared" si="11"/>
        <v>44.99536607970343</v>
      </c>
      <c r="K30" s="5">
        <f t="shared" si="12"/>
        <v>42.307692307692307</v>
      </c>
      <c r="L30" s="5">
        <f t="shared" si="13"/>
        <v>5.6997219647822055</v>
      </c>
      <c r="M30" s="5">
        <f t="shared" si="14"/>
        <v>11.445783132530121</v>
      </c>
      <c r="O30" s="4">
        <v>1215</v>
      </c>
      <c r="Q30" s="4" t="s">
        <v>46</v>
      </c>
    </row>
    <row r="31" spans="1:17" s="4" customFormat="1" x14ac:dyDescent="0.2">
      <c r="A31" s="18"/>
      <c r="B31" s="4">
        <v>13</v>
      </c>
      <c r="C31" s="4">
        <v>794</v>
      </c>
      <c r="D31" s="4">
        <v>1303</v>
      </c>
      <c r="E31" s="4">
        <v>165</v>
      </c>
      <c r="F31" s="4">
        <v>190</v>
      </c>
      <c r="G31" s="4">
        <v>2352</v>
      </c>
      <c r="H31" s="4">
        <v>392</v>
      </c>
      <c r="I31" s="12"/>
      <c r="J31" s="5">
        <f t="shared" si="11"/>
        <v>33.758503401360542</v>
      </c>
      <c r="K31" s="5">
        <f t="shared" si="12"/>
        <v>55.39965986394558</v>
      </c>
      <c r="L31" s="5">
        <f t="shared" si="13"/>
        <v>7.0153061224489788</v>
      </c>
      <c r="M31" s="5">
        <f t="shared" si="14"/>
        <v>8.0782312925170068</v>
      </c>
      <c r="O31" s="4">
        <v>305</v>
      </c>
      <c r="Q31" s="4" t="s">
        <v>47</v>
      </c>
    </row>
    <row r="32" spans="1:17" s="4" customFormat="1" x14ac:dyDescent="0.2">
      <c r="A32" s="18"/>
      <c r="B32" s="4">
        <v>14</v>
      </c>
      <c r="C32" s="4">
        <v>814</v>
      </c>
      <c r="D32" s="4">
        <v>1037</v>
      </c>
      <c r="E32" s="4">
        <v>161</v>
      </c>
      <c r="F32" s="4">
        <v>183</v>
      </c>
      <c r="G32" s="4">
        <v>2163</v>
      </c>
      <c r="H32" s="4">
        <v>360</v>
      </c>
      <c r="I32" s="12"/>
      <c r="J32" s="5">
        <f t="shared" si="11"/>
        <v>37.632917244567729</v>
      </c>
      <c r="K32" s="5">
        <f t="shared" si="12"/>
        <v>47.942672214516875</v>
      </c>
      <c r="L32" s="5">
        <f t="shared" si="13"/>
        <v>7.4433656957928811</v>
      </c>
      <c r="M32" s="5">
        <f t="shared" si="14"/>
        <v>8.4604715672676836</v>
      </c>
      <c r="O32" s="4">
        <v>965</v>
      </c>
      <c r="Q32" s="4" t="s">
        <v>48</v>
      </c>
    </row>
    <row r="33" spans="1:17" s="4" customFormat="1" x14ac:dyDescent="0.2">
      <c r="A33" s="18"/>
      <c r="B33" s="4">
        <v>15</v>
      </c>
      <c r="C33" s="4">
        <v>758</v>
      </c>
      <c r="D33" s="4">
        <v>1052</v>
      </c>
      <c r="E33" s="4">
        <v>152</v>
      </c>
      <c r="F33" s="4">
        <v>220</v>
      </c>
      <c r="G33" s="4">
        <v>2240</v>
      </c>
      <c r="H33" s="4">
        <v>373</v>
      </c>
      <c r="I33" s="12"/>
      <c r="J33" s="5">
        <f t="shared" si="11"/>
        <v>33.839285714285715</v>
      </c>
      <c r="K33" s="5">
        <f t="shared" si="12"/>
        <v>46.964285714285715</v>
      </c>
      <c r="L33" s="5">
        <f t="shared" si="13"/>
        <v>6.7857142857142856</v>
      </c>
      <c r="M33" s="5">
        <f t="shared" si="14"/>
        <v>9.8214285714285712</v>
      </c>
      <c r="O33" s="4">
        <v>1785</v>
      </c>
      <c r="Q33" s="4" t="s">
        <v>49</v>
      </c>
    </row>
    <row r="34" spans="1:17" s="4" customFormat="1" x14ac:dyDescent="0.2">
      <c r="A34" s="18"/>
      <c r="B34" s="4">
        <v>16</v>
      </c>
      <c r="C34" s="4">
        <v>615</v>
      </c>
      <c r="D34" s="4">
        <v>1222</v>
      </c>
      <c r="E34" s="4">
        <v>183</v>
      </c>
      <c r="F34" s="4">
        <v>188</v>
      </c>
      <c r="G34" s="4">
        <v>2162</v>
      </c>
      <c r="H34" s="4">
        <v>360</v>
      </c>
      <c r="I34" s="12"/>
      <c r="J34" s="5">
        <f t="shared" si="11"/>
        <v>28.445883441258097</v>
      </c>
      <c r="K34" s="5">
        <f t="shared" si="12"/>
        <v>56.521739130434781</v>
      </c>
      <c r="L34" s="5">
        <f t="shared" si="13"/>
        <v>8.4643848288621655</v>
      </c>
      <c r="M34" s="5">
        <f t="shared" si="14"/>
        <v>8.695652173913043</v>
      </c>
      <c r="O34" s="4">
        <v>1015</v>
      </c>
      <c r="Q34" s="4" t="s">
        <v>50</v>
      </c>
    </row>
    <row r="35" spans="1:17" s="4" customFormat="1" x14ac:dyDescent="0.2">
      <c r="A35" s="18"/>
      <c r="B35" s="4">
        <v>17</v>
      </c>
      <c r="C35" s="4">
        <v>987</v>
      </c>
      <c r="D35" s="4">
        <v>1004</v>
      </c>
      <c r="E35" s="4">
        <v>118</v>
      </c>
      <c r="F35" s="4">
        <v>117</v>
      </c>
      <c r="G35" s="4">
        <v>2169</v>
      </c>
      <c r="H35" s="4">
        <v>361</v>
      </c>
      <c r="I35" s="12"/>
      <c r="J35" s="5">
        <f t="shared" si="11"/>
        <v>45.50484094052559</v>
      </c>
      <c r="K35" s="5">
        <f t="shared" si="12"/>
        <v>46.288612263715997</v>
      </c>
      <c r="L35" s="5">
        <f t="shared" si="13"/>
        <v>5.4402950668510837</v>
      </c>
      <c r="M35" s="5">
        <f t="shared" si="14"/>
        <v>5.394190871369295</v>
      </c>
      <c r="O35" s="4">
        <v>245</v>
      </c>
      <c r="Q35" s="4" t="s">
        <v>51</v>
      </c>
    </row>
    <row r="36" spans="1:17" s="4" customFormat="1" x14ac:dyDescent="0.2">
      <c r="A36" s="18"/>
      <c r="B36" s="4">
        <v>18</v>
      </c>
      <c r="C36" s="4">
        <v>912</v>
      </c>
      <c r="D36" s="4">
        <v>1046</v>
      </c>
      <c r="E36" s="4">
        <v>135</v>
      </c>
      <c r="F36" s="4">
        <v>172</v>
      </c>
      <c r="G36" s="4">
        <v>2165</v>
      </c>
      <c r="H36" s="4">
        <v>360</v>
      </c>
      <c r="I36" s="12"/>
      <c r="J36" s="5">
        <f t="shared" si="10"/>
        <v>42.124711316397232</v>
      </c>
      <c r="K36" s="5">
        <f t="shared" si="10"/>
        <v>48.314087759815244</v>
      </c>
      <c r="L36" s="5">
        <f t="shared" si="10"/>
        <v>6.2355658198614323</v>
      </c>
      <c r="M36" s="5">
        <f t="shared" si="10"/>
        <v>7.9445727482678992</v>
      </c>
      <c r="O36" s="4">
        <v>405</v>
      </c>
      <c r="Q36" s="4" t="s">
        <v>52</v>
      </c>
    </row>
    <row r="37" spans="1:17" s="2" customFormat="1" x14ac:dyDescent="0.2">
      <c r="A37" s="19" t="s">
        <v>8</v>
      </c>
      <c r="B37" s="2">
        <v>1</v>
      </c>
      <c r="C37" s="2">
        <v>730</v>
      </c>
      <c r="D37" s="2">
        <v>1277</v>
      </c>
      <c r="E37" s="2">
        <v>153</v>
      </c>
      <c r="F37" s="2">
        <v>180</v>
      </c>
      <c r="G37" s="2">
        <v>2200</v>
      </c>
      <c r="H37" s="2">
        <v>366</v>
      </c>
      <c r="I37" s="12"/>
      <c r="J37" s="3">
        <f t="shared" si="10"/>
        <v>33.181818181818187</v>
      </c>
      <c r="K37" s="3">
        <f t="shared" si="10"/>
        <v>58.045454545454547</v>
      </c>
      <c r="L37" s="3">
        <f t="shared" si="10"/>
        <v>6.954545454545455</v>
      </c>
      <c r="M37" s="3">
        <f t="shared" si="10"/>
        <v>8.1818181818181817</v>
      </c>
      <c r="O37" s="2">
        <v>405</v>
      </c>
      <c r="Q37" s="2" t="s">
        <v>53</v>
      </c>
    </row>
    <row r="38" spans="1:17" s="2" customFormat="1" x14ac:dyDescent="0.2">
      <c r="A38" s="19"/>
      <c r="B38" s="2">
        <v>2</v>
      </c>
      <c r="C38" s="2">
        <v>679</v>
      </c>
      <c r="D38" s="2">
        <v>1185</v>
      </c>
      <c r="E38" s="2">
        <v>180</v>
      </c>
      <c r="F38" s="2">
        <v>236</v>
      </c>
      <c r="G38" s="2">
        <v>2197</v>
      </c>
      <c r="H38" s="2">
        <v>366</v>
      </c>
      <c r="I38" s="12"/>
      <c r="J38" s="3">
        <f t="shared" si="10"/>
        <v>30.905780609922623</v>
      </c>
      <c r="K38" s="3">
        <f t="shared" si="10"/>
        <v>53.937187073281748</v>
      </c>
      <c r="L38" s="3">
        <f t="shared" si="10"/>
        <v>8.1929904415111512</v>
      </c>
      <c r="M38" s="3">
        <f t="shared" si="10"/>
        <v>10.741920801092398</v>
      </c>
      <c r="O38" s="2">
        <v>1535</v>
      </c>
      <c r="Q38" s="2" t="s">
        <v>54</v>
      </c>
    </row>
    <row r="39" spans="1:17" s="2" customFormat="1" x14ac:dyDescent="0.2">
      <c r="A39" s="19"/>
      <c r="B39" s="2">
        <v>3</v>
      </c>
      <c r="C39" s="2">
        <v>817</v>
      </c>
      <c r="D39" s="2">
        <v>1049</v>
      </c>
      <c r="E39" s="2">
        <v>157</v>
      </c>
      <c r="F39" s="2">
        <v>145</v>
      </c>
      <c r="G39" s="2">
        <v>2200</v>
      </c>
      <c r="H39" s="2">
        <v>366</v>
      </c>
      <c r="I39" s="12"/>
      <c r="J39" s="3">
        <f t="shared" si="10"/>
        <v>37.136363636363633</v>
      </c>
      <c r="K39" s="3">
        <f t="shared" si="10"/>
        <v>47.68181818181818</v>
      </c>
      <c r="L39" s="3">
        <f t="shared" si="10"/>
        <v>7.1363636363636367</v>
      </c>
      <c r="M39" s="3">
        <f t="shared" si="10"/>
        <v>6.5909090909090899</v>
      </c>
      <c r="O39" s="2">
        <v>1775</v>
      </c>
      <c r="Q39" s="2" t="s">
        <v>55</v>
      </c>
    </row>
    <row r="40" spans="1:17" s="2" customFormat="1" x14ac:dyDescent="0.2">
      <c r="A40" s="19"/>
      <c r="B40" s="2">
        <v>4</v>
      </c>
      <c r="C40" s="2">
        <v>664</v>
      </c>
      <c r="D40" s="2">
        <v>1183</v>
      </c>
      <c r="E40" s="2">
        <v>194</v>
      </c>
      <c r="F40" s="2">
        <v>230</v>
      </c>
      <c r="G40" s="2">
        <v>2161</v>
      </c>
      <c r="H40" s="2">
        <v>360</v>
      </c>
      <c r="I40" s="12"/>
      <c r="J40" s="3">
        <f t="shared" si="10"/>
        <v>30.726515502082368</v>
      </c>
      <c r="K40" s="3">
        <f t="shared" si="10"/>
        <v>54.743174456270246</v>
      </c>
      <c r="L40" s="3">
        <f t="shared" si="10"/>
        <v>8.9773253123553918</v>
      </c>
      <c r="M40" s="3">
        <f t="shared" si="10"/>
        <v>10.643220731142989</v>
      </c>
      <c r="O40" s="2">
        <v>1205</v>
      </c>
      <c r="Q40" s="2" t="s">
        <v>56</v>
      </c>
    </row>
    <row r="41" spans="1:17" s="2" customFormat="1" x14ac:dyDescent="0.2">
      <c r="A41" s="19"/>
      <c r="B41" s="2">
        <v>5</v>
      </c>
      <c r="C41" s="2">
        <v>845</v>
      </c>
      <c r="D41" s="2">
        <v>877</v>
      </c>
      <c r="E41" s="2">
        <v>130</v>
      </c>
      <c r="F41" s="2">
        <v>112</v>
      </c>
      <c r="G41" s="2">
        <v>2171</v>
      </c>
      <c r="H41" s="2">
        <v>361</v>
      </c>
      <c r="I41" s="12"/>
      <c r="J41" s="3">
        <f t="shared" si="10"/>
        <v>38.922155688622759</v>
      </c>
      <c r="K41" s="3">
        <f t="shared" si="10"/>
        <v>40.396130815292494</v>
      </c>
      <c r="L41" s="3">
        <f t="shared" si="10"/>
        <v>5.9880239520958085</v>
      </c>
      <c r="M41" s="3">
        <f t="shared" si="10"/>
        <v>5.158912943344081</v>
      </c>
      <c r="O41" s="2">
        <v>3195</v>
      </c>
      <c r="Q41" s="2" t="s">
        <v>57</v>
      </c>
    </row>
    <row r="42" spans="1:17" s="2" customFormat="1" x14ac:dyDescent="0.2">
      <c r="A42" s="19"/>
      <c r="B42" s="2">
        <v>6</v>
      </c>
      <c r="C42" s="2">
        <v>659</v>
      </c>
      <c r="D42" s="2">
        <v>825</v>
      </c>
      <c r="E42" s="2">
        <v>107</v>
      </c>
      <c r="F42" s="2">
        <v>103</v>
      </c>
      <c r="G42" s="2">
        <v>2164</v>
      </c>
      <c r="H42" s="2">
        <v>360</v>
      </c>
      <c r="I42" s="12"/>
      <c r="J42" s="3">
        <f t="shared" si="10"/>
        <v>30.452865064695011</v>
      </c>
      <c r="K42" s="3">
        <f t="shared" si="10"/>
        <v>38.123844731977819</v>
      </c>
      <c r="L42" s="3">
        <f t="shared" si="10"/>
        <v>4.9445471349353047</v>
      </c>
      <c r="M42" s="3">
        <f t="shared" si="10"/>
        <v>4.7597042513863217</v>
      </c>
      <c r="O42" s="2">
        <v>3275</v>
      </c>
      <c r="Q42" s="2" t="s">
        <v>58</v>
      </c>
    </row>
    <row r="43" spans="1:17" s="2" customFormat="1" x14ac:dyDescent="0.2">
      <c r="A43" s="19"/>
      <c r="B43" s="2">
        <v>7</v>
      </c>
      <c r="C43" s="2">
        <v>858</v>
      </c>
      <c r="D43" s="2">
        <v>1016</v>
      </c>
      <c r="E43" s="2">
        <v>139</v>
      </c>
      <c r="F43" s="2">
        <v>203</v>
      </c>
      <c r="G43" s="2">
        <v>2170</v>
      </c>
      <c r="H43" s="2">
        <v>361</v>
      </c>
      <c r="I43" s="12"/>
      <c r="J43" s="3">
        <f t="shared" ref="J43:M56" si="15">C43/$G43*100</f>
        <v>39.539170506912441</v>
      </c>
      <c r="K43" s="3">
        <f t="shared" si="15"/>
        <v>46.820276497695851</v>
      </c>
      <c r="L43" s="3">
        <f t="shared" si="15"/>
        <v>6.4055299539170507</v>
      </c>
      <c r="M43" s="3">
        <f t="shared" si="15"/>
        <v>9.3548387096774199</v>
      </c>
      <c r="O43" s="2">
        <v>1545</v>
      </c>
      <c r="Q43" s="2" t="s">
        <v>59</v>
      </c>
    </row>
    <row r="44" spans="1:17" s="2" customFormat="1" x14ac:dyDescent="0.2">
      <c r="A44" s="19"/>
      <c r="B44" s="2">
        <v>8</v>
      </c>
      <c r="C44" s="2">
        <v>787</v>
      </c>
      <c r="D44" s="2">
        <v>1336</v>
      </c>
      <c r="E44" s="2">
        <v>213</v>
      </c>
      <c r="F44" s="2">
        <v>277</v>
      </c>
      <c r="G44" s="2">
        <v>2374</v>
      </c>
      <c r="H44" s="2">
        <v>395</v>
      </c>
      <c r="I44" s="12"/>
      <c r="J44" s="3">
        <f t="shared" si="15"/>
        <v>33.150800336983991</v>
      </c>
      <c r="K44" s="3">
        <f t="shared" si="15"/>
        <v>56.276326874473462</v>
      </c>
      <c r="L44" s="3">
        <f t="shared" si="15"/>
        <v>8.9721988205560237</v>
      </c>
      <c r="M44" s="3">
        <f t="shared" si="15"/>
        <v>11.668070766638584</v>
      </c>
      <c r="O44" s="2">
        <v>385</v>
      </c>
      <c r="Q44" s="2" t="s">
        <v>60</v>
      </c>
    </row>
    <row r="45" spans="1:17" s="2" customFormat="1" x14ac:dyDescent="0.2">
      <c r="A45" s="19"/>
      <c r="B45" s="2">
        <v>9</v>
      </c>
      <c r="C45" s="2">
        <v>1004</v>
      </c>
      <c r="D45" s="2">
        <v>1100</v>
      </c>
      <c r="E45" s="2">
        <v>176</v>
      </c>
      <c r="F45" s="2">
        <v>193</v>
      </c>
      <c r="G45" s="2">
        <v>2374</v>
      </c>
      <c r="H45" s="2">
        <v>395</v>
      </c>
      <c r="I45" s="12"/>
      <c r="J45" s="3">
        <f t="shared" si="15"/>
        <v>42.291491154170174</v>
      </c>
      <c r="K45" s="3">
        <f t="shared" si="15"/>
        <v>46.335299073294017</v>
      </c>
      <c r="L45" s="3">
        <f t="shared" si="15"/>
        <v>7.4136478517270428</v>
      </c>
      <c r="M45" s="3">
        <f t="shared" si="15"/>
        <v>8.129738837405224</v>
      </c>
      <c r="O45" s="2">
        <v>945</v>
      </c>
      <c r="Q45" s="2" t="s">
        <v>61</v>
      </c>
    </row>
    <row r="46" spans="1:17" s="2" customFormat="1" x14ac:dyDescent="0.2">
      <c r="A46" s="19"/>
      <c r="B46" s="2">
        <v>10</v>
      </c>
      <c r="C46" s="2">
        <v>827</v>
      </c>
      <c r="D46" s="2">
        <v>1095</v>
      </c>
      <c r="E46" s="2">
        <v>125</v>
      </c>
      <c r="F46" s="2">
        <v>157</v>
      </c>
      <c r="G46" s="2">
        <v>2160</v>
      </c>
      <c r="H46" s="2">
        <v>360</v>
      </c>
      <c r="I46" s="12"/>
      <c r="J46" s="3">
        <f t="shared" si="15"/>
        <v>38.287037037037038</v>
      </c>
      <c r="K46" s="3">
        <f t="shared" si="15"/>
        <v>50.694444444444443</v>
      </c>
      <c r="L46" s="3">
        <f t="shared" si="15"/>
        <v>5.7870370370370372</v>
      </c>
      <c r="M46" s="3">
        <f t="shared" si="15"/>
        <v>7.268518518518519</v>
      </c>
      <c r="O46" s="2">
        <v>1065</v>
      </c>
      <c r="Q46" s="2" t="s">
        <v>62</v>
      </c>
    </row>
    <row r="47" spans="1:17" s="2" customFormat="1" x14ac:dyDescent="0.2">
      <c r="A47" s="19"/>
      <c r="B47" s="2">
        <v>11</v>
      </c>
      <c r="C47" s="2">
        <v>456</v>
      </c>
      <c r="D47" s="2">
        <v>896</v>
      </c>
      <c r="E47" s="2">
        <v>133</v>
      </c>
      <c r="F47" s="2">
        <v>98</v>
      </c>
      <c r="G47" s="2">
        <v>2172</v>
      </c>
      <c r="H47" s="2">
        <v>362</v>
      </c>
      <c r="I47" s="12"/>
      <c r="J47" s="3">
        <f t="shared" si="15"/>
        <v>20.994475138121548</v>
      </c>
      <c r="K47" s="3">
        <f t="shared" si="15"/>
        <v>41.25230202578269</v>
      </c>
      <c r="L47" s="3">
        <f t="shared" si="15"/>
        <v>6.1233885819521179</v>
      </c>
      <c r="M47" s="3">
        <f t="shared" si="15"/>
        <v>4.5119705340699818</v>
      </c>
      <c r="O47" s="2">
        <v>6525</v>
      </c>
      <c r="Q47" s="2" t="s">
        <v>63</v>
      </c>
    </row>
    <row r="48" spans="1:17" s="2" customFormat="1" x14ac:dyDescent="0.2">
      <c r="A48" s="19"/>
      <c r="B48" s="2">
        <v>12</v>
      </c>
      <c r="C48" s="2">
        <v>647</v>
      </c>
      <c r="D48" s="2">
        <v>1220</v>
      </c>
      <c r="E48" s="2">
        <v>180</v>
      </c>
      <c r="F48" s="2">
        <v>200</v>
      </c>
      <c r="G48" s="2">
        <v>2162</v>
      </c>
      <c r="H48" s="2">
        <v>360</v>
      </c>
      <c r="I48" s="12"/>
      <c r="J48" s="3">
        <f t="shared" si="15"/>
        <v>29.925994449583719</v>
      </c>
      <c r="K48" s="3">
        <f t="shared" si="15"/>
        <v>56.429232192414439</v>
      </c>
      <c r="L48" s="3">
        <f t="shared" si="15"/>
        <v>8.3256244218316375</v>
      </c>
      <c r="M48" s="3">
        <f t="shared" si="15"/>
        <v>9.250693802035153</v>
      </c>
      <c r="O48" s="2">
        <v>875</v>
      </c>
      <c r="Q48" s="2" t="s">
        <v>64</v>
      </c>
    </row>
    <row r="49" spans="1:17" s="2" customFormat="1" x14ac:dyDescent="0.2">
      <c r="A49" s="19"/>
      <c r="B49" s="2">
        <v>13</v>
      </c>
      <c r="C49" s="2">
        <v>1152</v>
      </c>
      <c r="D49" s="2">
        <v>853</v>
      </c>
      <c r="E49" s="2">
        <v>112</v>
      </c>
      <c r="F49" s="2">
        <v>235</v>
      </c>
      <c r="G49" s="2">
        <v>2158</v>
      </c>
      <c r="H49" s="2">
        <v>359</v>
      </c>
      <c r="I49" s="12"/>
      <c r="J49" s="3">
        <f t="shared" si="15"/>
        <v>53.38276181649676</v>
      </c>
      <c r="K49" s="3">
        <f t="shared" si="15"/>
        <v>39.527340129749767</v>
      </c>
      <c r="L49" s="3">
        <f t="shared" si="15"/>
        <v>5.1899907321594068</v>
      </c>
      <c r="M49" s="3">
        <f t="shared" si="15"/>
        <v>10.889712696941613</v>
      </c>
      <c r="O49" s="2">
        <v>145</v>
      </c>
      <c r="Q49" s="2" t="s">
        <v>65</v>
      </c>
    </row>
    <row r="50" spans="1:17" s="2" customFormat="1" x14ac:dyDescent="0.2">
      <c r="A50" s="19"/>
      <c r="B50" s="2">
        <v>14</v>
      </c>
      <c r="C50" s="2">
        <v>824</v>
      </c>
      <c r="D50" s="2">
        <v>1159</v>
      </c>
      <c r="E50" s="2">
        <v>168</v>
      </c>
      <c r="F50" s="2">
        <v>176</v>
      </c>
      <c r="G50" s="2">
        <v>2352</v>
      </c>
      <c r="H50" s="2">
        <v>392</v>
      </c>
      <c r="I50" s="12"/>
      <c r="J50" s="3">
        <f t="shared" si="15"/>
        <v>35.034013605442176</v>
      </c>
      <c r="K50" s="3">
        <f t="shared" si="15"/>
        <v>49.277210884353742</v>
      </c>
      <c r="L50" s="3">
        <f t="shared" si="15"/>
        <v>7.1428571428571423</v>
      </c>
      <c r="M50" s="3">
        <f t="shared" si="15"/>
        <v>7.4829931972789119</v>
      </c>
      <c r="O50" s="2">
        <v>1555</v>
      </c>
      <c r="Q50" s="2" t="s">
        <v>66</v>
      </c>
    </row>
    <row r="51" spans="1:17" s="2" customFormat="1" x14ac:dyDescent="0.2">
      <c r="A51" s="19"/>
      <c r="B51" s="2">
        <v>15</v>
      </c>
      <c r="C51" s="2">
        <v>822</v>
      </c>
      <c r="D51" s="2">
        <v>1079</v>
      </c>
      <c r="E51" s="2">
        <v>128</v>
      </c>
      <c r="F51" s="2">
        <v>194</v>
      </c>
      <c r="G51" s="2">
        <v>2163</v>
      </c>
      <c r="H51" s="2">
        <v>360</v>
      </c>
      <c r="I51" s="12"/>
      <c r="J51" s="3">
        <f t="shared" ref="J51:J55" si="16">C51/$G51*100</f>
        <v>38.002773925104023</v>
      </c>
      <c r="K51" s="3">
        <f t="shared" ref="K51:K55" si="17">D51/$G51*100</f>
        <v>49.884419787332405</v>
      </c>
      <c r="L51" s="3">
        <f t="shared" ref="L51:L55" si="18">E51/$G51*100</f>
        <v>5.9177068885806747</v>
      </c>
      <c r="M51" s="3">
        <f t="shared" ref="M51:M55" si="19">F51/$G51*100</f>
        <v>8.9690245030050857</v>
      </c>
      <c r="O51" s="2">
        <v>925</v>
      </c>
      <c r="Q51" s="2" t="s">
        <v>67</v>
      </c>
    </row>
    <row r="52" spans="1:17" s="2" customFormat="1" x14ac:dyDescent="0.2">
      <c r="A52" s="19"/>
      <c r="B52" s="2">
        <v>16</v>
      </c>
      <c r="C52" s="2">
        <v>817</v>
      </c>
      <c r="D52" s="2">
        <v>1143</v>
      </c>
      <c r="E52" s="2">
        <v>146</v>
      </c>
      <c r="F52" s="2">
        <v>229</v>
      </c>
      <c r="G52" s="2">
        <v>2240</v>
      </c>
      <c r="H52" s="2">
        <v>373</v>
      </c>
      <c r="I52" s="12"/>
      <c r="J52" s="3">
        <f t="shared" si="16"/>
        <v>36.473214285714285</v>
      </c>
      <c r="K52" s="3">
        <f t="shared" si="17"/>
        <v>51.026785714285715</v>
      </c>
      <c r="L52" s="3">
        <f t="shared" si="18"/>
        <v>6.5178571428571432</v>
      </c>
      <c r="M52" s="3">
        <f t="shared" si="19"/>
        <v>10.223214285714285</v>
      </c>
      <c r="O52" s="2">
        <v>655</v>
      </c>
      <c r="Q52" s="2" t="s">
        <v>68</v>
      </c>
    </row>
    <row r="53" spans="1:17" s="2" customFormat="1" x14ac:dyDescent="0.2">
      <c r="A53" s="19"/>
      <c r="B53" s="2">
        <v>17</v>
      </c>
      <c r="C53" s="2">
        <v>820</v>
      </c>
      <c r="D53" s="2">
        <v>1075</v>
      </c>
      <c r="E53" s="2">
        <v>153</v>
      </c>
      <c r="F53" s="2">
        <v>139</v>
      </c>
      <c r="G53" s="2">
        <v>2162</v>
      </c>
      <c r="H53" s="2">
        <v>360</v>
      </c>
      <c r="I53" s="12"/>
      <c r="J53" s="3">
        <f t="shared" si="16"/>
        <v>37.927844588344129</v>
      </c>
      <c r="K53" s="3">
        <f t="shared" si="17"/>
        <v>49.722479185938944</v>
      </c>
      <c r="L53" s="3">
        <f t="shared" si="18"/>
        <v>7.0767807585568914</v>
      </c>
      <c r="M53" s="3">
        <f t="shared" si="19"/>
        <v>6.4292321924144318</v>
      </c>
      <c r="O53" s="2">
        <v>745</v>
      </c>
      <c r="Q53" s="2" t="s">
        <v>69</v>
      </c>
    </row>
    <row r="54" spans="1:17" s="2" customFormat="1" x14ac:dyDescent="0.2">
      <c r="A54" s="19"/>
      <c r="B54" s="2">
        <v>18</v>
      </c>
      <c r="C54" s="2">
        <v>834</v>
      </c>
      <c r="D54" s="2">
        <v>999</v>
      </c>
      <c r="E54" s="2">
        <v>114</v>
      </c>
      <c r="F54" s="2">
        <v>241</v>
      </c>
      <c r="G54" s="2">
        <v>2162</v>
      </c>
      <c r="H54" s="2">
        <v>360</v>
      </c>
      <c r="I54" s="12"/>
      <c r="J54" s="3">
        <f t="shared" si="16"/>
        <v>38.575393154486584</v>
      </c>
      <c r="K54" s="3">
        <f t="shared" si="17"/>
        <v>46.207215541165588</v>
      </c>
      <c r="L54" s="3">
        <f t="shared" si="18"/>
        <v>5.272895467160037</v>
      </c>
      <c r="M54" s="3">
        <f t="shared" si="19"/>
        <v>11.147086031452359</v>
      </c>
      <c r="O54" s="2">
        <v>2025</v>
      </c>
      <c r="Q54" s="2" t="s">
        <v>70</v>
      </c>
    </row>
    <row r="55" spans="1:17" s="2" customFormat="1" x14ac:dyDescent="0.2">
      <c r="A55" s="19"/>
      <c r="B55" s="2">
        <v>19</v>
      </c>
      <c r="C55" s="2">
        <v>1024</v>
      </c>
      <c r="D55" s="2">
        <v>928</v>
      </c>
      <c r="E55" s="2">
        <v>103</v>
      </c>
      <c r="F55" s="2">
        <v>69</v>
      </c>
      <c r="G55" s="2">
        <v>2165</v>
      </c>
      <c r="H55" s="2">
        <v>360</v>
      </c>
      <c r="I55" s="12"/>
      <c r="J55" s="3">
        <f t="shared" si="16"/>
        <v>47.297921478060047</v>
      </c>
      <c r="K55" s="3">
        <f t="shared" si="17"/>
        <v>42.863741339491916</v>
      </c>
      <c r="L55" s="3">
        <f t="shared" si="18"/>
        <v>4.7575057736720554</v>
      </c>
      <c r="M55" s="3">
        <f t="shared" si="19"/>
        <v>3.1870669745958433</v>
      </c>
      <c r="O55" s="2">
        <v>975</v>
      </c>
      <c r="Q55" s="2" t="s">
        <v>71</v>
      </c>
    </row>
    <row r="56" spans="1:17" s="2" customFormat="1" x14ac:dyDescent="0.2">
      <c r="A56" s="19"/>
      <c r="B56" s="2">
        <v>20</v>
      </c>
      <c r="C56" s="2">
        <v>718</v>
      </c>
      <c r="D56" s="2">
        <v>1200</v>
      </c>
      <c r="E56" s="2">
        <v>128</v>
      </c>
      <c r="F56" s="2">
        <v>168</v>
      </c>
      <c r="G56" s="2">
        <v>2169</v>
      </c>
      <c r="H56" s="2">
        <v>361</v>
      </c>
      <c r="I56" s="12"/>
      <c r="J56" s="3">
        <f t="shared" si="15"/>
        <v>33.102812355924385</v>
      </c>
      <c r="K56" s="3">
        <f t="shared" si="15"/>
        <v>55.325034578146614</v>
      </c>
      <c r="L56" s="3">
        <f t="shared" si="15"/>
        <v>5.9013370216689713</v>
      </c>
      <c r="M56" s="3">
        <f t="shared" si="15"/>
        <v>7.7455048409405256</v>
      </c>
      <c r="O56" s="2">
        <v>655</v>
      </c>
      <c r="Q56" s="2" t="s">
        <v>72</v>
      </c>
    </row>
    <row r="58" spans="1:17" s="6" customFormat="1" x14ac:dyDescent="0.2">
      <c r="A58" s="8" t="s">
        <v>17</v>
      </c>
      <c r="B58" s="20" t="s">
        <v>6</v>
      </c>
      <c r="C58" s="7">
        <f>AVERAGE(C4:C20)/6</f>
        <v>116.5</v>
      </c>
      <c r="D58" s="7">
        <f>AVERAGE(D4:D20)/6</f>
        <v>169.10784313725489</v>
      </c>
      <c r="E58" s="7">
        <f>AVERAGE(E4:E20)/6</f>
        <v>23.245098039215687</v>
      </c>
      <c r="F58" s="7">
        <f>AVERAGE(F4:F20)/6</f>
        <v>31.774509803921571</v>
      </c>
      <c r="G58" s="7">
        <f>AVERAGE(G4:G20)/6</f>
        <v>330.96078431372547</v>
      </c>
      <c r="H58" s="7">
        <f>AVERAGE(H4:H20)</f>
        <v>330.47058823529414</v>
      </c>
      <c r="I58" s="12"/>
      <c r="J58" s="7">
        <f>AVERAGE(J4:J20)</f>
        <v>34.65434819243395</v>
      </c>
      <c r="K58" s="7">
        <f>AVERAGE(K4:K20)</f>
        <v>51.842403630259469</v>
      </c>
      <c r="L58" s="7">
        <f>AVERAGE(L4:L20)</f>
        <v>7.3380462820178209</v>
      </c>
      <c r="M58" s="7">
        <f>AVERAGE(M4:M20)</f>
        <v>9.3641642882064069</v>
      </c>
      <c r="O58" s="7">
        <f>AVERAGE(O4:O20)/60</f>
        <v>18.416666666666668</v>
      </c>
    </row>
    <row r="59" spans="1:17" s="6" customFormat="1" x14ac:dyDescent="0.2">
      <c r="A59" s="8" t="s">
        <v>18</v>
      </c>
      <c r="B59" s="20"/>
      <c r="C59" s="7">
        <f>STDEV(C4:C20)/SQRT(COUNT(C4:C20))/6</f>
        <v>9.4161027073879371</v>
      </c>
      <c r="D59" s="7">
        <f>STDEV(D4:D20)/SQRT(COUNT(D4:D20))/6</f>
        <v>11.313328844951764</v>
      </c>
      <c r="E59" s="7">
        <f>STDEV(E4:E20)/SQRT(COUNT(E4:E20))/6</f>
        <v>1.7187402790609727</v>
      </c>
      <c r="F59" s="7">
        <f>STDEV(F4:F20)/SQRT(COUNT(F4:F20))/6</f>
        <v>3.0266025429035941</v>
      </c>
      <c r="G59" s="7">
        <f>STDEV(G4:G20)/SQRT(COUNT(G4:G20))/6</f>
        <v>21.928124239006205</v>
      </c>
      <c r="H59" s="7">
        <f>STDEV(H4:H20)/SQRT(COUNT(H4:H20))</f>
        <v>21.975775039377215</v>
      </c>
      <c r="I59" s="12"/>
      <c r="J59" s="7">
        <f>STDEV(J4:J20)/SQRT(COUNT(J4:J20))</f>
        <v>2.2955357144177921</v>
      </c>
      <c r="K59" s="7">
        <f>STDEV(K4:K20)/SQRT(COUNT(K4:K20))</f>
        <v>1.9606715465746383</v>
      </c>
      <c r="L59" s="7">
        <f>STDEV(L4:L20)/SQRT(COUNT(L4:L20))</f>
        <v>0.57852052281124933</v>
      </c>
      <c r="M59" s="7">
        <f>STDEV(M4:M20)/SQRT(COUNT(M4:M20))</f>
        <v>0.56231004509912652</v>
      </c>
      <c r="O59" s="7">
        <f>(STDEV(O4:O20)/SQRT(COUNT(O4:O20)))/60</f>
        <v>3.3814541289427233</v>
      </c>
    </row>
    <row r="60" spans="1:17" s="4" customFormat="1" x14ac:dyDescent="0.2">
      <c r="A60" s="9" t="s">
        <v>17</v>
      </c>
      <c r="B60" s="14" t="s">
        <v>7</v>
      </c>
      <c r="C60" s="5">
        <f>AVERAGE(C21:C36)/6</f>
        <v>126.67708333333333</v>
      </c>
      <c r="D60" s="5">
        <f>AVERAGE(D21:D36)/6</f>
        <v>189.10416666666666</v>
      </c>
      <c r="E60" s="5">
        <f>AVERAGE(E21:E36)/6</f>
        <v>24.541666666666668</v>
      </c>
      <c r="F60" s="5">
        <f>AVERAGE(F21:F36)/6</f>
        <v>32.125</v>
      </c>
      <c r="G60" s="5">
        <f>AVERAGE(G21:G36)/6</f>
        <v>358.15625</v>
      </c>
      <c r="H60" s="5">
        <f>AVERAGE(H21:H36)</f>
        <v>357.75</v>
      </c>
      <c r="I60" s="12"/>
      <c r="J60" s="5">
        <f>AVERAGE(J21:J36)</f>
        <v>35.291371609533556</v>
      </c>
      <c r="K60" s="5">
        <f>AVERAGE(K21:K36)</f>
        <v>52.875690380755529</v>
      </c>
      <c r="L60" s="5">
        <f>AVERAGE(L21:L36)</f>
        <v>6.8850721930467609</v>
      </c>
      <c r="M60" s="5">
        <f>AVERAGE(M21:M36)</f>
        <v>9.0044923633076337</v>
      </c>
      <c r="O60" s="5">
        <f>AVERAGE(O21:O36)/60</f>
        <v>13.572916666666666</v>
      </c>
    </row>
    <row r="61" spans="1:17" s="4" customFormat="1" x14ac:dyDescent="0.2">
      <c r="A61" s="9" t="s">
        <v>18</v>
      </c>
      <c r="B61" s="14"/>
      <c r="C61" s="5">
        <f>STDEV(C21:C36)/SQRT(COUNT(C21:C36))/6</f>
        <v>7.0884535211680166</v>
      </c>
      <c r="D61" s="5">
        <f>STDEV(D21:D36)/SQRT(COUNT(D21:D36))/6</f>
        <v>5.7012197159906046</v>
      </c>
      <c r="E61" s="5">
        <f>STDEV(E21:E36)/SQRT(COUNT(E21:E36))/6</f>
        <v>0.9348573866282136</v>
      </c>
      <c r="F61" s="5">
        <f>STDEV(F21:F36)/SQRT(COUNT(F21:F36))/6</f>
        <v>2.1825539321324152</v>
      </c>
      <c r="G61" s="5">
        <f>STDEV(G21:G36)/SQRT(COUNT(G21:G36))/6</f>
        <v>4.9689421695892397</v>
      </c>
      <c r="H61" s="5">
        <f>STDEV(H21:H36)/SQRT(COUNT(H21:H36))</f>
        <v>5.0045812345623215</v>
      </c>
      <c r="I61" s="12"/>
      <c r="J61" s="5">
        <f>STDEV(J21:J36)/SQRT(COUNT(J21:J36))</f>
        <v>1.8282608198048964</v>
      </c>
      <c r="K61" s="5">
        <f>STDEV(K21:K36)/SQRT(COUNT(K21:K36))</f>
        <v>1.5649569050386574</v>
      </c>
      <c r="L61" s="5">
        <f>STDEV(L21:L36)/SQRT(COUNT(L21:L36))</f>
        <v>0.30158192664288752</v>
      </c>
      <c r="M61" s="5">
        <f>STDEV(M21:M36)/SQRT(COUNT(M21:M36))</f>
        <v>0.62363246243791126</v>
      </c>
      <c r="O61" s="5">
        <f>(STDEV(O21:O36)/SQRT(COUNT(O21:O36)))/60</f>
        <v>2.0932800744065299</v>
      </c>
    </row>
    <row r="62" spans="1:17" s="2" customFormat="1" x14ac:dyDescent="0.2">
      <c r="A62" s="10" t="s">
        <v>17</v>
      </c>
      <c r="B62" s="15" t="s">
        <v>9</v>
      </c>
      <c r="C62" s="3">
        <f>AVERAGE(C37:C56)/6</f>
        <v>133.20000000000002</v>
      </c>
      <c r="D62" s="3">
        <f>AVERAGE(D37:D56)/6</f>
        <v>179.125</v>
      </c>
      <c r="E62" s="3">
        <f>AVERAGE(E37:E56)/6</f>
        <v>24.491666666666664</v>
      </c>
      <c r="F62" s="3">
        <f>AVERAGE(F37:F56)/6</f>
        <v>29.875</v>
      </c>
      <c r="G62" s="3">
        <f>AVERAGE(G37:G56)/6</f>
        <v>367.3</v>
      </c>
      <c r="H62" s="3">
        <f>AVERAGE(H37:H56)</f>
        <v>366.85</v>
      </c>
      <c r="I62" s="12"/>
      <c r="J62" s="3">
        <f>AVERAGE(J37:J56)</f>
        <v>36.265560125794295</v>
      </c>
      <c r="K62" s="3">
        <f>AVERAGE(K37:K56)</f>
        <v>48.728485903633228</v>
      </c>
      <c r="L62" s="3">
        <f>AVERAGE(L37:L56)</f>
        <v>6.6499076763169978</v>
      </c>
      <c r="M62" s="3">
        <f>AVERAGE(M37:M56)</f>
        <v>8.1167075945190508</v>
      </c>
      <c r="O62" s="3">
        <f>AVERAGE(O37:O56)/60</f>
        <v>25.341666666666665</v>
      </c>
    </row>
    <row r="63" spans="1:17" s="2" customFormat="1" x14ac:dyDescent="0.2">
      <c r="A63" s="10" t="s">
        <v>18</v>
      </c>
      <c r="B63" s="15"/>
      <c r="C63" s="3">
        <f>STDEV(C37:C56)/SQRT(COUNT(C37:C56))/6</f>
        <v>5.6165950851808013</v>
      </c>
      <c r="D63" s="3">
        <f>STDEV(D37:D56)/SQRT(COUNT(D37:D56))/6</f>
        <v>5.3845522355881892</v>
      </c>
      <c r="E63" s="3">
        <f>STDEV(E37:E56)/SQRT(COUNT(E37:E56))/6</f>
        <v>1.1407827286201915</v>
      </c>
      <c r="F63" s="3">
        <f>STDEV(F37:F56)/SQRT(COUNT(F37:F56))/6</f>
        <v>2.0708882674770912</v>
      </c>
      <c r="G63" s="3">
        <f>STDEV(G37:G56)/SQRT(COUNT(G37:G56))/6</f>
        <v>2.7248209340811766</v>
      </c>
      <c r="H63" s="3">
        <f>STDEV(H37:H56)/SQRT(COUNT(H37:H56))</f>
        <v>2.7244265451650551</v>
      </c>
      <c r="I63" s="12"/>
      <c r="J63" s="3">
        <f>STDEV(J37:J56)/SQRT(COUNT(J37:J56))</f>
        <v>1.5236075237908806</v>
      </c>
      <c r="K63" s="3">
        <f>STDEV(K37:K56)/SQRT(COUNT(K37:K56))</f>
        <v>1.35270528094883</v>
      </c>
      <c r="L63" s="3">
        <f>STDEV(L37:L56)/SQRT(COUNT(L37:L56))</f>
        <v>0.28324925846358873</v>
      </c>
      <c r="M63" s="3">
        <f>STDEV(M37:M56)/SQRT(COUNT(M37:M56))</f>
        <v>0.54891043341824086</v>
      </c>
      <c r="O63" s="3">
        <f>(STDEV(O37:O56)/SQRT(COUNT(O37:O56)))/60</f>
        <v>5.3721786420942017</v>
      </c>
    </row>
    <row r="65" spans="1:15" x14ac:dyDescent="0.2">
      <c r="A65" t="s">
        <v>6</v>
      </c>
      <c r="B65" t="s">
        <v>7</v>
      </c>
      <c r="C65" s="1">
        <f t="shared" ref="C65:H65" si="20">TTEST(C4:C20,C21:C36,2,3)</f>
        <v>0.39489253458831719</v>
      </c>
      <c r="D65" s="1">
        <f t="shared" si="20"/>
        <v>0.12781764755109237</v>
      </c>
      <c r="E65" s="1">
        <f t="shared" si="20"/>
        <v>0.51369971356364341</v>
      </c>
      <c r="F65" s="1">
        <f t="shared" si="20"/>
        <v>0.92581907839344546</v>
      </c>
      <c r="G65" s="1">
        <f t="shared" si="20"/>
        <v>0.2424190012861237</v>
      </c>
      <c r="H65" s="1">
        <f t="shared" si="20"/>
        <v>0.24210249842859055</v>
      </c>
      <c r="I65" s="13"/>
      <c r="J65" s="1">
        <f>TTEST(J4:J20,J21:J36,2,3)</f>
        <v>0.82962691524355037</v>
      </c>
      <c r="K65" s="1">
        <f>TTEST(K4:K20,K21:K36,2,3)</f>
        <v>0.68335585699769452</v>
      </c>
      <c r="L65" s="1">
        <f>TTEST(L4:L20,L21:L36,2,3)</f>
        <v>0.49415794299563143</v>
      </c>
      <c r="M65" s="1">
        <f>TTEST(M4:M20,M21:M36,2,3)</f>
        <v>0.67142671975584445</v>
      </c>
      <c r="O65" s="1">
        <f>TTEST(O4:O20,O21:O36,2,3)</f>
        <v>0.23398660437514382</v>
      </c>
    </row>
    <row r="66" spans="1:15" x14ac:dyDescent="0.2">
      <c r="A66" t="s">
        <v>6</v>
      </c>
      <c r="B66" t="s">
        <v>9</v>
      </c>
      <c r="C66" s="1">
        <f t="shared" ref="C66:H66" si="21">TTEST(C4:C20,C37:C56,2,3)</f>
        <v>0.13952789494066856</v>
      </c>
      <c r="D66" s="1">
        <f t="shared" si="21"/>
        <v>0.43215781843450074</v>
      </c>
      <c r="E66" s="1">
        <f t="shared" si="21"/>
        <v>0.55042712199945032</v>
      </c>
      <c r="F66" s="1">
        <f t="shared" si="21"/>
        <v>0.60839850640614146</v>
      </c>
      <c r="G66" s="1">
        <f t="shared" si="21"/>
        <v>0.11898417814635093</v>
      </c>
      <c r="H66" s="1">
        <f t="shared" si="21"/>
        <v>0.11933979332689999</v>
      </c>
      <c r="I66" s="13"/>
      <c r="J66" s="1">
        <f>TTEST(J4:J20,J37:J56,2,3)</f>
        <v>0.5632778714133152</v>
      </c>
      <c r="K66" s="1">
        <f>TTEST(K4:K20,K37:K56,2,3)</f>
        <v>0.20130164106254614</v>
      </c>
      <c r="L66" s="1">
        <f>TTEST(L4:L20,L37:L56,2,3)</f>
        <v>0.29625452277719122</v>
      </c>
      <c r="M66" s="1">
        <f>TTEST(M4:M20,M37:M56,2,3)</f>
        <v>0.12150673750123193</v>
      </c>
      <c r="O66" s="1">
        <f>TTEST(O4:O20,O37:O56,2,3)</f>
        <v>0.28365255670843176</v>
      </c>
    </row>
    <row r="67" spans="1:15" x14ac:dyDescent="0.2">
      <c r="A67" t="s">
        <v>7</v>
      </c>
      <c r="B67" t="s">
        <v>9</v>
      </c>
      <c r="C67" s="1">
        <f t="shared" ref="C67:H67" si="22">TTEST(C21:C36,C37:C56,2,3)</f>
        <v>0.47628221824391559</v>
      </c>
      <c r="D67" s="1">
        <f t="shared" si="22"/>
        <v>0.21208566827988795</v>
      </c>
      <c r="E67" s="11">
        <f t="shared" si="22"/>
        <v>0.97315598352188015</v>
      </c>
      <c r="F67" s="1">
        <f t="shared" si="22"/>
        <v>0.45984958367928552</v>
      </c>
      <c r="G67" s="1">
        <f t="shared" si="22"/>
        <v>0.11987979248387425</v>
      </c>
      <c r="H67" s="1">
        <f t="shared" si="22"/>
        <v>0.12358000880907162</v>
      </c>
      <c r="I67" s="13"/>
      <c r="J67" s="1">
        <f>TTEST(J21:J36,J37:J56,2,3)</f>
        <v>0.68508727860292817</v>
      </c>
      <c r="K67" s="1">
        <f>TTEST(K21:K36,K37:K56,2,3)</f>
        <v>5.3556201293379728E-2</v>
      </c>
      <c r="L67" s="11">
        <f>TTEST(L21:L36,L37:L56,2,3)</f>
        <v>0.57363087634966436</v>
      </c>
      <c r="M67" s="1">
        <f>TTEST(M21:M36,M37:M56,2,3)</f>
        <v>0.29323277139692733</v>
      </c>
      <c r="O67" s="1">
        <f>TTEST(O21:O36,O37:O56,2,3)</f>
        <v>5.2145893609336018E-2</v>
      </c>
    </row>
  </sheetData>
  <mergeCells count="8">
    <mergeCell ref="B62:B63"/>
    <mergeCell ref="C2:G2"/>
    <mergeCell ref="J2:M2"/>
    <mergeCell ref="A4:A20"/>
    <mergeCell ref="A21:A36"/>
    <mergeCell ref="A37:A56"/>
    <mergeCell ref="B58:B59"/>
    <mergeCell ref="B60:B6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SleepArchitecture-FConly</vt:lpstr>
      <vt:lpstr>SleepArchitecture-ARConly</vt:lpstr>
      <vt:lpstr>SleepArchitecture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2017-04-11T07:33:44Z</dcterms:modified>
</cp:coreProperties>
</file>