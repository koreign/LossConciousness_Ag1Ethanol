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 activeTab="1"/>
  </bookViews>
  <sheets>
    <sheet name="SlWaves-SlowSpi" sheetId="36" r:id="rId1"/>
    <sheet name="SlWaves-BroadBdSpi" sheetId="37" r:id="rId2"/>
  </sheets>
  <calcPr calcId="145621"/>
</workbook>
</file>

<file path=xl/calcChain.xml><?xml version="1.0" encoding="utf-8"?>
<calcChain xmlns="http://schemas.openxmlformats.org/spreadsheetml/2006/main">
  <c r="G96" i="37" l="1"/>
  <c r="F96" i="37"/>
  <c r="D96" i="37"/>
  <c r="C96" i="37"/>
  <c r="G95" i="37"/>
  <c r="F95" i="37"/>
  <c r="D95" i="37"/>
  <c r="C95" i="37"/>
  <c r="G94" i="37"/>
  <c r="F94" i="37"/>
  <c r="D94" i="37"/>
  <c r="C94" i="37"/>
  <c r="G93" i="37"/>
  <c r="F93" i="37"/>
  <c r="D93" i="37"/>
  <c r="C93" i="37"/>
  <c r="G92" i="37"/>
  <c r="F92" i="37"/>
  <c r="D92" i="37"/>
  <c r="C92" i="37"/>
  <c r="G91" i="37"/>
  <c r="F91" i="37"/>
  <c r="D91" i="37"/>
  <c r="C91" i="37"/>
  <c r="G90" i="37"/>
  <c r="F90" i="37"/>
  <c r="D90" i="37"/>
  <c r="C90" i="37"/>
  <c r="G89" i="37"/>
  <c r="F89" i="37"/>
  <c r="D89" i="37"/>
  <c r="C89" i="37"/>
  <c r="G88" i="37"/>
  <c r="F88" i="37"/>
  <c r="D88" i="37"/>
  <c r="C88" i="37"/>
  <c r="G87" i="37"/>
  <c r="F87" i="37"/>
  <c r="D87" i="37"/>
  <c r="C87" i="37"/>
  <c r="C96" i="36" l="1"/>
  <c r="C89" i="36" l="1"/>
  <c r="G96" i="36" l="1"/>
  <c r="F96" i="36"/>
  <c r="G95" i="36"/>
  <c r="F95" i="36"/>
  <c r="G94" i="36"/>
  <c r="F94" i="36"/>
  <c r="G93" i="36"/>
  <c r="F93" i="36"/>
  <c r="G92" i="36"/>
  <c r="F92" i="36"/>
  <c r="G91" i="36"/>
  <c r="F91" i="36"/>
  <c r="G90" i="36"/>
  <c r="F90" i="36"/>
  <c r="G89" i="36"/>
  <c r="F89" i="36"/>
  <c r="G88" i="36"/>
  <c r="F88" i="36"/>
  <c r="G87" i="36"/>
  <c r="F87" i="36"/>
  <c r="D87" i="36"/>
  <c r="D88" i="36"/>
  <c r="D89" i="36"/>
  <c r="D90" i="36"/>
  <c r="D91" i="36"/>
  <c r="D92" i="36"/>
  <c r="D93" i="36"/>
  <c r="D94" i="36"/>
  <c r="D95" i="36"/>
  <c r="D96" i="36"/>
  <c r="C95" i="36"/>
  <c r="C94" i="36"/>
  <c r="C93" i="36"/>
  <c r="C92" i="36"/>
  <c r="C91" i="36"/>
  <c r="C90" i="36"/>
  <c r="C88" i="36"/>
  <c r="C87" i="36"/>
</calcChain>
</file>

<file path=xl/sharedStrings.xml><?xml version="1.0" encoding="utf-8"?>
<sst xmlns="http://schemas.openxmlformats.org/spreadsheetml/2006/main" count="222" uniqueCount="73">
  <si>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</si>
  <si>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</si>
  <si>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</si>
  <si>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</si>
  <si>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</si>
  <si>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</si>
  <si>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</si>
  <si>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</si>
  <si>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</si>
  <si>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</si>
  <si>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</si>
  <si>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</si>
  <si>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</si>
  <si>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</si>
  <si>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</si>
  <si>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</si>
  <si>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</si>
  <si>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</si>
  <si>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</si>
  <si>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</si>
  <si>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FOR</t>
  </si>
  <si>
    <t>Num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</si>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</sst>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workbookViewId="0">
      <selection activeCell="H3" sqref="H3:H85"/>
    </sheetView>
  </sheetViews>
  <sheetFormatPr defaultColWidth="9.140625" defaultRowHeight="15" x14ac:dyDescent="0.25"/>
  <cols>
    <col min="2" max="2" width="24.140625" bestFit="1" customWidth="1"/>
    <col min="10" max="10" width="14.42578125" bestFit="1" customWidth="1"/>
  </cols>
  <sheetData>
    <row r="1" spans="1:8" x14ac:dyDescent="0.25">
      <c r="C1" s="6" t="s">
        <v>20</v>
      </c>
      <c r="D1" s="6"/>
      <c r="E1" s="6"/>
      <c r="F1" s="6" t="s">
        <v>8</v>
      </c>
      <c r="G1" s="6"/>
      <c r="H1" s="6"/>
    </row>
    <row r="2" spans="1:8" x14ac:dyDescent="0.25">
      <c r="C2" t="s">
        <v>71</v>
      </c>
      <c r="D2" t="s">
        <v>72</v>
      </c>
      <c r="E2" t="s">
        <v>21</v>
      </c>
      <c r="F2" t="s">
        <v>71</v>
      </c>
      <c r="G2" t="s">
        <v>72</v>
      </c>
      <c r="H2" t="s">
        <v>21</v>
      </c>
    </row>
    <row r="3" spans="1:8" x14ac:dyDescent="0.25">
      <c r="A3" s="7" t="s">
        <v>63</v>
      </c>
      <c r="B3" t="s">
        <v>11</v>
      </c>
      <c r="C3" s="1">
        <v>0.138056975894814</v>
      </c>
      <c r="D3" s="1">
        <v>0.140978816654492</v>
      </c>
      <c r="E3">
        <v>1369</v>
      </c>
      <c r="F3" s="1">
        <v>0.22878228782287799</v>
      </c>
      <c r="G3" s="1">
        <v>0.23173431734317301</v>
      </c>
      <c r="H3" s="5">
        <v>1355</v>
      </c>
    </row>
    <row r="4" spans="1:8" x14ac:dyDescent="0.25">
      <c r="A4" s="7"/>
      <c r="B4" t="s">
        <v>12</v>
      </c>
      <c r="C4" s="1">
        <v>0.148296593186373</v>
      </c>
      <c r="D4" s="1">
        <v>0.15631262525050099</v>
      </c>
      <c r="E4">
        <v>2495</v>
      </c>
      <c r="F4" s="1">
        <v>0.20816812053925501</v>
      </c>
      <c r="G4" s="1">
        <v>0.21213322759714501</v>
      </c>
      <c r="H4" s="5">
        <v>2522</v>
      </c>
    </row>
    <row r="5" spans="1:8" x14ac:dyDescent="0.25">
      <c r="A5" s="7"/>
      <c r="B5" t="s">
        <v>13</v>
      </c>
      <c r="C5" s="1">
        <v>0.17191097467383001</v>
      </c>
      <c r="D5" s="1">
        <v>0.175172678434382</v>
      </c>
      <c r="E5">
        <v>5212</v>
      </c>
      <c r="F5" s="1">
        <v>0.16150371087447599</v>
      </c>
      <c r="G5" s="1">
        <v>0.16440787350758301</v>
      </c>
      <c r="H5" s="5">
        <v>6198</v>
      </c>
    </row>
    <row r="6" spans="1:8" x14ac:dyDescent="0.25">
      <c r="A6" s="7"/>
      <c r="B6" t="s">
        <v>14</v>
      </c>
      <c r="C6" s="1">
        <v>0.15432317505315399</v>
      </c>
      <c r="D6" s="1">
        <v>0.15768958185683901</v>
      </c>
      <c r="E6">
        <v>5644</v>
      </c>
      <c r="F6" s="1">
        <v>0.244371319709041</v>
      </c>
      <c r="G6" s="1">
        <v>0.25043297540699699</v>
      </c>
      <c r="H6" s="5">
        <v>5774</v>
      </c>
    </row>
    <row r="7" spans="1:8" x14ac:dyDescent="0.25">
      <c r="A7" s="7"/>
      <c r="B7" t="s">
        <v>15</v>
      </c>
      <c r="C7" s="1">
        <v>0.15917215428033901</v>
      </c>
      <c r="D7" s="1">
        <v>0.16462841015992499</v>
      </c>
      <c r="E7">
        <v>5315</v>
      </c>
      <c r="F7" s="1">
        <v>0.194253269098417</v>
      </c>
      <c r="G7" s="1">
        <v>0.19889883000688199</v>
      </c>
      <c r="H7" s="5">
        <v>5812</v>
      </c>
    </row>
    <row r="8" spans="1:8" x14ac:dyDescent="0.25">
      <c r="A8" s="7"/>
      <c r="B8" t="s">
        <v>16</v>
      </c>
      <c r="C8" s="1">
        <v>0.13872606486908901</v>
      </c>
      <c r="D8" s="1">
        <v>0.140289175459164</v>
      </c>
      <c r="E8">
        <v>5118</v>
      </c>
      <c r="F8" s="1">
        <v>0.21485902449063601</v>
      </c>
      <c r="G8" s="1">
        <v>0.220415723399877</v>
      </c>
      <c r="H8" s="5">
        <v>4859</v>
      </c>
    </row>
    <row r="9" spans="1:8" x14ac:dyDescent="0.25">
      <c r="A9" s="7"/>
      <c r="B9" t="s">
        <v>17</v>
      </c>
      <c r="C9" s="1">
        <v>0.128529287821323</v>
      </c>
      <c r="D9" s="1">
        <v>0.13105773282764399</v>
      </c>
      <c r="E9">
        <v>4746</v>
      </c>
      <c r="F9" s="1">
        <v>0.19653564290473</v>
      </c>
      <c r="G9" s="1">
        <v>0.200755052187431</v>
      </c>
      <c r="H9" s="5">
        <v>4503</v>
      </c>
    </row>
    <row r="10" spans="1:8" x14ac:dyDescent="0.25">
      <c r="A10" s="7"/>
      <c r="B10" t="s">
        <v>18</v>
      </c>
      <c r="C10" s="1">
        <v>0.12760820831177799</v>
      </c>
      <c r="D10" s="1">
        <v>0.12898775650974301</v>
      </c>
      <c r="E10">
        <v>5799</v>
      </c>
      <c r="F10" s="1">
        <v>0.184766493699036</v>
      </c>
      <c r="G10" s="1">
        <v>0.18902891030392899</v>
      </c>
      <c r="H10" s="5">
        <v>5396</v>
      </c>
    </row>
    <row r="11" spans="1:8" x14ac:dyDescent="0.25">
      <c r="A11" s="7"/>
      <c r="B11" t="s">
        <v>19</v>
      </c>
      <c r="C11" s="1">
        <v>0.156342182890855</v>
      </c>
      <c r="D11" s="1">
        <v>0.159488692232055</v>
      </c>
      <c r="E11">
        <v>5085</v>
      </c>
      <c r="F11" s="1">
        <v>0.206195014662757</v>
      </c>
      <c r="G11" s="1">
        <v>0.21132697947214099</v>
      </c>
      <c r="H11" s="5">
        <v>5456</v>
      </c>
    </row>
    <row r="12" spans="1:8" x14ac:dyDescent="0.25">
      <c r="A12" s="7" t="s">
        <v>64</v>
      </c>
      <c r="B12" t="s">
        <v>22</v>
      </c>
      <c r="C12" s="1">
        <v>0.162771849250304</v>
      </c>
      <c r="D12" s="1">
        <v>0.16749966229906799</v>
      </c>
      <c r="E12">
        <v>7403</v>
      </c>
      <c r="F12" s="1">
        <v>0.23340013360053399</v>
      </c>
      <c r="G12" s="1">
        <v>0.24048096192384799</v>
      </c>
      <c r="H12" s="5">
        <v>7485</v>
      </c>
    </row>
    <row r="13" spans="1:8" x14ac:dyDescent="0.25">
      <c r="A13" s="7"/>
      <c r="B13" t="s">
        <v>23</v>
      </c>
      <c r="C13" s="1">
        <v>0.13549649437469399</v>
      </c>
      <c r="D13" s="1">
        <v>0.138431436491114</v>
      </c>
      <c r="E13">
        <v>6133</v>
      </c>
      <c r="F13" s="1">
        <v>0.17937286372417899</v>
      </c>
      <c r="G13" s="1">
        <v>0.18293951552979601</v>
      </c>
      <c r="H13" s="5">
        <v>6729</v>
      </c>
    </row>
    <row r="14" spans="1:8" x14ac:dyDescent="0.25">
      <c r="A14" s="7"/>
      <c r="B14" t="s">
        <v>24</v>
      </c>
      <c r="C14" s="1">
        <v>0.14392834826077899</v>
      </c>
      <c r="D14" s="1">
        <v>0.14788585711310101</v>
      </c>
      <c r="E14">
        <v>4801</v>
      </c>
      <c r="F14" s="1">
        <v>0.2063657166632</v>
      </c>
      <c r="G14" s="1">
        <v>0.21031828583316001</v>
      </c>
      <c r="H14" s="5">
        <v>4807</v>
      </c>
    </row>
    <row r="15" spans="1:8" x14ac:dyDescent="0.25">
      <c r="A15" s="7"/>
      <c r="B15" t="s">
        <v>25</v>
      </c>
      <c r="C15" s="1">
        <v>0.15419100665670399</v>
      </c>
      <c r="D15" s="1">
        <v>0.15745143322918101</v>
      </c>
      <c r="E15">
        <v>7361</v>
      </c>
      <c r="F15" s="1">
        <v>0.203842610869851</v>
      </c>
      <c r="G15" s="1">
        <v>0.20752730622450299</v>
      </c>
      <c r="H15" s="5">
        <v>7599</v>
      </c>
    </row>
    <row r="16" spans="1:8" x14ac:dyDescent="0.25">
      <c r="A16" s="7"/>
      <c r="B16" t="s">
        <v>26</v>
      </c>
      <c r="C16" s="1">
        <v>0.17042132416165101</v>
      </c>
      <c r="D16" s="1">
        <v>0.175580395528805</v>
      </c>
      <c r="E16">
        <v>5815</v>
      </c>
      <c r="F16" s="1">
        <v>0.21608980355472401</v>
      </c>
      <c r="G16" s="1">
        <v>0.221889616463985</v>
      </c>
      <c r="H16" s="5">
        <v>5345</v>
      </c>
    </row>
    <row r="17" spans="1:8" x14ac:dyDescent="0.25">
      <c r="A17" s="7"/>
      <c r="B17" t="s">
        <v>27</v>
      </c>
      <c r="C17" s="1">
        <v>0.14304585770900199</v>
      </c>
      <c r="D17" s="1">
        <v>0.147197584449896</v>
      </c>
      <c r="E17">
        <v>5299</v>
      </c>
      <c r="F17" s="1">
        <v>0.221217260222348</v>
      </c>
      <c r="G17" s="1">
        <v>0.225739589221783</v>
      </c>
      <c r="H17" s="5">
        <v>5307</v>
      </c>
    </row>
    <row r="18" spans="1:8" x14ac:dyDescent="0.25">
      <c r="A18" s="7"/>
      <c r="B18" t="s">
        <v>28</v>
      </c>
      <c r="C18" s="1">
        <v>0.130001444460494</v>
      </c>
      <c r="D18" s="1">
        <v>0.13159035100390001</v>
      </c>
      <c r="E18">
        <v>6923</v>
      </c>
      <c r="F18" s="1">
        <v>0.183303886925795</v>
      </c>
      <c r="G18" s="1">
        <v>0.18845700824499401</v>
      </c>
      <c r="H18" s="5">
        <v>6792</v>
      </c>
    </row>
    <row r="19" spans="1:8" x14ac:dyDescent="0.25">
      <c r="A19" s="7"/>
      <c r="B19" t="s">
        <v>29</v>
      </c>
      <c r="C19" s="1">
        <v>0.13025283347864</v>
      </c>
      <c r="D19" s="1">
        <v>0.13496076721883199</v>
      </c>
      <c r="E19">
        <v>5735</v>
      </c>
      <c r="F19" s="1">
        <v>0.191594350859282</v>
      </c>
      <c r="G19" s="1">
        <v>0.19431682831376601</v>
      </c>
      <c r="H19" s="5">
        <v>5877</v>
      </c>
    </row>
    <row r="20" spans="1:8" x14ac:dyDescent="0.25">
      <c r="A20" s="7"/>
      <c r="B20" t="s">
        <v>30</v>
      </c>
      <c r="C20" s="1">
        <v>0.12443095599393</v>
      </c>
      <c r="D20" s="1">
        <v>0.127465857359636</v>
      </c>
      <c r="E20">
        <v>5931</v>
      </c>
      <c r="F20" s="1">
        <v>0.19390436153441901</v>
      </c>
      <c r="G20" s="1">
        <v>0.19880889823086401</v>
      </c>
      <c r="H20" s="5">
        <v>5709</v>
      </c>
    </row>
    <row r="21" spans="1:8" x14ac:dyDescent="0.25">
      <c r="A21" s="7" t="s">
        <v>65</v>
      </c>
      <c r="B21" t="s">
        <v>22</v>
      </c>
      <c r="C21" s="1">
        <v>0.162771849250304</v>
      </c>
      <c r="D21" s="1">
        <v>0.16749966229906799</v>
      </c>
      <c r="E21">
        <v>7403</v>
      </c>
      <c r="F21" s="1">
        <v>0.23340013360053399</v>
      </c>
      <c r="G21" s="1">
        <v>0.24048096192384799</v>
      </c>
      <c r="H21" s="5">
        <v>7485</v>
      </c>
    </row>
    <row r="22" spans="1:8" x14ac:dyDescent="0.25">
      <c r="A22" s="7"/>
      <c r="B22" t="s">
        <v>23</v>
      </c>
      <c r="C22" s="1">
        <v>0.13549649437469399</v>
      </c>
      <c r="D22" s="1">
        <v>0.138431436491114</v>
      </c>
      <c r="E22">
        <v>6133</v>
      </c>
      <c r="F22" s="1">
        <v>0.17937286372417899</v>
      </c>
      <c r="G22" s="1">
        <v>0.18293951552979601</v>
      </c>
      <c r="H22" s="5">
        <v>6729</v>
      </c>
    </row>
    <row r="23" spans="1:8" x14ac:dyDescent="0.25">
      <c r="A23" s="7"/>
      <c r="B23" t="s">
        <v>24</v>
      </c>
      <c r="C23" s="1">
        <v>0.14392834826077899</v>
      </c>
      <c r="D23" s="1">
        <v>0.14788585711310101</v>
      </c>
      <c r="E23">
        <v>4801</v>
      </c>
      <c r="F23" s="1">
        <v>0.2063657166632</v>
      </c>
      <c r="G23" s="1">
        <v>0.21031828583316001</v>
      </c>
      <c r="H23" s="5">
        <v>4807</v>
      </c>
    </row>
    <row r="24" spans="1:8" x14ac:dyDescent="0.25">
      <c r="A24" s="7"/>
      <c r="B24" t="s">
        <v>25</v>
      </c>
      <c r="C24" s="1">
        <v>0.15419100665670399</v>
      </c>
      <c r="D24" s="1">
        <v>0.15745143322918101</v>
      </c>
      <c r="E24">
        <v>7361</v>
      </c>
      <c r="F24" s="1">
        <v>0.203842610869851</v>
      </c>
      <c r="G24" s="1">
        <v>0.20752730622450299</v>
      </c>
      <c r="H24" s="5">
        <v>7599</v>
      </c>
    </row>
    <row r="25" spans="1:8" x14ac:dyDescent="0.25">
      <c r="A25" s="7"/>
      <c r="B25" t="s">
        <v>26</v>
      </c>
      <c r="C25" s="1">
        <v>0.17042132416165101</v>
      </c>
      <c r="D25" s="1">
        <v>0.175580395528805</v>
      </c>
      <c r="E25">
        <v>5815</v>
      </c>
      <c r="F25" s="1">
        <v>0.21608980355472401</v>
      </c>
      <c r="G25" s="1">
        <v>0.221889616463985</v>
      </c>
      <c r="H25" s="5">
        <v>5345</v>
      </c>
    </row>
    <row r="26" spans="1:8" x14ac:dyDescent="0.25">
      <c r="A26" s="7"/>
      <c r="B26" t="s">
        <v>27</v>
      </c>
      <c r="C26" s="1">
        <v>0.14304585770900199</v>
      </c>
      <c r="D26" s="1">
        <v>0.147197584449896</v>
      </c>
      <c r="E26">
        <v>5299</v>
      </c>
      <c r="F26" s="1">
        <v>0.221217260222348</v>
      </c>
      <c r="G26" s="1">
        <v>0.225739589221783</v>
      </c>
      <c r="H26" s="5">
        <v>5307</v>
      </c>
    </row>
    <row r="27" spans="1:8" x14ac:dyDescent="0.25">
      <c r="A27" s="7"/>
      <c r="B27" t="s">
        <v>28</v>
      </c>
      <c r="C27" s="1">
        <v>0.130001444460494</v>
      </c>
      <c r="D27" s="1">
        <v>0.13159035100390001</v>
      </c>
      <c r="E27">
        <v>6923</v>
      </c>
      <c r="F27" s="1">
        <v>0.183303886925795</v>
      </c>
      <c r="G27" s="1">
        <v>0.18845700824499401</v>
      </c>
      <c r="H27" s="5">
        <v>6792</v>
      </c>
    </row>
    <row r="28" spans="1:8" x14ac:dyDescent="0.25">
      <c r="A28" s="7"/>
      <c r="B28" t="s">
        <v>29</v>
      </c>
      <c r="C28" s="1">
        <v>0.13025283347864</v>
      </c>
      <c r="D28" s="1">
        <v>0.13496076721883199</v>
      </c>
      <c r="E28">
        <v>5735</v>
      </c>
      <c r="F28" s="1">
        <v>0.191594350859282</v>
      </c>
      <c r="G28" s="1">
        <v>0.19431682831376601</v>
      </c>
      <c r="H28" s="5">
        <v>5877</v>
      </c>
    </row>
    <row r="29" spans="1:8" x14ac:dyDescent="0.25">
      <c r="A29" s="7"/>
      <c r="B29" t="s">
        <v>30</v>
      </c>
      <c r="C29" s="1">
        <v>0.12443095599393</v>
      </c>
      <c r="D29" s="1">
        <v>0.127465857359636</v>
      </c>
      <c r="E29">
        <v>5931</v>
      </c>
      <c r="F29" s="1">
        <v>0.19390436153441901</v>
      </c>
      <c r="G29" s="1">
        <v>0.19880889823086401</v>
      </c>
      <c r="H29" s="5">
        <v>5709</v>
      </c>
    </row>
    <row r="30" spans="1:8" x14ac:dyDescent="0.25">
      <c r="A30" s="7" t="s">
        <v>0</v>
      </c>
      <c r="B30" t="s">
        <v>31</v>
      </c>
      <c r="C30" s="1">
        <v>0.15735482689137201</v>
      </c>
      <c r="D30" s="1">
        <v>0.16285033888990699</v>
      </c>
      <c r="E30">
        <v>5459</v>
      </c>
      <c r="F30" s="1">
        <v>0.20714285714285699</v>
      </c>
      <c r="G30" s="1">
        <v>0.21331168831168801</v>
      </c>
      <c r="H30" s="5">
        <v>6160</v>
      </c>
    </row>
    <row r="31" spans="1:8" x14ac:dyDescent="0.25">
      <c r="A31" s="7"/>
      <c r="B31" t="s">
        <v>32</v>
      </c>
      <c r="C31" s="1">
        <v>0.123744551828691</v>
      </c>
      <c r="D31" s="1">
        <v>0.12620807276861901</v>
      </c>
      <c r="E31">
        <v>5277</v>
      </c>
      <c r="F31" s="1">
        <v>0.21260504201680699</v>
      </c>
      <c r="G31" s="1">
        <v>0.21953781512605</v>
      </c>
      <c r="H31" s="5">
        <v>4760</v>
      </c>
    </row>
    <row r="32" spans="1:8" x14ac:dyDescent="0.25">
      <c r="A32" s="7"/>
      <c r="B32" t="s">
        <v>33</v>
      </c>
      <c r="C32" s="1">
        <v>0.12925684879673099</v>
      </c>
      <c r="D32" s="1">
        <v>0.13410019676101101</v>
      </c>
      <c r="E32">
        <v>6607</v>
      </c>
      <c r="F32" s="1">
        <v>0.230205059122886</v>
      </c>
      <c r="G32" s="1">
        <v>0.236192186798383</v>
      </c>
      <c r="H32" s="5">
        <v>6681</v>
      </c>
    </row>
    <row r="33" spans="1:8" x14ac:dyDescent="0.25">
      <c r="A33" s="7"/>
      <c r="B33" t="s">
        <v>34</v>
      </c>
      <c r="C33" s="1">
        <v>0.1469357617524</v>
      </c>
      <c r="D33" s="1">
        <v>0.150381491508737</v>
      </c>
      <c r="E33">
        <v>4063</v>
      </c>
      <c r="F33" s="1">
        <v>0.17585551330798499</v>
      </c>
      <c r="G33" s="1">
        <v>0.178231939163498</v>
      </c>
      <c r="H33" s="5">
        <v>4208</v>
      </c>
    </row>
    <row r="34" spans="1:8" x14ac:dyDescent="0.25">
      <c r="A34" s="7"/>
      <c r="B34" t="s">
        <v>35</v>
      </c>
      <c r="C34" s="1">
        <v>0.123329459616502</v>
      </c>
      <c r="D34" s="1">
        <v>0.127106333527019</v>
      </c>
      <c r="E34">
        <v>6884</v>
      </c>
      <c r="F34" s="1">
        <v>0.18400827667750499</v>
      </c>
      <c r="G34" s="1">
        <v>0.185929648241206</v>
      </c>
      <c r="H34" s="5">
        <v>6766</v>
      </c>
    </row>
    <row r="35" spans="1:8" x14ac:dyDescent="0.25">
      <c r="A35" s="7"/>
      <c r="B35" t="s">
        <v>36</v>
      </c>
      <c r="C35" s="1">
        <v>0.13318922514133699</v>
      </c>
      <c r="D35" s="1">
        <v>0.13684735616893901</v>
      </c>
      <c r="E35">
        <v>6014</v>
      </c>
      <c r="F35" s="1">
        <v>0.19718045112782001</v>
      </c>
      <c r="G35" s="1">
        <v>0.20469924812030099</v>
      </c>
      <c r="H35" s="5">
        <v>5320</v>
      </c>
    </row>
    <row r="36" spans="1:8" x14ac:dyDescent="0.25">
      <c r="A36" s="7"/>
      <c r="B36" t="s">
        <v>37</v>
      </c>
      <c r="C36" s="1">
        <v>0.15579781962338901</v>
      </c>
      <c r="D36" s="1">
        <v>0.16214073339940499</v>
      </c>
      <c r="E36">
        <v>5045</v>
      </c>
      <c r="F36" s="1">
        <v>0.20102651839178801</v>
      </c>
      <c r="G36" s="1">
        <v>0.204448246364414</v>
      </c>
      <c r="H36" s="5">
        <v>5845</v>
      </c>
    </row>
    <row r="37" spans="1:8" x14ac:dyDescent="0.25">
      <c r="A37" s="7"/>
      <c r="B37" t="s">
        <v>38</v>
      </c>
      <c r="C37" s="1">
        <v>0.13593030900723199</v>
      </c>
      <c r="D37" s="1">
        <v>0.140039447731755</v>
      </c>
      <c r="E37">
        <v>6084</v>
      </c>
      <c r="F37" s="1">
        <v>0.210471204188482</v>
      </c>
      <c r="G37" s="1">
        <v>0.21588132635253099</v>
      </c>
      <c r="H37" s="5">
        <v>5730</v>
      </c>
    </row>
    <row r="38" spans="1:8" x14ac:dyDescent="0.25">
      <c r="A38" s="7"/>
      <c r="B38" t="s">
        <v>39</v>
      </c>
      <c r="C38" s="1">
        <v>0.140820734341253</v>
      </c>
      <c r="D38" s="1">
        <v>0.14535637149028099</v>
      </c>
      <c r="E38">
        <v>4630</v>
      </c>
      <c r="F38" s="1">
        <v>0.23177326123438399</v>
      </c>
      <c r="G38" s="1">
        <v>0.23979116166324799</v>
      </c>
      <c r="H38" s="5">
        <v>5363</v>
      </c>
    </row>
    <row r="39" spans="1:8" x14ac:dyDescent="0.25">
      <c r="A39" s="7"/>
      <c r="B39" t="s">
        <v>40</v>
      </c>
      <c r="C39" s="1">
        <v>0.125044091710758</v>
      </c>
      <c r="D39" s="1">
        <v>0.12839506172839499</v>
      </c>
      <c r="E39">
        <v>5670</v>
      </c>
      <c r="F39" s="1">
        <v>0.18431502316346801</v>
      </c>
      <c r="G39" s="1">
        <v>0.188782263401721</v>
      </c>
      <c r="H39" s="5">
        <v>6044</v>
      </c>
    </row>
    <row r="40" spans="1:8" x14ac:dyDescent="0.25">
      <c r="A40" s="7"/>
      <c r="B40" t="s">
        <v>41</v>
      </c>
      <c r="C40" s="1">
        <v>0.13976967976021501</v>
      </c>
      <c r="D40" s="1">
        <v>0.14576431613819199</v>
      </c>
      <c r="E40">
        <v>6339</v>
      </c>
      <c r="F40" s="1">
        <v>0.17839013778100099</v>
      </c>
      <c r="G40" s="1">
        <v>0.182741116751269</v>
      </c>
      <c r="H40" s="5">
        <v>6895</v>
      </c>
    </row>
    <row r="41" spans="1:8" x14ac:dyDescent="0.25">
      <c r="A41" s="7" t="s">
        <v>1</v>
      </c>
      <c r="B41" t="s">
        <v>31</v>
      </c>
      <c r="C41" s="1">
        <v>0.15735482689137201</v>
      </c>
      <c r="D41" s="1">
        <v>0.16285033888990699</v>
      </c>
      <c r="E41">
        <v>5459</v>
      </c>
      <c r="F41" s="1">
        <v>0.20714285714285699</v>
      </c>
      <c r="G41" s="1">
        <v>0.21331168831168801</v>
      </c>
      <c r="H41" s="5">
        <v>6160</v>
      </c>
    </row>
    <row r="42" spans="1:8" x14ac:dyDescent="0.25">
      <c r="A42" s="7"/>
      <c r="B42" t="s">
        <v>32</v>
      </c>
      <c r="C42" s="1">
        <v>0.123744551828691</v>
      </c>
      <c r="D42" s="1">
        <v>0.12620807276861901</v>
      </c>
      <c r="E42">
        <v>5277</v>
      </c>
      <c r="F42" s="1">
        <v>0.21260504201680699</v>
      </c>
      <c r="G42" s="1">
        <v>0.21953781512605</v>
      </c>
      <c r="H42" s="5">
        <v>4760</v>
      </c>
    </row>
    <row r="43" spans="1:8" x14ac:dyDescent="0.25">
      <c r="A43" s="7"/>
      <c r="B43" t="s">
        <v>33</v>
      </c>
      <c r="C43" s="1">
        <v>0.12925684879673099</v>
      </c>
      <c r="D43" s="1">
        <v>0.13410019676101101</v>
      </c>
      <c r="E43">
        <v>6607</v>
      </c>
      <c r="F43" s="1">
        <v>0.230205059122886</v>
      </c>
      <c r="G43" s="1">
        <v>0.236192186798383</v>
      </c>
      <c r="H43" s="5">
        <v>6681</v>
      </c>
    </row>
    <row r="44" spans="1:8" x14ac:dyDescent="0.25">
      <c r="A44" s="7"/>
      <c r="B44" t="s">
        <v>34</v>
      </c>
      <c r="C44" s="1">
        <v>0.1469357617524</v>
      </c>
      <c r="D44" s="1">
        <v>0.150381491508737</v>
      </c>
      <c r="E44">
        <v>4063</v>
      </c>
      <c r="F44" s="1">
        <v>0.17585551330798499</v>
      </c>
      <c r="G44" s="1">
        <v>0.178231939163498</v>
      </c>
      <c r="H44" s="5">
        <v>4208</v>
      </c>
    </row>
    <row r="45" spans="1:8" x14ac:dyDescent="0.25">
      <c r="A45" s="7"/>
      <c r="B45" t="s">
        <v>35</v>
      </c>
      <c r="C45" s="1">
        <v>0.123329459616502</v>
      </c>
      <c r="D45" s="1">
        <v>0.127106333527019</v>
      </c>
      <c r="E45">
        <v>6884</v>
      </c>
      <c r="F45" s="1">
        <v>0.18400827667750499</v>
      </c>
      <c r="G45" s="1">
        <v>0.185929648241206</v>
      </c>
      <c r="H45" s="5">
        <v>6766</v>
      </c>
    </row>
    <row r="46" spans="1:8" x14ac:dyDescent="0.25">
      <c r="A46" s="7"/>
      <c r="B46" t="s">
        <v>36</v>
      </c>
      <c r="C46" s="1">
        <v>0.13318922514133699</v>
      </c>
      <c r="D46" s="1">
        <v>0.13684735616893901</v>
      </c>
      <c r="E46">
        <v>6014</v>
      </c>
      <c r="F46" s="1">
        <v>0.19718045112782001</v>
      </c>
      <c r="G46" s="1">
        <v>0.20469924812030099</v>
      </c>
      <c r="H46" s="5">
        <v>5320</v>
      </c>
    </row>
    <row r="47" spans="1:8" x14ac:dyDescent="0.25">
      <c r="A47" s="7"/>
      <c r="B47" t="s">
        <v>37</v>
      </c>
      <c r="C47" s="1">
        <v>0.15579781962338901</v>
      </c>
      <c r="D47" s="1">
        <v>0.16214073339940499</v>
      </c>
      <c r="E47">
        <v>5045</v>
      </c>
      <c r="F47" s="1">
        <v>0.20102651839178801</v>
      </c>
      <c r="G47" s="1">
        <v>0.204448246364414</v>
      </c>
      <c r="H47" s="5">
        <v>5845</v>
      </c>
    </row>
    <row r="48" spans="1:8" x14ac:dyDescent="0.25">
      <c r="A48" s="7"/>
      <c r="B48" t="s">
        <v>38</v>
      </c>
      <c r="C48" s="1">
        <v>0.13593030900723199</v>
      </c>
      <c r="D48" s="1">
        <v>0.140039447731755</v>
      </c>
      <c r="E48">
        <v>6084</v>
      </c>
      <c r="F48" s="1">
        <v>0.210471204188482</v>
      </c>
      <c r="G48" s="1">
        <v>0.21588132635253099</v>
      </c>
      <c r="H48" s="5">
        <v>5730</v>
      </c>
    </row>
    <row r="49" spans="1:8" x14ac:dyDescent="0.25">
      <c r="A49" s="7"/>
      <c r="B49" t="s">
        <v>39</v>
      </c>
      <c r="C49" s="1">
        <v>0.140820734341253</v>
      </c>
      <c r="D49" s="1">
        <v>0.14535637149028099</v>
      </c>
      <c r="E49">
        <v>4630</v>
      </c>
      <c r="F49" s="1">
        <v>0.23177326123438399</v>
      </c>
      <c r="G49" s="1">
        <v>0.23979116166324799</v>
      </c>
      <c r="H49" s="5">
        <v>5363</v>
      </c>
    </row>
    <row r="50" spans="1:8" x14ac:dyDescent="0.25">
      <c r="A50" s="7"/>
      <c r="B50" t="s">
        <v>40</v>
      </c>
      <c r="C50" s="1">
        <v>0.125044091710758</v>
      </c>
      <c r="D50" s="1">
        <v>0.12839506172839499</v>
      </c>
      <c r="E50">
        <v>5670</v>
      </c>
      <c r="F50" s="1">
        <v>0.18431502316346801</v>
      </c>
      <c r="G50" s="1">
        <v>0.188782263401721</v>
      </c>
      <c r="H50" s="5">
        <v>6044</v>
      </c>
    </row>
    <row r="51" spans="1:8" x14ac:dyDescent="0.25">
      <c r="A51" s="7"/>
      <c r="B51" t="s">
        <v>41</v>
      </c>
      <c r="C51" s="1">
        <v>0.13976967976021501</v>
      </c>
      <c r="D51" s="1">
        <v>0.14576431613819199</v>
      </c>
      <c r="E51">
        <v>6339</v>
      </c>
      <c r="F51" s="1">
        <v>0.17839013778100099</v>
      </c>
      <c r="G51" s="1">
        <v>0.182741116751269</v>
      </c>
      <c r="H51" s="5">
        <v>6895</v>
      </c>
    </row>
    <row r="52" spans="1:8" x14ac:dyDescent="0.25">
      <c r="A52" s="7" t="s">
        <v>66</v>
      </c>
      <c r="B52" t="s">
        <v>42</v>
      </c>
      <c r="C52" s="1">
        <v>0.119602899464229</v>
      </c>
      <c r="D52" s="1">
        <v>0.12196659312953</v>
      </c>
      <c r="E52">
        <v>6346</v>
      </c>
      <c r="F52" s="1">
        <v>0.18746892093485801</v>
      </c>
      <c r="G52" s="1">
        <v>0.19111553124482</v>
      </c>
      <c r="H52" s="5">
        <v>6033</v>
      </c>
    </row>
    <row r="53" spans="1:8" x14ac:dyDescent="0.25">
      <c r="A53" s="7"/>
      <c r="B53" t="s">
        <v>43</v>
      </c>
      <c r="C53" s="1">
        <v>0.108186080057699</v>
      </c>
      <c r="D53" s="1">
        <v>0.110169491525424</v>
      </c>
      <c r="E53">
        <v>5546</v>
      </c>
      <c r="F53" s="1">
        <v>0.190192056684691</v>
      </c>
      <c r="G53" s="1">
        <v>0.19298899869475999</v>
      </c>
      <c r="H53" s="5">
        <v>5363</v>
      </c>
    </row>
    <row r="54" spans="1:8" x14ac:dyDescent="0.25">
      <c r="A54" s="7"/>
      <c r="B54" t="s">
        <v>44</v>
      </c>
      <c r="C54" s="1">
        <v>0.117218341937443</v>
      </c>
      <c r="D54" s="1">
        <v>0.121621621621622</v>
      </c>
      <c r="E54">
        <v>6586</v>
      </c>
      <c r="F54" s="1">
        <v>0.176682001150086</v>
      </c>
      <c r="G54" s="1">
        <v>0.179988499137435</v>
      </c>
      <c r="H54" s="5">
        <v>6956</v>
      </c>
    </row>
    <row r="55" spans="1:8" x14ac:dyDescent="0.25">
      <c r="A55" s="7"/>
      <c r="B55" t="s">
        <v>45</v>
      </c>
      <c r="C55" s="1">
        <v>9.9663380620341399E-2</v>
      </c>
      <c r="D55" s="1">
        <v>0.101586919932676</v>
      </c>
      <c r="E55">
        <v>8318</v>
      </c>
      <c r="F55" s="1">
        <v>0.16972901520158601</v>
      </c>
      <c r="G55" s="1">
        <v>0.172240581625909</v>
      </c>
      <c r="H55" s="5">
        <v>7565</v>
      </c>
    </row>
    <row r="56" spans="1:8" x14ac:dyDescent="0.25">
      <c r="A56" s="7"/>
      <c r="B56" t="s">
        <v>46</v>
      </c>
      <c r="C56" s="1">
        <v>0.114333652924257</v>
      </c>
      <c r="D56" s="1">
        <v>0.115771812080537</v>
      </c>
      <c r="E56">
        <v>4172</v>
      </c>
      <c r="F56" s="1">
        <v>0.183577159037282</v>
      </c>
      <c r="G56" s="1">
        <v>0.18640868334119901</v>
      </c>
      <c r="H56" s="5">
        <v>4238</v>
      </c>
    </row>
    <row r="57" spans="1:8" x14ac:dyDescent="0.25">
      <c r="A57" s="7"/>
      <c r="B57" t="s">
        <v>47</v>
      </c>
      <c r="C57" s="1">
        <v>0.11059584035975301</v>
      </c>
      <c r="D57" s="1">
        <v>0.11326587970770099</v>
      </c>
      <c r="E57">
        <v>7116</v>
      </c>
      <c r="F57" s="1">
        <v>0.19056015190560199</v>
      </c>
      <c r="G57" s="1">
        <v>0.195171571951716</v>
      </c>
      <c r="H57" s="5">
        <v>7373</v>
      </c>
    </row>
    <row r="58" spans="1:8" x14ac:dyDescent="0.25">
      <c r="A58" s="7"/>
      <c r="B58" t="s">
        <v>48</v>
      </c>
      <c r="C58" s="1">
        <v>0.111124830225954</v>
      </c>
      <c r="D58" s="1">
        <v>0.112483022595382</v>
      </c>
      <c r="E58">
        <v>8099</v>
      </c>
      <c r="F58" s="1">
        <v>0.17814333078296399</v>
      </c>
      <c r="G58" s="1">
        <v>0.18388166284111199</v>
      </c>
      <c r="H58" s="5">
        <v>7842</v>
      </c>
    </row>
    <row r="59" spans="1:8" x14ac:dyDescent="0.25">
      <c r="A59" s="7"/>
      <c r="B59" t="s">
        <v>49</v>
      </c>
      <c r="C59" s="1">
        <v>0.1222359808951</v>
      </c>
      <c r="D59" s="1">
        <v>0.12418185034495</v>
      </c>
      <c r="E59">
        <v>5653</v>
      </c>
      <c r="F59" s="1">
        <v>0.18479322696190201</v>
      </c>
      <c r="G59" s="1">
        <v>0.18870074894171299</v>
      </c>
      <c r="H59" s="5">
        <v>6142</v>
      </c>
    </row>
    <row r="60" spans="1:8" x14ac:dyDescent="0.25">
      <c r="A60" s="7" t="s">
        <v>67</v>
      </c>
      <c r="B60" t="s">
        <v>50</v>
      </c>
      <c r="C60" s="1">
        <v>0.110436025732666</v>
      </c>
      <c r="D60" s="1">
        <v>0.114010007147963</v>
      </c>
      <c r="E60">
        <v>5596</v>
      </c>
      <c r="F60" s="1">
        <v>0.18057689025431001</v>
      </c>
      <c r="G60" s="1">
        <v>0.18484383000512</v>
      </c>
      <c r="H60" s="5">
        <v>5859</v>
      </c>
    </row>
    <row r="61" spans="1:8" x14ac:dyDescent="0.25">
      <c r="A61" s="7"/>
      <c r="B61" t="s">
        <v>51</v>
      </c>
      <c r="C61" s="1">
        <v>9.1347811099620799E-2</v>
      </c>
      <c r="D61" s="1">
        <v>9.3416063426404697E-2</v>
      </c>
      <c r="E61">
        <v>5802</v>
      </c>
      <c r="F61" s="1">
        <v>0.19856420296948901</v>
      </c>
      <c r="G61" s="1">
        <v>0.20476423560123999</v>
      </c>
      <c r="H61" s="5">
        <v>6129</v>
      </c>
    </row>
    <row r="62" spans="1:8" x14ac:dyDescent="0.25">
      <c r="A62" s="7"/>
      <c r="B62" t="s">
        <v>52</v>
      </c>
      <c r="C62" s="1">
        <v>0.117700729927007</v>
      </c>
      <c r="D62" s="1">
        <v>0.119829683698297</v>
      </c>
      <c r="E62">
        <v>3288</v>
      </c>
      <c r="F62" s="1">
        <v>0.179631365198376</v>
      </c>
      <c r="G62" s="1">
        <v>0.183380193689472</v>
      </c>
      <c r="H62" s="5">
        <v>3201</v>
      </c>
    </row>
    <row r="63" spans="1:8" x14ac:dyDescent="0.25">
      <c r="A63" s="7"/>
      <c r="B63" t="s">
        <v>53</v>
      </c>
      <c r="C63" s="1">
        <v>0.136563876651982</v>
      </c>
      <c r="D63" s="1">
        <v>0.13861967694566801</v>
      </c>
      <c r="E63">
        <v>3405</v>
      </c>
      <c r="F63" s="1">
        <v>0.18548202427295599</v>
      </c>
      <c r="G63" s="1">
        <v>0.188000915960614</v>
      </c>
      <c r="H63" s="5">
        <v>4367</v>
      </c>
    </row>
    <row r="64" spans="1:8" x14ac:dyDescent="0.25">
      <c r="A64" s="7"/>
      <c r="B64" t="s">
        <v>54</v>
      </c>
      <c r="C64" s="1">
        <v>0.12008204363229499</v>
      </c>
      <c r="D64" s="1">
        <v>0.124930076449748</v>
      </c>
      <c r="E64">
        <v>5363</v>
      </c>
      <c r="F64" s="1">
        <v>0.19608540925266901</v>
      </c>
      <c r="G64" s="1">
        <v>0.19964412811387899</v>
      </c>
      <c r="H64" s="5">
        <v>5620</v>
      </c>
    </row>
    <row r="65" spans="1:8" x14ac:dyDescent="0.25">
      <c r="A65" s="7" t="s">
        <v>68</v>
      </c>
      <c r="B65" t="s">
        <v>50</v>
      </c>
      <c r="C65" s="1">
        <v>0.110436025732666</v>
      </c>
      <c r="D65" s="1">
        <v>0.114010007147963</v>
      </c>
      <c r="E65">
        <v>5596</v>
      </c>
      <c r="F65" s="1">
        <v>0.18057689025431001</v>
      </c>
      <c r="G65" s="1">
        <v>0.18484383000512</v>
      </c>
      <c r="H65" s="5">
        <v>5859</v>
      </c>
    </row>
    <row r="66" spans="1:8" x14ac:dyDescent="0.25">
      <c r="A66" s="7"/>
      <c r="B66" t="s">
        <v>51</v>
      </c>
      <c r="C66" s="1">
        <v>9.1347811099620799E-2</v>
      </c>
      <c r="D66" s="1">
        <v>9.3416063426404697E-2</v>
      </c>
      <c r="E66">
        <v>5802</v>
      </c>
      <c r="F66" s="1">
        <v>0.19856420296948901</v>
      </c>
      <c r="G66" s="1">
        <v>0.20476423560123999</v>
      </c>
      <c r="H66" s="5">
        <v>6129</v>
      </c>
    </row>
    <row r="67" spans="1:8" x14ac:dyDescent="0.25">
      <c r="A67" s="7"/>
      <c r="B67" t="s">
        <v>52</v>
      </c>
      <c r="C67" s="1">
        <v>0.117700729927007</v>
      </c>
      <c r="D67" s="1">
        <v>0.119829683698297</v>
      </c>
      <c r="E67">
        <v>3288</v>
      </c>
      <c r="F67" s="1">
        <v>0.179631365198376</v>
      </c>
      <c r="G67" s="1">
        <v>0.183380193689472</v>
      </c>
      <c r="H67" s="5">
        <v>3201</v>
      </c>
    </row>
    <row r="68" spans="1:8" x14ac:dyDescent="0.25">
      <c r="A68" s="7"/>
      <c r="B68" t="s">
        <v>53</v>
      </c>
      <c r="C68" s="1">
        <v>0.136563876651982</v>
      </c>
      <c r="D68" s="1">
        <v>0.13861967694566801</v>
      </c>
      <c r="E68">
        <v>3405</v>
      </c>
      <c r="F68" s="1">
        <v>0.18548202427295599</v>
      </c>
      <c r="G68" s="1">
        <v>0.188000915960614</v>
      </c>
      <c r="H68" s="5">
        <v>4367</v>
      </c>
    </row>
    <row r="69" spans="1:8" x14ac:dyDescent="0.25">
      <c r="A69" s="7"/>
      <c r="B69" t="s">
        <v>54</v>
      </c>
      <c r="C69" s="1">
        <v>0.12008204363229499</v>
      </c>
      <c r="D69" s="1">
        <v>0.124930076449748</v>
      </c>
      <c r="E69">
        <v>5363</v>
      </c>
      <c r="F69" s="1">
        <v>0.19608540925266901</v>
      </c>
      <c r="G69" s="1">
        <v>0.19964412811387899</v>
      </c>
      <c r="H69" s="5">
        <v>5620</v>
      </c>
    </row>
    <row r="70" spans="1:8" x14ac:dyDescent="0.25">
      <c r="A70" s="7" t="s">
        <v>69</v>
      </c>
      <c r="B70" t="s">
        <v>55</v>
      </c>
      <c r="C70" s="1">
        <v>0.11481120245227799</v>
      </c>
      <c r="D70" s="1">
        <v>0.116901212205657</v>
      </c>
      <c r="E70">
        <v>7177</v>
      </c>
      <c r="F70" s="1">
        <v>0.18649002766050399</v>
      </c>
      <c r="G70" s="1">
        <v>0.19056631241811001</v>
      </c>
      <c r="H70" s="5">
        <v>6869</v>
      </c>
    </row>
    <row r="71" spans="1:8" x14ac:dyDescent="0.25">
      <c r="A71" s="7"/>
      <c r="B71" t="s">
        <v>56</v>
      </c>
      <c r="C71" s="1">
        <v>0.129995733181624</v>
      </c>
      <c r="D71" s="1">
        <v>0.13212914236950599</v>
      </c>
      <c r="E71">
        <v>7031</v>
      </c>
      <c r="F71" s="1">
        <v>0.17233527821260899</v>
      </c>
      <c r="G71" s="1">
        <v>0.17589298420378499</v>
      </c>
      <c r="H71" s="5">
        <v>7027</v>
      </c>
    </row>
    <row r="72" spans="1:8" x14ac:dyDescent="0.25">
      <c r="A72" s="7"/>
      <c r="B72" t="s">
        <v>57</v>
      </c>
      <c r="C72" s="1">
        <v>0.14133205863607401</v>
      </c>
      <c r="D72" s="1">
        <v>0.14515615041427701</v>
      </c>
      <c r="E72">
        <v>6276</v>
      </c>
      <c r="F72" s="1">
        <v>0.18812579325906101</v>
      </c>
      <c r="G72" s="1">
        <v>0.19221548441686601</v>
      </c>
      <c r="H72" s="5">
        <v>7091</v>
      </c>
    </row>
    <row r="73" spans="1:8" x14ac:dyDescent="0.25">
      <c r="A73" s="7"/>
      <c r="B73" t="s">
        <v>58</v>
      </c>
      <c r="C73" s="1">
        <v>0.133947939262473</v>
      </c>
      <c r="D73" s="1">
        <v>0.136659436008677</v>
      </c>
      <c r="E73">
        <v>5532</v>
      </c>
      <c r="F73" s="1">
        <v>0.170881749829118</v>
      </c>
      <c r="G73" s="1">
        <v>0.17549555707450401</v>
      </c>
      <c r="H73" s="5">
        <v>5852</v>
      </c>
    </row>
    <row r="74" spans="1:8" x14ac:dyDescent="0.25">
      <c r="A74" s="7"/>
      <c r="B74" t="s">
        <v>59</v>
      </c>
      <c r="C74" s="1">
        <v>0.142120911793855</v>
      </c>
      <c r="D74" s="1">
        <v>0.14727452923686801</v>
      </c>
      <c r="E74">
        <v>5045</v>
      </c>
      <c r="F74" s="1">
        <v>0.190994308670907</v>
      </c>
      <c r="G74" s="1">
        <v>0.193672581185136</v>
      </c>
      <c r="H74" s="5">
        <v>5974</v>
      </c>
    </row>
    <row r="75" spans="1:8" x14ac:dyDescent="0.25">
      <c r="A75" s="7"/>
      <c r="B75" t="s">
        <v>60</v>
      </c>
      <c r="C75" s="1">
        <v>0.103617046675421</v>
      </c>
      <c r="D75" s="1">
        <v>0.10409454458636699</v>
      </c>
      <c r="E75">
        <v>8377</v>
      </c>
      <c r="F75" s="1">
        <v>0.168230388324212</v>
      </c>
      <c r="G75" s="1">
        <v>0.17148814177742999</v>
      </c>
      <c r="H75" s="5">
        <v>7674</v>
      </c>
    </row>
    <row r="76" spans="1:8" x14ac:dyDescent="0.25">
      <c r="A76" s="7"/>
      <c r="B76" t="s">
        <v>61</v>
      </c>
      <c r="C76" s="1">
        <v>0.130274477673085</v>
      </c>
      <c r="D76" s="1">
        <v>0.13314215485456801</v>
      </c>
      <c r="E76">
        <v>7323</v>
      </c>
      <c r="F76" s="1">
        <v>0.19388312397596899</v>
      </c>
      <c r="G76" s="1">
        <v>0.198525395958493</v>
      </c>
      <c r="H76" s="5">
        <v>7324</v>
      </c>
    </row>
    <row r="77" spans="1:8" x14ac:dyDescent="0.25">
      <c r="A77" s="7"/>
      <c r="B77" t="s">
        <v>62</v>
      </c>
      <c r="C77" s="1">
        <v>0.13827284946236601</v>
      </c>
      <c r="D77" s="1">
        <v>0.14415322580645201</v>
      </c>
      <c r="E77">
        <v>5952</v>
      </c>
      <c r="F77" s="1">
        <v>0.184693140794224</v>
      </c>
      <c r="G77" s="1">
        <v>0.190613718411552</v>
      </c>
      <c r="H77" s="5">
        <v>6925</v>
      </c>
    </row>
    <row r="78" spans="1:8" x14ac:dyDescent="0.25">
      <c r="A78" s="7" t="s">
        <v>70</v>
      </c>
      <c r="B78" t="s">
        <v>55</v>
      </c>
      <c r="C78" s="1">
        <v>0.11481120245227799</v>
      </c>
      <c r="D78" s="1">
        <v>0.116901212205657</v>
      </c>
      <c r="E78">
        <v>7177</v>
      </c>
      <c r="F78" s="1">
        <v>0.18649002766050399</v>
      </c>
      <c r="G78" s="1">
        <v>0.19056631241811001</v>
      </c>
      <c r="H78" s="5">
        <v>6869</v>
      </c>
    </row>
    <row r="79" spans="1:8" x14ac:dyDescent="0.25">
      <c r="A79" s="7"/>
      <c r="B79" t="s">
        <v>56</v>
      </c>
      <c r="C79" s="1">
        <v>0.129995733181624</v>
      </c>
      <c r="D79" s="1">
        <v>0.13212914236950599</v>
      </c>
      <c r="E79">
        <v>7031</v>
      </c>
      <c r="F79" s="1">
        <v>0.17233527821260899</v>
      </c>
      <c r="G79" s="1">
        <v>0.17589298420378499</v>
      </c>
      <c r="H79" s="5">
        <v>7027</v>
      </c>
    </row>
    <row r="80" spans="1:8" x14ac:dyDescent="0.25">
      <c r="A80" s="7"/>
      <c r="B80" t="s">
        <v>57</v>
      </c>
      <c r="C80" s="1">
        <v>0.14133205863607401</v>
      </c>
      <c r="D80" s="1">
        <v>0.14515615041427701</v>
      </c>
      <c r="E80">
        <v>6276</v>
      </c>
      <c r="F80" s="1">
        <v>0.18812579325906101</v>
      </c>
      <c r="G80" s="1">
        <v>0.19221548441686601</v>
      </c>
      <c r="H80" s="5">
        <v>7091</v>
      </c>
    </row>
    <row r="81" spans="1:12" x14ac:dyDescent="0.25">
      <c r="A81" s="7"/>
      <c r="B81" t="s">
        <v>58</v>
      </c>
      <c r="C81" s="1">
        <v>0.133947939262473</v>
      </c>
      <c r="D81" s="1">
        <v>0.136659436008677</v>
      </c>
      <c r="E81">
        <v>5532</v>
      </c>
      <c r="F81" s="1">
        <v>0.170881749829118</v>
      </c>
      <c r="G81" s="1">
        <v>0.17549555707450401</v>
      </c>
      <c r="H81" s="5">
        <v>5852</v>
      </c>
    </row>
    <row r="82" spans="1:12" x14ac:dyDescent="0.25">
      <c r="A82" s="7"/>
      <c r="B82" t="s">
        <v>59</v>
      </c>
      <c r="C82" s="1">
        <v>0.142120911793855</v>
      </c>
      <c r="D82" s="1">
        <v>0.14727452923686801</v>
      </c>
      <c r="E82">
        <v>5045</v>
      </c>
      <c r="F82" s="1">
        <v>0.190994308670907</v>
      </c>
      <c r="G82" s="1">
        <v>0.193672581185136</v>
      </c>
      <c r="H82" s="5">
        <v>5974</v>
      </c>
    </row>
    <row r="83" spans="1:12" x14ac:dyDescent="0.25">
      <c r="A83" s="7"/>
      <c r="B83" t="s">
        <v>60</v>
      </c>
      <c r="C83" s="1">
        <v>0.103617046675421</v>
      </c>
      <c r="D83" s="1">
        <v>0.10409454458636699</v>
      </c>
      <c r="E83">
        <v>8377</v>
      </c>
      <c r="F83" s="1">
        <v>0.168230388324212</v>
      </c>
      <c r="G83" s="1">
        <v>0.17148814177742999</v>
      </c>
      <c r="H83" s="5">
        <v>7674</v>
      </c>
    </row>
    <row r="84" spans="1:12" x14ac:dyDescent="0.25">
      <c r="A84" s="7"/>
      <c r="B84" t="s">
        <v>61</v>
      </c>
      <c r="C84" s="1">
        <v>0.130274477673085</v>
      </c>
      <c r="D84" s="1">
        <v>0.13314215485456801</v>
      </c>
      <c r="E84">
        <v>7323</v>
      </c>
      <c r="F84" s="1">
        <v>0.19388312397596899</v>
      </c>
      <c r="G84" s="1">
        <v>0.198525395958493</v>
      </c>
      <c r="H84" s="5">
        <v>7324</v>
      </c>
    </row>
    <row r="85" spans="1:12" x14ac:dyDescent="0.25">
      <c r="A85" s="7"/>
      <c r="B85" t="s">
        <v>62</v>
      </c>
      <c r="C85" s="1">
        <v>0.13827284946236601</v>
      </c>
      <c r="D85" s="1">
        <v>0.14415322580645201</v>
      </c>
      <c r="E85">
        <v>5952</v>
      </c>
      <c r="F85" s="1">
        <v>0.184693140794224</v>
      </c>
      <c r="G85" s="1">
        <v>0.190613718411552</v>
      </c>
      <c r="H85" s="5">
        <v>6925</v>
      </c>
    </row>
    <row r="87" spans="1:12" x14ac:dyDescent="0.25">
      <c r="B87" s="2" t="s">
        <v>2</v>
      </c>
      <c r="C87" s="3">
        <f>AVERAGE(C3:C11)*100</f>
        <v>14.699617966461723</v>
      </c>
      <c r="D87" s="3">
        <f t="shared" ref="D87" si="0">AVERAGE(D3:D11)*100</f>
        <v>15.051171882052724</v>
      </c>
      <c r="E87" s="4"/>
      <c r="F87" s="3">
        <f>AVERAGE(F3:F11)*100</f>
        <v>20.438165375569181</v>
      </c>
      <c r="G87" s="3">
        <f t="shared" ref="G87" si="1">AVERAGE(G3:G11)*100</f>
        <v>20.879265435835091</v>
      </c>
      <c r="H87" s="3"/>
      <c r="I87" s="4"/>
    </row>
    <row r="88" spans="1:12" x14ac:dyDescent="0.25">
      <c r="B88" s="2" t="s">
        <v>3</v>
      </c>
      <c r="C88" s="3">
        <f>AVERAGE(C12:C20)*100</f>
        <v>14.383779048291087</v>
      </c>
      <c r="D88" s="3">
        <f t="shared" ref="D88" si="2">AVERAGE(D12:D20)*100</f>
        <v>14.7562593854837</v>
      </c>
      <c r="E88" s="4"/>
      <c r="F88" s="3">
        <f>AVERAGE(F12:F20)*100</f>
        <v>20.323233199492574</v>
      </c>
      <c r="G88" s="3">
        <f t="shared" ref="G88" si="3">AVERAGE(G12:G20)*100</f>
        <v>20.783088999852211</v>
      </c>
      <c r="H88" s="3"/>
      <c r="I88" s="4"/>
      <c r="J88" s="2"/>
      <c r="K88" s="5"/>
      <c r="L88" s="5"/>
    </row>
    <row r="89" spans="1:12" x14ac:dyDescent="0.25">
      <c r="B89" s="2" t="s">
        <v>9</v>
      </c>
      <c r="C89" s="3">
        <f>AVERAGE(C21:C29)*100</f>
        <v>14.383779048291087</v>
      </c>
      <c r="D89" s="3">
        <f t="shared" ref="D89" si="4">AVERAGE(D21:D29)*100</f>
        <v>14.7562593854837</v>
      </c>
      <c r="E89" s="4"/>
      <c r="F89" s="3">
        <f>AVERAGE(F21:F29)*100</f>
        <v>20.323233199492574</v>
      </c>
      <c r="G89" s="3">
        <f t="shared" ref="G89" si="5">AVERAGE(G21:G29)*100</f>
        <v>20.783088999852211</v>
      </c>
      <c r="H89" s="3"/>
      <c r="I89" s="4"/>
      <c r="J89" s="2"/>
      <c r="K89" s="5"/>
      <c r="L89" s="5"/>
    </row>
    <row r="90" spans="1:12" x14ac:dyDescent="0.25">
      <c r="B90" s="2" t="s">
        <v>0</v>
      </c>
      <c r="C90" s="3">
        <f>AVERAGE(C30:C40)*100</f>
        <v>13.737939167908001</v>
      </c>
      <c r="D90" s="3">
        <f t="shared" ref="D90" si="6">AVERAGE(D30:D40)*100</f>
        <v>14.174452001020546</v>
      </c>
      <c r="E90" s="4"/>
      <c r="F90" s="3">
        <f>AVERAGE(F30:F40)*100</f>
        <v>20.117939492318026</v>
      </c>
      <c r="G90" s="3">
        <f t="shared" ref="G90" si="7">AVERAGE(G30:G40)*100</f>
        <v>20.632242184493716</v>
      </c>
      <c r="H90" s="3"/>
      <c r="I90" s="4"/>
      <c r="J90" s="4"/>
      <c r="K90" s="4"/>
    </row>
    <row r="91" spans="1:12" x14ac:dyDescent="0.25">
      <c r="B91" s="2" t="s">
        <v>1</v>
      </c>
      <c r="C91" s="3">
        <f>AVERAGE(C41:C51)*100</f>
        <v>13.737939167908001</v>
      </c>
      <c r="D91" s="3">
        <f t="shared" ref="D91" si="8">AVERAGE(D41:D51)*100</f>
        <v>14.174452001020546</v>
      </c>
      <c r="E91" s="4"/>
      <c r="F91" s="3">
        <f>AVERAGE(F41:F51)*100</f>
        <v>20.117939492318026</v>
      </c>
      <c r="G91" s="3">
        <f t="shared" ref="G91" si="9">AVERAGE(G41:G51)*100</f>
        <v>20.632242184493716</v>
      </c>
      <c r="H91" s="3"/>
      <c r="I91" s="4"/>
      <c r="J91" s="4"/>
      <c r="K91" s="4"/>
    </row>
    <row r="92" spans="1:12" x14ac:dyDescent="0.25">
      <c r="B92" s="2" t="s">
        <v>4</v>
      </c>
      <c r="C92" s="3">
        <f>AVERAGE(C52:C59)*100</f>
        <v>11.287012581059704</v>
      </c>
      <c r="D92" s="3">
        <f t="shared" ref="D92" si="10">AVERAGE(D52:D59)*100</f>
        <v>11.513089886722774</v>
      </c>
      <c r="E92" s="4"/>
      <c r="F92" s="3">
        <f>AVERAGE(F52:F59)*100</f>
        <v>18.26432328323714</v>
      </c>
      <c r="G92" s="3">
        <f t="shared" ref="G92" si="11">AVERAGE(G52:G59)*100</f>
        <v>18.631203472233299</v>
      </c>
      <c r="H92" s="3"/>
      <c r="I92" s="4"/>
      <c r="J92" s="4"/>
      <c r="K92" s="4"/>
    </row>
    <row r="93" spans="1:12" x14ac:dyDescent="0.25">
      <c r="B93" s="2" t="s">
        <v>5</v>
      </c>
      <c r="C93" s="3">
        <f>AVERAGE(C60:C64)*100</f>
        <v>11.522609740871417</v>
      </c>
      <c r="D93" s="3">
        <f t="shared" ref="D93" si="12">AVERAGE(D60:D64)*100</f>
        <v>11.816110153361613</v>
      </c>
      <c r="E93" s="4"/>
      <c r="F93" s="3">
        <f>AVERAGE(F60:F64)*100</f>
        <v>18.806797838956001</v>
      </c>
      <c r="G93" s="3">
        <f t="shared" ref="G93" si="13">AVERAGE(G60:G64)*100</f>
        <v>19.212666067406499</v>
      </c>
      <c r="H93" s="3"/>
      <c r="I93" s="4"/>
      <c r="J93" s="4"/>
      <c r="K93" s="4"/>
    </row>
    <row r="94" spans="1:12" x14ac:dyDescent="0.25">
      <c r="B94" s="2" t="s">
        <v>10</v>
      </c>
      <c r="C94" s="3">
        <f>AVERAGE(C65:C69)*100</f>
        <v>11.522609740871417</v>
      </c>
      <c r="D94" s="3">
        <f t="shared" ref="D94" si="14">AVERAGE(D65:D69)*100</f>
        <v>11.816110153361613</v>
      </c>
      <c r="E94" s="4"/>
      <c r="F94" s="3">
        <f>AVERAGE(F65:F69)*100</f>
        <v>18.806797838956001</v>
      </c>
      <c r="G94" s="3">
        <f t="shared" ref="G94" si="15">AVERAGE(G65:G69)*100</f>
        <v>19.212666067406499</v>
      </c>
      <c r="H94" s="3"/>
      <c r="I94" s="4"/>
      <c r="J94" s="4"/>
      <c r="K94" s="4"/>
    </row>
    <row r="95" spans="1:12" x14ac:dyDescent="0.25">
      <c r="B95" s="2" t="s">
        <v>6</v>
      </c>
      <c r="C95" s="3">
        <f>AVERAGE(C70:C77)*100</f>
        <v>12.929652739214701</v>
      </c>
      <c r="D95" s="3">
        <f t="shared" ref="D95" si="16">AVERAGE(D70:D77)*100</f>
        <v>13.243879943529652</v>
      </c>
      <c r="E95" s="4"/>
      <c r="F95" s="3">
        <f>AVERAGE(F70:F77)*100</f>
        <v>18.195422634082551</v>
      </c>
      <c r="G95" s="3">
        <f t="shared" ref="G95" si="17">AVERAGE(G70:G77)*100</f>
        <v>18.605877193073447</v>
      </c>
      <c r="H95" s="3"/>
      <c r="I95" s="4"/>
      <c r="J95" s="4"/>
      <c r="K95" s="4"/>
    </row>
    <row r="96" spans="1:12" x14ac:dyDescent="0.25">
      <c r="B96" s="2" t="s">
        <v>7</v>
      </c>
      <c r="C96" s="3">
        <f>AVERAGE(C78:C85)*100</f>
        <v>12.929652739214701</v>
      </c>
      <c r="D96" s="3">
        <f t="shared" ref="D96" si="18">AVERAGE(D78:D85)*100</f>
        <v>13.243879943529652</v>
      </c>
      <c r="E96" s="4"/>
      <c r="F96" s="3">
        <f>AVERAGE(F78:F85)*100</f>
        <v>18.195422634082551</v>
      </c>
      <c r="G96" s="3">
        <f t="shared" ref="G96" si="19">AVERAGE(G78:G85)*100</f>
        <v>18.605877193073447</v>
      </c>
      <c r="H96" s="3"/>
      <c r="I96" s="4"/>
      <c r="J96" s="4"/>
      <c r="K96" s="4"/>
    </row>
    <row r="97" spans="3:11" x14ac:dyDescent="0.25">
      <c r="C97" s="4"/>
      <c r="D97" s="4"/>
      <c r="E97" s="4"/>
      <c r="F97" s="4"/>
      <c r="G97" s="4"/>
      <c r="H97" s="4"/>
      <c r="I97" s="4"/>
      <c r="J97" s="4"/>
      <c r="K97" s="4"/>
    </row>
    <row r="98" spans="3:11" x14ac:dyDescent="0.25">
      <c r="C98" s="4"/>
      <c r="D98" s="4"/>
      <c r="E98" s="4"/>
      <c r="F98" s="4"/>
      <c r="G98" s="4"/>
      <c r="H98" s="4"/>
      <c r="I98" s="4"/>
      <c r="J98" s="4"/>
      <c r="K98" s="4"/>
    </row>
  </sheetData>
  <mergeCells count="12">
    <mergeCell ref="C1:E1"/>
    <mergeCell ref="F1:H1"/>
    <mergeCell ref="A78:A85"/>
    <mergeCell ref="A3:A11"/>
    <mergeCell ref="A12:A20"/>
    <mergeCell ref="A21:A29"/>
    <mergeCell ref="A30:A40"/>
    <mergeCell ref="A41:A51"/>
    <mergeCell ref="A52:A59"/>
    <mergeCell ref="A60:A64"/>
    <mergeCell ref="A65:A69"/>
    <mergeCell ref="A70:A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tabSelected="1" workbookViewId="0">
      <selection activeCell="O27" sqref="O27"/>
    </sheetView>
  </sheetViews>
  <sheetFormatPr defaultColWidth="9.140625" defaultRowHeight="15" x14ac:dyDescent="0.25"/>
  <cols>
    <col min="2" max="2" width="24.140625" bestFit="1" customWidth="1"/>
    <col min="10" max="10" width="14.42578125" bestFit="1" customWidth="1"/>
  </cols>
  <sheetData>
    <row r="1" spans="1:8" x14ac:dyDescent="0.25">
      <c r="C1" s="6" t="s">
        <v>20</v>
      </c>
      <c r="D1" s="6"/>
      <c r="E1" s="6"/>
      <c r="F1" s="6" t="s">
        <v>8</v>
      </c>
      <c r="G1" s="6"/>
      <c r="H1" s="6"/>
    </row>
    <row r="2" spans="1:8" x14ac:dyDescent="0.25">
      <c r="C2" t="s">
        <v>71</v>
      </c>
      <c r="D2" t="s">
        <v>72</v>
      </c>
      <c r="E2" t="s">
        <v>21</v>
      </c>
      <c r="F2" t="s">
        <v>71</v>
      </c>
      <c r="G2" t="s">
        <v>72</v>
      </c>
      <c r="H2" t="s">
        <v>21</v>
      </c>
    </row>
    <row r="3" spans="1:8" x14ac:dyDescent="0.25">
      <c r="A3" s="7" t="s">
        <v>63</v>
      </c>
      <c r="B3" t="s">
        <v>11</v>
      </c>
      <c r="C3" s="1">
        <v>9.2768444119795498E-2</v>
      </c>
      <c r="D3" s="1">
        <v>9.8612125639152698E-2</v>
      </c>
      <c r="E3">
        <v>1369</v>
      </c>
      <c r="F3" s="1">
        <v>0.113653136531365</v>
      </c>
      <c r="G3" s="1">
        <v>0.113653136531365</v>
      </c>
      <c r="H3" s="5">
        <v>1355</v>
      </c>
    </row>
    <row r="4" spans="1:8" x14ac:dyDescent="0.25">
      <c r="A4" s="7"/>
      <c r="B4" t="s">
        <v>12</v>
      </c>
      <c r="C4" s="1">
        <v>9.5791583166332697E-2</v>
      </c>
      <c r="D4" s="1">
        <v>0.101002004008016</v>
      </c>
      <c r="E4">
        <v>2495</v>
      </c>
      <c r="F4" s="1">
        <v>0.107454401268834</v>
      </c>
      <c r="G4" s="1">
        <v>0.10904044409199</v>
      </c>
      <c r="H4" s="5">
        <v>2522</v>
      </c>
    </row>
    <row r="5" spans="1:8" x14ac:dyDescent="0.25">
      <c r="A5" s="7"/>
      <c r="B5" t="s">
        <v>13</v>
      </c>
      <c r="C5" s="1">
        <v>9.6124328472755205E-2</v>
      </c>
      <c r="D5" s="1">
        <v>9.9386032233307803E-2</v>
      </c>
      <c r="E5">
        <v>5212</v>
      </c>
      <c r="F5" s="1">
        <v>8.7931590835753498E-2</v>
      </c>
      <c r="G5" s="1">
        <v>8.8738302678283296E-2</v>
      </c>
      <c r="H5" s="5">
        <v>6198</v>
      </c>
    </row>
    <row r="6" spans="1:8" x14ac:dyDescent="0.25">
      <c r="A6" s="7"/>
      <c r="B6" t="s">
        <v>14</v>
      </c>
      <c r="C6" s="1">
        <v>9.3019135364989403E-2</v>
      </c>
      <c r="D6" s="1">
        <v>9.5145287030474798E-2</v>
      </c>
      <c r="E6">
        <v>5644</v>
      </c>
      <c r="F6" s="1">
        <v>0.14305507447176999</v>
      </c>
      <c r="G6" s="1">
        <v>0.14513335642535499</v>
      </c>
      <c r="H6" s="5">
        <v>5774</v>
      </c>
    </row>
    <row r="7" spans="1:8" x14ac:dyDescent="0.25">
      <c r="A7" s="7"/>
      <c r="B7" t="s">
        <v>15</v>
      </c>
      <c r="C7" s="1">
        <v>0.112323612417686</v>
      </c>
      <c r="D7" s="1">
        <v>0.11608654750705601</v>
      </c>
      <c r="E7">
        <v>5315</v>
      </c>
      <c r="F7" s="1">
        <v>0.119408121128699</v>
      </c>
      <c r="G7" s="1">
        <v>0.12164487267722</v>
      </c>
      <c r="H7" s="5">
        <v>5812</v>
      </c>
    </row>
    <row r="8" spans="1:8" x14ac:dyDescent="0.25">
      <c r="A8" s="7"/>
      <c r="B8" t="s">
        <v>16</v>
      </c>
      <c r="C8" s="1">
        <v>9.7499023055881207E-2</v>
      </c>
      <c r="D8" s="1">
        <v>0.10042985541226999</v>
      </c>
      <c r="E8">
        <v>5118</v>
      </c>
      <c r="F8" s="1">
        <v>0.113603622144474</v>
      </c>
      <c r="G8" s="1">
        <v>0.116484873430747</v>
      </c>
      <c r="H8" s="5">
        <v>4859</v>
      </c>
    </row>
    <row r="9" spans="1:8" x14ac:dyDescent="0.25">
      <c r="A9" s="7"/>
      <c r="B9" t="s">
        <v>17</v>
      </c>
      <c r="C9" s="1">
        <v>9.1234723978086796E-2</v>
      </c>
      <c r="D9" s="1">
        <v>9.3131057732827704E-2</v>
      </c>
      <c r="E9">
        <v>4746</v>
      </c>
      <c r="F9" s="1">
        <v>0.10881634465911599</v>
      </c>
      <c r="G9" s="1">
        <v>0.111925383077948</v>
      </c>
      <c r="H9" s="5">
        <v>4503</v>
      </c>
    </row>
    <row r="10" spans="1:8" x14ac:dyDescent="0.25">
      <c r="A10" s="7"/>
      <c r="B10" t="s">
        <v>18</v>
      </c>
      <c r="C10" s="1">
        <v>8.34626659768926E-2</v>
      </c>
      <c r="D10" s="1">
        <v>8.5359544749094698E-2</v>
      </c>
      <c r="E10">
        <v>5799</v>
      </c>
      <c r="F10" s="1">
        <v>0.102668643439585</v>
      </c>
      <c r="G10" s="1">
        <v>0.10433654558932499</v>
      </c>
      <c r="H10" s="5">
        <v>5396</v>
      </c>
    </row>
    <row r="11" spans="1:8" x14ac:dyDescent="0.25">
      <c r="A11" s="7"/>
      <c r="B11" t="s">
        <v>19</v>
      </c>
      <c r="C11" s="1">
        <v>0.114060963618486</v>
      </c>
      <c r="D11" s="1">
        <v>0.117600786627335</v>
      </c>
      <c r="E11">
        <v>5085</v>
      </c>
      <c r="F11" s="1">
        <v>0.119684750733138</v>
      </c>
      <c r="G11" s="1">
        <v>0.12115102639296201</v>
      </c>
      <c r="H11" s="5">
        <v>5456</v>
      </c>
    </row>
    <row r="12" spans="1:8" x14ac:dyDescent="0.25">
      <c r="A12" s="7" t="s">
        <v>64</v>
      </c>
      <c r="B12" t="s">
        <v>22</v>
      </c>
      <c r="C12" s="1">
        <v>9.7122788058895002E-2</v>
      </c>
      <c r="D12" s="1">
        <v>9.9824395515331593E-2</v>
      </c>
      <c r="E12">
        <v>7403</v>
      </c>
      <c r="F12" s="1">
        <v>0.138810955243821</v>
      </c>
      <c r="G12" s="1">
        <v>0.142150968603874</v>
      </c>
      <c r="H12" s="5">
        <v>7485</v>
      </c>
    </row>
    <row r="13" spans="1:8" x14ac:dyDescent="0.25">
      <c r="A13" s="7"/>
      <c r="B13" t="s">
        <v>23</v>
      </c>
      <c r="C13" s="1">
        <v>7.85912277841187E-2</v>
      </c>
      <c r="D13" s="1">
        <v>8.0547855861731604E-2</v>
      </c>
      <c r="E13">
        <v>6133</v>
      </c>
      <c r="F13" s="1">
        <v>9.5705156784069004E-2</v>
      </c>
      <c r="G13" s="1">
        <v>9.6596819735473294E-2</v>
      </c>
      <c r="H13" s="5">
        <v>6729</v>
      </c>
    </row>
    <row r="14" spans="1:8" x14ac:dyDescent="0.25">
      <c r="A14" s="7"/>
      <c r="B14" t="s">
        <v>24</v>
      </c>
      <c r="C14" s="1">
        <v>9.0606123724224094E-2</v>
      </c>
      <c r="D14" s="1">
        <v>9.3730472818162894E-2</v>
      </c>
      <c r="E14">
        <v>4801</v>
      </c>
      <c r="F14" s="1">
        <v>0.10879966715207</v>
      </c>
      <c r="G14" s="1">
        <v>0.110671936758893</v>
      </c>
      <c r="H14" s="5">
        <v>4807</v>
      </c>
    </row>
    <row r="15" spans="1:8" x14ac:dyDescent="0.25">
      <c r="A15" s="7"/>
      <c r="B15" t="s">
        <v>25</v>
      </c>
      <c r="C15" s="1">
        <v>8.5042793098763794E-2</v>
      </c>
      <c r="D15" s="1">
        <v>8.7352261920934704E-2</v>
      </c>
      <c r="E15">
        <v>7361</v>
      </c>
      <c r="F15" s="1">
        <v>0.104750625082248</v>
      </c>
      <c r="G15" s="1">
        <v>0.106198183971575</v>
      </c>
      <c r="H15" s="5">
        <v>7599</v>
      </c>
    </row>
    <row r="16" spans="1:8" x14ac:dyDescent="0.25">
      <c r="A16" s="7"/>
      <c r="B16" t="s">
        <v>26</v>
      </c>
      <c r="C16" s="1">
        <v>9.1487532244196104E-2</v>
      </c>
      <c r="D16" s="1">
        <v>9.3551160791057603E-2</v>
      </c>
      <c r="E16">
        <v>5815</v>
      </c>
      <c r="F16" s="1">
        <v>0.123479887745557</v>
      </c>
      <c r="G16" s="1">
        <v>0.12703461178671699</v>
      </c>
      <c r="H16" s="5">
        <v>5345</v>
      </c>
    </row>
    <row r="17" spans="1:8" x14ac:dyDescent="0.25">
      <c r="A17" s="7"/>
      <c r="B17" t="s">
        <v>27</v>
      </c>
      <c r="C17" s="1">
        <v>8.81298358180789E-2</v>
      </c>
      <c r="D17" s="1">
        <v>9.1715418003396901E-2</v>
      </c>
      <c r="E17">
        <v>5299</v>
      </c>
      <c r="F17" s="1">
        <v>0.13340870548332401</v>
      </c>
      <c r="G17" s="1">
        <v>0.136046730732994</v>
      </c>
      <c r="H17" s="5">
        <v>5307</v>
      </c>
    </row>
    <row r="18" spans="1:8" x14ac:dyDescent="0.25">
      <c r="A18" s="7"/>
      <c r="B18" t="s">
        <v>28</v>
      </c>
      <c r="C18" s="1">
        <v>9.1723241369348604E-2</v>
      </c>
      <c r="D18" s="1">
        <v>9.4034378159757306E-2</v>
      </c>
      <c r="E18">
        <v>6923</v>
      </c>
      <c r="F18" s="1">
        <v>9.7467608951707904E-2</v>
      </c>
      <c r="G18" s="1">
        <v>9.8498233215547695E-2</v>
      </c>
      <c r="H18" s="5">
        <v>6792</v>
      </c>
    </row>
    <row r="19" spans="1:8" x14ac:dyDescent="0.25">
      <c r="A19" s="7"/>
      <c r="B19" t="s">
        <v>29</v>
      </c>
      <c r="C19" s="1">
        <v>9.1368788142981702E-2</v>
      </c>
      <c r="D19" s="1">
        <v>9.4333042720139496E-2</v>
      </c>
      <c r="E19">
        <v>5735</v>
      </c>
      <c r="F19" s="1">
        <v>0.103964607793092</v>
      </c>
      <c r="G19" s="1">
        <v>0.10498553683852301</v>
      </c>
      <c r="H19" s="5">
        <v>5877</v>
      </c>
    </row>
    <row r="20" spans="1:8" x14ac:dyDescent="0.25">
      <c r="A20" s="7"/>
      <c r="B20" t="s">
        <v>30</v>
      </c>
      <c r="C20" s="1">
        <v>8.7169111448322401E-2</v>
      </c>
      <c r="D20" s="1">
        <v>9.1215646602596498E-2</v>
      </c>
      <c r="E20">
        <v>5931</v>
      </c>
      <c r="F20" s="1">
        <v>0.11087756174461399</v>
      </c>
      <c r="G20" s="1">
        <v>0.112804344018217</v>
      </c>
      <c r="H20" s="5">
        <v>5709</v>
      </c>
    </row>
    <row r="21" spans="1:8" x14ac:dyDescent="0.25">
      <c r="A21" s="7" t="s">
        <v>65</v>
      </c>
      <c r="B21" t="s">
        <v>22</v>
      </c>
      <c r="C21" s="1">
        <v>9.7122788058895002E-2</v>
      </c>
      <c r="D21" s="1">
        <v>9.9824395515331593E-2</v>
      </c>
      <c r="E21">
        <v>7403</v>
      </c>
      <c r="F21" s="1">
        <v>0.138810955243821</v>
      </c>
      <c r="G21" s="1">
        <v>0.142150968603874</v>
      </c>
      <c r="H21" s="5">
        <v>7485</v>
      </c>
    </row>
    <row r="22" spans="1:8" x14ac:dyDescent="0.25">
      <c r="A22" s="7"/>
      <c r="B22" t="s">
        <v>23</v>
      </c>
      <c r="C22" s="1">
        <v>7.85912277841187E-2</v>
      </c>
      <c r="D22" s="1">
        <v>8.0547855861731604E-2</v>
      </c>
      <c r="E22">
        <v>6133</v>
      </c>
      <c r="F22" s="1">
        <v>9.5705156784069004E-2</v>
      </c>
      <c r="G22" s="1">
        <v>9.6596819735473294E-2</v>
      </c>
      <c r="H22" s="5">
        <v>6729</v>
      </c>
    </row>
    <row r="23" spans="1:8" x14ac:dyDescent="0.25">
      <c r="A23" s="7"/>
      <c r="B23" t="s">
        <v>24</v>
      </c>
      <c r="C23" s="1">
        <v>9.0606123724224094E-2</v>
      </c>
      <c r="D23" s="1">
        <v>9.3730472818162894E-2</v>
      </c>
      <c r="E23">
        <v>4801</v>
      </c>
      <c r="F23" s="1">
        <v>0.10879966715207</v>
      </c>
      <c r="G23" s="1">
        <v>0.110671936758893</v>
      </c>
      <c r="H23" s="5">
        <v>4807</v>
      </c>
    </row>
    <row r="24" spans="1:8" x14ac:dyDescent="0.25">
      <c r="A24" s="7"/>
      <c r="B24" t="s">
        <v>25</v>
      </c>
      <c r="C24" s="1">
        <v>8.5042793098763794E-2</v>
      </c>
      <c r="D24" s="1">
        <v>8.7352261920934704E-2</v>
      </c>
      <c r="E24">
        <v>7361</v>
      </c>
      <c r="F24" s="1">
        <v>0.104750625082248</v>
      </c>
      <c r="G24" s="1">
        <v>0.106198183971575</v>
      </c>
      <c r="H24" s="5">
        <v>7599</v>
      </c>
    </row>
    <row r="25" spans="1:8" x14ac:dyDescent="0.25">
      <c r="A25" s="7"/>
      <c r="B25" t="s">
        <v>26</v>
      </c>
      <c r="C25" s="1">
        <v>9.1487532244196104E-2</v>
      </c>
      <c r="D25" s="1">
        <v>9.3551160791057603E-2</v>
      </c>
      <c r="E25">
        <v>5815</v>
      </c>
      <c r="F25" s="1">
        <v>0.123479887745557</v>
      </c>
      <c r="G25" s="1">
        <v>0.12703461178671699</v>
      </c>
      <c r="H25" s="5">
        <v>5345</v>
      </c>
    </row>
    <row r="26" spans="1:8" x14ac:dyDescent="0.25">
      <c r="A26" s="7"/>
      <c r="B26" t="s">
        <v>27</v>
      </c>
      <c r="C26" s="1">
        <v>8.81298358180789E-2</v>
      </c>
      <c r="D26" s="1">
        <v>9.1715418003396901E-2</v>
      </c>
      <c r="E26">
        <v>5299</v>
      </c>
      <c r="F26" s="1">
        <v>0.13340870548332401</v>
      </c>
      <c r="G26" s="1">
        <v>0.136046730732994</v>
      </c>
      <c r="H26" s="5">
        <v>5307</v>
      </c>
    </row>
    <row r="27" spans="1:8" x14ac:dyDescent="0.25">
      <c r="A27" s="7"/>
      <c r="B27" t="s">
        <v>28</v>
      </c>
      <c r="C27" s="1">
        <v>9.1723241369348604E-2</v>
      </c>
      <c r="D27" s="1">
        <v>9.4034378159757306E-2</v>
      </c>
      <c r="E27">
        <v>6923</v>
      </c>
      <c r="F27" s="1">
        <v>9.7467608951707904E-2</v>
      </c>
      <c r="G27" s="1">
        <v>9.8498233215547695E-2</v>
      </c>
      <c r="H27" s="5">
        <v>6792</v>
      </c>
    </row>
    <row r="28" spans="1:8" x14ac:dyDescent="0.25">
      <c r="A28" s="7"/>
      <c r="B28" t="s">
        <v>29</v>
      </c>
      <c r="C28" s="1">
        <v>9.1368788142981702E-2</v>
      </c>
      <c r="D28" s="1">
        <v>9.4333042720139496E-2</v>
      </c>
      <c r="E28">
        <v>5735</v>
      </c>
      <c r="F28" s="1">
        <v>0.103964607793092</v>
      </c>
      <c r="G28" s="1">
        <v>0.10498553683852301</v>
      </c>
      <c r="H28" s="5">
        <v>5877</v>
      </c>
    </row>
    <row r="29" spans="1:8" x14ac:dyDescent="0.25">
      <c r="A29" s="7"/>
      <c r="B29" t="s">
        <v>30</v>
      </c>
      <c r="C29" s="1">
        <v>8.7169111448322401E-2</v>
      </c>
      <c r="D29" s="1">
        <v>9.1215646602596498E-2</v>
      </c>
      <c r="E29">
        <v>5931</v>
      </c>
      <c r="F29" s="1">
        <v>0.11087756174461399</v>
      </c>
      <c r="G29" s="1">
        <v>0.112804344018217</v>
      </c>
      <c r="H29" s="5">
        <v>5709</v>
      </c>
    </row>
    <row r="30" spans="1:8" x14ac:dyDescent="0.25">
      <c r="A30" s="7" t="s">
        <v>0</v>
      </c>
      <c r="B30" t="s">
        <v>31</v>
      </c>
      <c r="C30" s="1">
        <v>9.0492764242535301E-2</v>
      </c>
      <c r="D30" s="1">
        <v>9.5072357574647395E-2</v>
      </c>
      <c r="E30">
        <v>5459</v>
      </c>
      <c r="F30" s="1">
        <v>0.12629870129870099</v>
      </c>
      <c r="G30" s="1">
        <v>0.12873376623376601</v>
      </c>
      <c r="H30" s="5">
        <v>6160</v>
      </c>
    </row>
    <row r="31" spans="1:8" x14ac:dyDescent="0.25">
      <c r="A31" s="7"/>
      <c r="B31" t="s">
        <v>32</v>
      </c>
      <c r="C31" s="1">
        <v>8.6033731286715903E-2</v>
      </c>
      <c r="D31" s="1">
        <v>8.8686753837407595E-2</v>
      </c>
      <c r="E31">
        <v>5277</v>
      </c>
      <c r="F31" s="1">
        <v>0.127521008403361</v>
      </c>
      <c r="G31" s="1">
        <v>0.130252100840336</v>
      </c>
      <c r="H31" s="5">
        <v>4760</v>
      </c>
    </row>
    <row r="32" spans="1:8" x14ac:dyDescent="0.25">
      <c r="A32" s="7"/>
      <c r="B32" t="s">
        <v>33</v>
      </c>
      <c r="C32" s="1">
        <v>9.5504767670652302E-2</v>
      </c>
      <c r="D32" s="1">
        <v>9.86832147722113E-2</v>
      </c>
      <c r="E32">
        <v>6607</v>
      </c>
      <c r="F32" s="1">
        <v>0.14339170782816901</v>
      </c>
      <c r="G32" s="1">
        <v>0.14608591528214299</v>
      </c>
      <c r="H32" s="5">
        <v>6681</v>
      </c>
    </row>
    <row r="33" spans="1:8" x14ac:dyDescent="0.25">
      <c r="A33" s="7"/>
      <c r="B33" t="s">
        <v>34</v>
      </c>
      <c r="C33" s="1">
        <v>9.3034703421117401E-2</v>
      </c>
      <c r="D33" s="1">
        <v>9.5249815407334501E-2</v>
      </c>
      <c r="E33">
        <v>4063</v>
      </c>
      <c r="F33" s="1">
        <v>0.100760456273764</v>
      </c>
      <c r="G33" s="1">
        <v>0.100998098859316</v>
      </c>
      <c r="H33" s="5">
        <v>4208</v>
      </c>
    </row>
    <row r="34" spans="1:8" x14ac:dyDescent="0.25">
      <c r="A34" s="7"/>
      <c r="B34" t="s">
        <v>35</v>
      </c>
      <c r="C34" s="1">
        <v>8.8756536897152793E-2</v>
      </c>
      <c r="D34" s="1">
        <v>9.0935502614758898E-2</v>
      </c>
      <c r="E34">
        <v>6884</v>
      </c>
      <c r="F34" s="1">
        <v>9.6807567248004697E-2</v>
      </c>
      <c r="G34" s="1">
        <v>9.7694354123558994E-2</v>
      </c>
      <c r="H34" s="5">
        <v>6766</v>
      </c>
    </row>
    <row r="35" spans="1:8" x14ac:dyDescent="0.25">
      <c r="A35" s="7"/>
      <c r="B35" t="s">
        <v>36</v>
      </c>
      <c r="C35" s="1">
        <v>9.2949783837712005E-2</v>
      </c>
      <c r="D35" s="1">
        <v>9.5443964083804497E-2</v>
      </c>
      <c r="E35">
        <v>6014</v>
      </c>
      <c r="F35" s="1">
        <v>0.113721804511278</v>
      </c>
      <c r="G35" s="1">
        <v>0.116541353383459</v>
      </c>
      <c r="H35" s="5">
        <v>5320</v>
      </c>
    </row>
    <row r="36" spans="1:8" x14ac:dyDescent="0.25">
      <c r="A36" s="7"/>
      <c r="B36" t="s">
        <v>37</v>
      </c>
      <c r="C36" s="1">
        <v>9.99008919722498E-2</v>
      </c>
      <c r="D36" s="1">
        <v>0.102874132804757</v>
      </c>
      <c r="E36">
        <v>5045</v>
      </c>
      <c r="F36" s="1">
        <v>0.106757912745937</v>
      </c>
      <c r="G36" s="1">
        <v>0.107955517536356</v>
      </c>
      <c r="H36" s="5">
        <v>5845</v>
      </c>
    </row>
    <row r="37" spans="1:8" x14ac:dyDescent="0.25">
      <c r="A37" s="7"/>
      <c r="B37" t="s">
        <v>38</v>
      </c>
      <c r="C37" s="1">
        <v>8.8428665351742305E-2</v>
      </c>
      <c r="D37" s="1">
        <v>9.1880341880341901E-2</v>
      </c>
      <c r="E37">
        <v>6084</v>
      </c>
      <c r="F37" s="1">
        <v>0.112216404886562</v>
      </c>
      <c r="G37" s="1">
        <v>0.114310645724258</v>
      </c>
      <c r="H37" s="5">
        <v>5730</v>
      </c>
    </row>
    <row r="38" spans="1:8" x14ac:dyDescent="0.25">
      <c r="A38" s="7"/>
      <c r="B38" t="s">
        <v>39</v>
      </c>
      <c r="C38" s="1">
        <v>9.5248380129589597E-2</v>
      </c>
      <c r="D38" s="1">
        <v>9.8920086393088594E-2</v>
      </c>
      <c r="E38">
        <v>4630</v>
      </c>
      <c r="F38" s="1">
        <v>0.14059295170613501</v>
      </c>
      <c r="G38" s="1">
        <v>0.14581391012493</v>
      </c>
      <c r="H38" s="5">
        <v>5363</v>
      </c>
    </row>
    <row r="39" spans="1:8" x14ac:dyDescent="0.25">
      <c r="A39" s="7"/>
      <c r="B39" t="s">
        <v>40</v>
      </c>
      <c r="C39" s="1">
        <v>8.7301587301587297E-2</v>
      </c>
      <c r="D39" s="1">
        <v>9.0652557319224003E-2</v>
      </c>
      <c r="E39">
        <v>5670</v>
      </c>
      <c r="F39" s="1">
        <v>9.7121111846459302E-2</v>
      </c>
      <c r="G39" s="1">
        <v>9.8610191925876903E-2</v>
      </c>
      <c r="H39" s="5">
        <v>6044</v>
      </c>
    </row>
    <row r="40" spans="1:8" x14ac:dyDescent="0.25">
      <c r="A40" s="7"/>
      <c r="B40" t="s">
        <v>41</v>
      </c>
      <c r="C40" s="1">
        <v>0.103486354314561</v>
      </c>
      <c r="D40" s="1">
        <v>0.108218961981385</v>
      </c>
      <c r="E40">
        <v>6339</v>
      </c>
      <c r="F40" s="1">
        <v>9.9202320522117499E-2</v>
      </c>
      <c r="G40" s="1">
        <v>9.9927483683828894E-2</v>
      </c>
      <c r="H40" s="5">
        <v>6895</v>
      </c>
    </row>
    <row r="41" spans="1:8" x14ac:dyDescent="0.25">
      <c r="A41" s="7" t="s">
        <v>1</v>
      </c>
      <c r="B41" t="s">
        <v>31</v>
      </c>
      <c r="C41" s="1">
        <v>9.0492764242535301E-2</v>
      </c>
      <c r="D41" s="1">
        <v>9.5072357574647395E-2</v>
      </c>
      <c r="E41">
        <v>5459</v>
      </c>
      <c r="F41" s="1">
        <v>0.12629870129870099</v>
      </c>
      <c r="G41" s="1">
        <v>0.12873376623376601</v>
      </c>
      <c r="H41" s="5">
        <v>6160</v>
      </c>
    </row>
    <row r="42" spans="1:8" x14ac:dyDescent="0.25">
      <c r="A42" s="7"/>
      <c r="B42" t="s">
        <v>32</v>
      </c>
      <c r="C42" s="1">
        <v>8.6033731286715903E-2</v>
      </c>
      <c r="D42" s="1">
        <v>8.8686753837407595E-2</v>
      </c>
      <c r="E42">
        <v>5277</v>
      </c>
      <c r="F42" s="1">
        <v>0.127521008403361</v>
      </c>
      <c r="G42" s="1">
        <v>0.130252100840336</v>
      </c>
      <c r="H42" s="5">
        <v>4760</v>
      </c>
    </row>
    <row r="43" spans="1:8" x14ac:dyDescent="0.25">
      <c r="A43" s="7"/>
      <c r="B43" t="s">
        <v>33</v>
      </c>
      <c r="C43" s="1">
        <v>9.5504767670652302E-2</v>
      </c>
      <c r="D43" s="1">
        <v>9.86832147722113E-2</v>
      </c>
      <c r="E43">
        <v>6607</v>
      </c>
      <c r="F43" s="1">
        <v>0.14339170782816901</v>
      </c>
      <c r="G43" s="1">
        <v>0.14608591528214299</v>
      </c>
      <c r="H43" s="5">
        <v>6681</v>
      </c>
    </row>
    <row r="44" spans="1:8" x14ac:dyDescent="0.25">
      <c r="A44" s="7"/>
      <c r="B44" t="s">
        <v>34</v>
      </c>
      <c r="C44" s="1">
        <v>9.3034703421117401E-2</v>
      </c>
      <c r="D44" s="1">
        <v>9.5249815407334501E-2</v>
      </c>
      <c r="E44">
        <v>4063</v>
      </c>
      <c r="F44" s="1">
        <v>0.100760456273764</v>
      </c>
      <c r="G44" s="1">
        <v>0.100998098859316</v>
      </c>
      <c r="H44" s="5">
        <v>4208</v>
      </c>
    </row>
    <row r="45" spans="1:8" x14ac:dyDescent="0.25">
      <c r="A45" s="7"/>
      <c r="B45" t="s">
        <v>35</v>
      </c>
      <c r="C45" s="1">
        <v>8.8756536897152793E-2</v>
      </c>
      <c r="D45" s="1">
        <v>9.0935502614758898E-2</v>
      </c>
      <c r="E45">
        <v>6884</v>
      </c>
      <c r="F45" s="1">
        <v>9.6807567248004697E-2</v>
      </c>
      <c r="G45" s="1">
        <v>9.7694354123558994E-2</v>
      </c>
      <c r="H45" s="5">
        <v>6766</v>
      </c>
    </row>
    <row r="46" spans="1:8" x14ac:dyDescent="0.25">
      <c r="A46" s="7"/>
      <c r="B46" t="s">
        <v>36</v>
      </c>
      <c r="C46" s="1">
        <v>9.2949783837712005E-2</v>
      </c>
      <c r="D46" s="1">
        <v>9.5443964083804497E-2</v>
      </c>
      <c r="E46">
        <v>6014</v>
      </c>
      <c r="F46" s="1">
        <v>0.113721804511278</v>
      </c>
      <c r="G46" s="1">
        <v>0.116541353383459</v>
      </c>
      <c r="H46" s="5">
        <v>5320</v>
      </c>
    </row>
    <row r="47" spans="1:8" x14ac:dyDescent="0.25">
      <c r="A47" s="7"/>
      <c r="B47" t="s">
        <v>37</v>
      </c>
      <c r="C47" s="1">
        <v>9.99008919722498E-2</v>
      </c>
      <c r="D47" s="1">
        <v>0.102874132804757</v>
      </c>
      <c r="E47">
        <v>5045</v>
      </c>
      <c r="F47" s="1">
        <v>0.106757912745937</v>
      </c>
      <c r="G47" s="1">
        <v>0.107955517536356</v>
      </c>
      <c r="H47" s="5">
        <v>5845</v>
      </c>
    </row>
    <row r="48" spans="1:8" x14ac:dyDescent="0.25">
      <c r="A48" s="7"/>
      <c r="B48" t="s">
        <v>38</v>
      </c>
      <c r="C48" s="1">
        <v>8.8428665351742305E-2</v>
      </c>
      <c r="D48" s="1">
        <v>9.1880341880341901E-2</v>
      </c>
      <c r="E48">
        <v>6084</v>
      </c>
      <c r="F48" s="1">
        <v>0.112216404886562</v>
      </c>
      <c r="G48" s="1">
        <v>0.114310645724258</v>
      </c>
      <c r="H48" s="5">
        <v>5730</v>
      </c>
    </row>
    <row r="49" spans="1:8" x14ac:dyDescent="0.25">
      <c r="A49" s="7"/>
      <c r="B49" t="s">
        <v>39</v>
      </c>
      <c r="C49" s="1">
        <v>9.5248380129589597E-2</v>
      </c>
      <c r="D49" s="1">
        <v>9.8920086393088594E-2</v>
      </c>
      <c r="E49">
        <v>4630</v>
      </c>
      <c r="F49" s="1">
        <v>0.14059295170613501</v>
      </c>
      <c r="G49" s="1">
        <v>0.14581391012493</v>
      </c>
      <c r="H49" s="5">
        <v>5363</v>
      </c>
    </row>
    <row r="50" spans="1:8" x14ac:dyDescent="0.25">
      <c r="A50" s="7"/>
      <c r="B50" t="s">
        <v>40</v>
      </c>
      <c r="C50" s="1">
        <v>8.7301587301587297E-2</v>
      </c>
      <c r="D50" s="1">
        <v>9.0652557319224003E-2</v>
      </c>
      <c r="E50">
        <v>5670</v>
      </c>
      <c r="F50" s="1">
        <v>9.7121111846459302E-2</v>
      </c>
      <c r="G50" s="1">
        <v>9.8610191925876903E-2</v>
      </c>
      <c r="H50" s="5">
        <v>6044</v>
      </c>
    </row>
    <row r="51" spans="1:8" x14ac:dyDescent="0.25">
      <c r="A51" s="7"/>
      <c r="B51" t="s">
        <v>41</v>
      </c>
      <c r="C51" s="1">
        <v>0.103486354314561</v>
      </c>
      <c r="D51" s="1">
        <v>0.108218961981385</v>
      </c>
      <c r="E51">
        <v>6339</v>
      </c>
      <c r="F51" s="1">
        <v>9.9202320522117499E-2</v>
      </c>
      <c r="G51" s="1">
        <v>9.9927483683828894E-2</v>
      </c>
      <c r="H51" s="5">
        <v>6895</v>
      </c>
    </row>
    <row r="52" spans="1:8" x14ac:dyDescent="0.25">
      <c r="A52" s="7" t="s">
        <v>66</v>
      </c>
      <c r="B52" t="s">
        <v>42</v>
      </c>
      <c r="C52" s="1">
        <v>6.42924676961866E-2</v>
      </c>
      <c r="D52" s="1">
        <v>6.4765206429246797E-2</v>
      </c>
      <c r="E52">
        <v>6346</v>
      </c>
      <c r="F52" s="1">
        <v>0.10856953422840999</v>
      </c>
      <c r="G52" s="1">
        <v>0.11105585943974799</v>
      </c>
      <c r="H52" s="5">
        <v>6033</v>
      </c>
    </row>
    <row r="53" spans="1:8" x14ac:dyDescent="0.25">
      <c r="A53" s="7"/>
      <c r="B53" t="s">
        <v>43</v>
      </c>
      <c r="C53" s="1">
        <v>7.28452939055175E-2</v>
      </c>
      <c r="D53" s="1">
        <v>7.4648395239812496E-2</v>
      </c>
      <c r="E53">
        <v>5546</v>
      </c>
      <c r="F53" s="1">
        <v>0.109267201193362</v>
      </c>
      <c r="G53" s="1">
        <v>0.109826589595376</v>
      </c>
      <c r="H53" s="5">
        <v>5363</v>
      </c>
    </row>
    <row r="54" spans="1:8" x14ac:dyDescent="0.25">
      <c r="A54" s="7"/>
      <c r="B54" t="s">
        <v>44</v>
      </c>
      <c r="C54" s="1">
        <v>7.7588824779836002E-2</v>
      </c>
      <c r="D54" s="1">
        <v>8.0929243850592206E-2</v>
      </c>
      <c r="E54">
        <v>6586</v>
      </c>
      <c r="F54" s="1">
        <v>9.4019551466359999E-2</v>
      </c>
      <c r="G54" s="1">
        <v>9.4882116158711893E-2</v>
      </c>
      <c r="H54" s="5">
        <v>6956</v>
      </c>
    </row>
    <row r="55" spans="1:8" x14ac:dyDescent="0.25">
      <c r="A55" s="7"/>
      <c r="B55" t="s">
        <v>45</v>
      </c>
      <c r="C55" s="1">
        <v>6.6842991103630706E-2</v>
      </c>
      <c r="D55" s="1">
        <v>6.8766530415965393E-2</v>
      </c>
      <c r="E55">
        <v>8318</v>
      </c>
      <c r="F55" s="1">
        <v>9.0680766688697997E-2</v>
      </c>
      <c r="G55" s="1">
        <v>9.1870456047587604E-2</v>
      </c>
      <c r="H55" s="5">
        <v>7565</v>
      </c>
    </row>
    <row r="56" spans="1:8" x14ac:dyDescent="0.25">
      <c r="A56" s="7"/>
      <c r="B56" t="s">
        <v>46</v>
      </c>
      <c r="C56" s="1">
        <v>7.2866730584851394E-2</v>
      </c>
      <c r="D56" s="1">
        <v>7.35858101629914E-2</v>
      </c>
      <c r="E56">
        <v>4172</v>
      </c>
      <c r="F56" s="1">
        <v>0.111845210004719</v>
      </c>
      <c r="G56" s="1">
        <v>0.11326097215667801</v>
      </c>
      <c r="H56" s="5">
        <v>4238</v>
      </c>
    </row>
    <row r="57" spans="1:8" x14ac:dyDescent="0.25">
      <c r="A57" s="7"/>
      <c r="B57" t="s">
        <v>47</v>
      </c>
      <c r="C57" s="1">
        <v>8.0241708825182695E-2</v>
      </c>
      <c r="D57" s="1">
        <v>8.1787521079258005E-2</v>
      </c>
      <c r="E57">
        <v>7116</v>
      </c>
      <c r="F57" s="1">
        <v>0.103892581038926</v>
      </c>
      <c r="G57" s="1">
        <v>0.10511325105113301</v>
      </c>
      <c r="H57" s="5">
        <v>7373</v>
      </c>
    </row>
    <row r="58" spans="1:8" x14ac:dyDescent="0.25">
      <c r="A58" s="7"/>
      <c r="B58" t="s">
        <v>48</v>
      </c>
      <c r="C58" s="1">
        <v>7.0626003210272903E-2</v>
      </c>
      <c r="D58" s="1">
        <v>7.1243363378194799E-2</v>
      </c>
      <c r="E58">
        <v>8099</v>
      </c>
      <c r="F58" s="1">
        <v>0.11132364192808</v>
      </c>
      <c r="G58" s="1">
        <v>0.113363937770977</v>
      </c>
      <c r="H58" s="5">
        <v>7842</v>
      </c>
    </row>
    <row r="59" spans="1:8" x14ac:dyDescent="0.25">
      <c r="A59" s="7"/>
      <c r="B59" t="s">
        <v>49</v>
      </c>
      <c r="C59" s="1">
        <v>3.8740491774279101E-2</v>
      </c>
      <c r="D59" s="1">
        <v>3.9448080665133597E-2</v>
      </c>
      <c r="E59">
        <v>5653</v>
      </c>
      <c r="F59" s="1">
        <v>8.5965483555845004E-2</v>
      </c>
      <c r="G59" s="1">
        <v>8.6779550634972294E-2</v>
      </c>
      <c r="H59" s="5">
        <v>6142</v>
      </c>
    </row>
    <row r="60" spans="1:8" x14ac:dyDescent="0.25">
      <c r="A60" s="7" t="s">
        <v>67</v>
      </c>
      <c r="B60" t="s">
        <v>50</v>
      </c>
      <c r="C60" s="1">
        <v>6.7726947819871305E-2</v>
      </c>
      <c r="D60" s="1">
        <v>6.8799142244460307E-2</v>
      </c>
      <c r="E60">
        <v>5596</v>
      </c>
      <c r="F60" s="1">
        <v>0.10957501280081899</v>
      </c>
      <c r="G60" s="1">
        <v>0.111452466291176</v>
      </c>
      <c r="H60" s="5">
        <v>5859</v>
      </c>
    </row>
    <row r="61" spans="1:8" x14ac:dyDescent="0.25">
      <c r="A61" s="7"/>
      <c r="B61" t="s">
        <v>51</v>
      </c>
      <c r="C61" s="1">
        <v>5.7911065149948301E-2</v>
      </c>
      <c r="D61" s="1">
        <v>5.9462254395036197E-2</v>
      </c>
      <c r="E61">
        <v>5802</v>
      </c>
      <c r="F61" s="1">
        <v>9.8384728340675506E-2</v>
      </c>
      <c r="G61" s="1">
        <v>0.100668950889215</v>
      </c>
      <c r="H61" s="5">
        <v>6129</v>
      </c>
    </row>
    <row r="62" spans="1:8" x14ac:dyDescent="0.25">
      <c r="A62" s="7"/>
      <c r="B62" t="s">
        <v>52</v>
      </c>
      <c r="C62" s="1">
        <v>5.5048661800486599E-2</v>
      </c>
      <c r="D62" s="1">
        <v>5.5352798053528003E-2</v>
      </c>
      <c r="E62">
        <v>3288</v>
      </c>
      <c r="F62" s="1">
        <v>8.4973445798188094E-2</v>
      </c>
      <c r="G62" s="1">
        <v>8.5598250546704197E-2</v>
      </c>
      <c r="H62" s="5">
        <v>3201</v>
      </c>
    </row>
    <row r="63" spans="1:8" x14ac:dyDescent="0.25">
      <c r="A63" s="7"/>
      <c r="B63" t="s">
        <v>53</v>
      </c>
      <c r="C63" s="1">
        <v>7.6651982378854594E-2</v>
      </c>
      <c r="D63" s="1">
        <v>8.1057268722467005E-2</v>
      </c>
      <c r="E63">
        <v>3405</v>
      </c>
      <c r="F63" s="1">
        <v>9.3427982596748296E-2</v>
      </c>
      <c r="G63" s="1">
        <v>9.5946874284405806E-2</v>
      </c>
      <c r="H63" s="5">
        <v>4367</v>
      </c>
    </row>
    <row r="64" spans="1:8" x14ac:dyDescent="0.25">
      <c r="A64" s="7"/>
      <c r="B64" t="s">
        <v>54</v>
      </c>
      <c r="C64" s="1">
        <v>8.1297781092671995E-2</v>
      </c>
      <c r="D64" s="1">
        <v>8.3162409099384701E-2</v>
      </c>
      <c r="E64">
        <v>5363</v>
      </c>
      <c r="F64" s="1">
        <v>0.104448398576512</v>
      </c>
      <c r="G64" s="1">
        <v>0.106761565836299</v>
      </c>
      <c r="H64" s="5">
        <v>5620</v>
      </c>
    </row>
    <row r="65" spans="1:8" x14ac:dyDescent="0.25">
      <c r="A65" s="7" t="s">
        <v>68</v>
      </c>
      <c r="B65" t="s">
        <v>50</v>
      </c>
      <c r="C65" s="1">
        <v>6.7726947819871305E-2</v>
      </c>
      <c r="D65" s="1">
        <v>6.8799142244460307E-2</v>
      </c>
      <c r="E65">
        <v>5596</v>
      </c>
      <c r="F65" s="1">
        <v>0.10957501280081899</v>
      </c>
      <c r="G65" s="1">
        <v>0.111452466291176</v>
      </c>
      <c r="H65" s="5">
        <v>5859</v>
      </c>
    </row>
    <row r="66" spans="1:8" x14ac:dyDescent="0.25">
      <c r="A66" s="7"/>
      <c r="B66" t="s">
        <v>51</v>
      </c>
      <c r="C66" s="1">
        <v>5.7911065149948301E-2</v>
      </c>
      <c r="D66" s="1">
        <v>5.9462254395036197E-2</v>
      </c>
      <c r="E66">
        <v>5802</v>
      </c>
      <c r="F66" s="1">
        <v>9.8384728340675506E-2</v>
      </c>
      <c r="G66" s="1">
        <v>0.100668950889215</v>
      </c>
      <c r="H66" s="5">
        <v>6129</v>
      </c>
    </row>
    <row r="67" spans="1:8" x14ac:dyDescent="0.25">
      <c r="A67" s="7"/>
      <c r="B67" t="s">
        <v>52</v>
      </c>
      <c r="C67" s="1">
        <v>5.5048661800486599E-2</v>
      </c>
      <c r="D67" s="1">
        <v>5.5352798053528003E-2</v>
      </c>
      <c r="E67">
        <v>3288</v>
      </c>
      <c r="F67" s="1">
        <v>8.4973445798188094E-2</v>
      </c>
      <c r="G67" s="1">
        <v>8.5598250546704197E-2</v>
      </c>
      <c r="H67" s="5">
        <v>3201</v>
      </c>
    </row>
    <row r="68" spans="1:8" x14ac:dyDescent="0.25">
      <c r="A68" s="7"/>
      <c r="B68" t="s">
        <v>53</v>
      </c>
      <c r="C68" s="1">
        <v>7.6651982378854594E-2</v>
      </c>
      <c r="D68" s="1">
        <v>8.1057268722467005E-2</v>
      </c>
      <c r="E68">
        <v>3405</v>
      </c>
      <c r="F68" s="1">
        <v>9.3427982596748296E-2</v>
      </c>
      <c r="G68" s="1">
        <v>9.5946874284405806E-2</v>
      </c>
      <c r="H68" s="5">
        <v>4367</v>
      </c>
    </row>
    <row r="69" spans="1:8" x14ac:dyDescent="0.25">
      <c r="A69" s="7"/>
      <c r="B69" t="s">
        <v>54</v>
      </c>
      <c r="C69" s="1">
        <v>8.1297781092671995E-2</v>
      </c>
      <c r="D69" s="1">
        <v>8.3162409099384701E-2</v>
      </c>
      <c r="E69">
        <v>5363</v>
      </c>
      <c r="F69" s="1">
        <v>0.104448398576512</v>
      </c>
      <c r="G69" s="1">
        <v>0.106761565836299</v>
      </c>
      <c r="H69" s="5">
        <v>5620</v>
      </c>
    </row>
    <row r="70" spans="1:8" x14ac:dyDescent="0.25">
      <c r="A70" s="7" t="s">
        <v>69</v>
      </c>
      <c r="B70" t="s">
        <v>55</v>
      </c>
      <c r="C70" s="1">
        <v>7.9002368677720494E-2</v>
      </c>
      <c r="D70" s="1">
        <v>8.0117040546189205E-2</v>
      </c>
      <c r="E70">
        <v>7177</v>
      </c>
      <c r="F70" s="1">
        <v>9.8121997379531201E-2</v>
      </c>
      <c r="G70" s="1">
        <v>9.9723394962876702E-2</v>
      </c>
      <c r="H70" s="5">
        <v>6869</v>
      </c>
    </row>
    <row r="71" spans="1:8" x14ac:dyDescent="0.25">
      <c r="A71" s="7"/>
      <c r="B71" t="s">
        <v>56</v>
      </c>
      <c r="C71" s="1">
        <v>7.0686957758498106E-2</v>
      </c>
      <c r="D71" s="1">
        <v>7.1255866875266693E-2</v>
      </c>
      <c r="E71">
        <v>7031</v>
      </c>
      <c r="F71" s="1">
        <v>9.4065746406716902E-2</v>
      </c>
      <c r="G71" s="1">
        <v>9.4777287604952298E-2</v>
      </c>
      <c r="H71" s="5">
        <v>7027</v>
      </c>
    </row>
    <row r="72" spans="1:8" x14ac:dyDescent="0.25">
      <c r="A72" s="7"/>
      <c r="B72" t="s">
        <v>57</v>
      </c>
      <c r="C72" s="1">
        <v>8.0146590184831099E-2</v>
      </c>
      <c r="D72" s="1">
        <v>8.2058636073932503E-2</v>
      </c>
      <c r="E72">
        <v>6276</v>
      </c>
      <c r="F72" s="1">
        <v>0.112113947257086</v>
      </c>
      <c r="G72" s="1">
        <v>0.113524185587364</v>
      </c>
      <c r="H72" s="5">
        <v>7091</v>
      </c>
    </row>
    <row r="73" spans="1:8" x14ac:dyDescent="0.25">
      <c r="A73" s="7"/>
      <c r="B73" t="s">
        <v>58</v>
      </c>
      <c r="C73" s="1">
        <v>6.7606652205350698E-2</v>
      </c>
      <c r="D73" s="1">
        <v>6.8329718004338402E-2</v>
      </c>
      <c r="E73">
        <v>5532</v>
      </c>
      <c r="F73" s="1">
        <v>0.10338345864661699</v>
      </c>
      <c r="G73" s="1">
        <v>0.105263157894737</v>
      </c>
      <c r="H73" s="5">
        <v>5852</v>
      </c>
    </row>
    <row r="74" spans="1:8" x14ac:dyDescent="0.25">
      <c r="A74" s="7"/>
      <c r="B74" t="s">
        <v>59</v>
      </c>
      <c r="C74" s="1">
        <v>7.2943508424182402E-2</v>
      </c>
      <c r="D74" s="1">
        <v>7.4132804757185297E-2</v>
      </c>
      <c r="E74">
        <v>5045</v>
      </c>
      <c r="F74" s="1">
        <v>0.107465684633411</v>
      </c>
      <c r="G74" s="1">
        <v>0.108804820890526</v>
      </c>
      <c r="H74" s="5">
        <v>5974</v>
      </c>
    </row>
    <row r="75" spans="1:8" x14ac:dyDescent="0.25">
      <c r="A75" s="7"/>
      <c r="B75" t="s">
        <v>60</v>
      </c>
      <c r="C75" s="1">
        <v>5.70610003581234E-2</v>
      </c>
      <c r="D75" s="1">
        <v>5.7657872746806699E-2</v>
      </c>
      <c r="E75">
        <v>8377</v>
      </c>
      <c r="F75" s="1">
        <v>8.8089653375032606E-2</v>
      </c>
      <c r="G75" s="1">
        <v>8.9653375032577504E-2</v>
      </c>
      <c r="H75" s="5">
        <v>7674</v>
      </c>
    </row>
    <row r="76" spans="1:8" x14ac:dyDescent="0.25">
      <c r="A76" s="7"/>
      <c r="B76" t="s">
        <v>61</v>
      </c>
      <c r="C76" s="1">
        <v>8.05680731940462E-2</v>
      </c>
      <c r="D76" s="1">
        <v>8.3435750375529194E-2</v>
      </c>
      <c r="E76">
        <v>7323</v>
      </c>
      <c r="F76" s="1">
        <v>0.108956854178045</v>
      </c>
      <c r="G76" s="1">
        <v>0.11004915346805</v>
      </c>
      <c r="H76" s="5">
        <v>7324</v>
      </c>
    </row>
    <row r="77" spans="1:8" x14ac:dyDescent="0.25">
      <c r="A77" s="7"/>
      <c r="B77" t="s">
        <v>62</v>
      </c>
      <c r="C77" s="1">
        <v>9.35819892473118E-2</v>
      </c>
      <c r="D77" s="1">
        <v>9.8118279569892497E-2</v>
      </c>
      <c r="E77">
        <v>5952</v>
      </c>
      <c r="F77" s="1">
        <v>0.101949458483755</v>
      </c>
      <c r="G77" s="1">
        <v>0.103682310469314</v>
      </c>
      <c r="H77" s="5">
        <v>6925</v>
      </c>
    </row>
    <row r="78" spans="1:8" x14ac:dyDescent="0.25">
      <c r="A78" s="7" t="s">
        <v>70</v>
      </c>
      <c r="B78" t="s">
        <v>55</v>
      </c>
      <c r="C78" s="1">
        <v>7.9002368677720494E-2</v>
      </c>
      <c r="D78" s="1">
        <v>8.0117040546189205E-2</v>
      </c>
      <c r="E78">
        <v>7177</v>
      </c>
      <c r="F78" s="1">
        <v>9.8121997379531201E-2</v>
      </c>
      <c r="G78" s="1">
        <v>9.9723394962876702E-2</v>
      </c>
      <c r="H78" s="5">
        <v>6869</v>
      </c>
    </row>
    <row r="79" spans="1:8" x14ac:dyDescent="0.25">
      <c r="A79" s="7"/>
      <c r="B79" t="s">
        <v>56</v>
      </c>
      <c r="C79" s="1">
        <v>7.0686957758498106E-2</v>
      </c>
      <c r="D79" s="1">
        <v>7.1255866875266693E-2</v>
      </c>
      <c r="E79">
        <v>7031</v>
      </c>
      <c r="F79" s="1">
        <v>9.4065746406716902E-2</v>
      </c>
      <c r="G79" s="1">
        <v>9.4777287604952298E-2</v>
      </c>
      <c r="H79" s="5">
        <v>7027</v>
      </c>
    </row>
    <row r="80" spans="1:8" x14ac:dyDescent="0.25">
      <c r="A80" s="7"/>
      <c r="B80" t="s">
        <v>57</v>
      </c>
      <c r="C80" s="1">
        <v>8.0146590184831099E-2</v>
      </c>
      <c r="D80" s="1">
        <v>8.2058636073932503E-2</v>
      </c>
      <c r="E80">
        <v>6276</v>
      </c>
      <c r="F80" s="1">
        <v>0.112113947257086</v>
      </c>
      <c r="G80" s="1">
        <v>0.113524185587364</v>
      </c>
      <c r="H80" s="5">
        <v>7091</v>
      </c>
    </row>
    <row r="81" spans="1:12" x14ac:dyDescent="0.25">
      <c r="A81" s="7"/>
      <c r="B81" t="s">
        <v>58</v>
      </c>
      <c r="C81" s="1">
        <v>6.7606652205350698E-2</v>
      </c>
      <c r="D81" s="1">
        <v>6.8329718004338402E-2</v>
      </c>
      <c r="E81">
        <v>5532</v>
      </c>
      <c r="F81" s="1">
        <v>0.10338345864661699</v>
      </c>
      <c r="G81" s="1">
        <v>0.105263157894737</v>
      </c>
      <c r="H81" s="5">
        <v>5852</v>
      </c>
    </row>
    <row r="82" spans="1:12" x14ac:dyDescent="0.25">
      <c r="A82" s="7"/>
      <c r="B82" t="s">
        <v>59</v>
      </c>
      <c r="C82" s="1">
        <v>7.2943508424182402E-2</v>
      </c>
      <c r="D82" s="1">
        <v>7.4132804757185297E-2</v>
      </c>
      <c r="E82">
        <v>5045</v>
      </c>
      <c r="F82" s="1">
        <v>0.107465684633411</v>
      </c>
      <c r="G82" s="1">
        <v>0.108804820890526</v>
      </c>
      <c r="H82" s="5">
        <v>5974</v>
      </c>
    </row>
    <row r="83" spans="1:12" x14ac:dyDescent="0.25">
      <c r="A83" s="7"/>
      <c r="B83" t="s">
        <v>60</v>
      </c>
      <c r="C83" s="1">
        <v>5.70610003581234E-2</v>
      </c>
      <c r="D83" s="1">
        <v>5.7657872746806699E-2</v>
      </c>
      <c r="E83">
        <v>8377</v>
      </c>
      <c r="F83" s="1">
        <v>8.8089653375032606E-2</v>
      </c>
      <c r="G83" s="1">
        <v>8.9653375032577504E-2</v>
      </c>
      <c r="H83" s="5">
        <v>7674</v>
      </c>
    </row>
    <row r="84" spans="1:12" x14ac:dyDescent="0.25">
      <c r="A84" s="7"/>
      <c r="B84" t="s">
        <v>61</v>
      </c>
      <c r="C84" s="1">
        <v>8.05680731940462E-2</v>
      </c>
      <c r="D84" s="1">
        <v>8.3435750375529194E-2</v>
      </c>
      <c r="E84">
        <v>7323</v>
      </c>
      <c r="F84" s="1">
        <v>0.108956854178045</v>
      </c>
      <c r="G84" s="1">
        <v>0.11004915346805</v>
      </c>
      <c r="H84" s="5">
        <v>7324</v>
      </c>
    </row>
    <row r="85" spans="1:12" x14ac:dyDescent="0.25">
      <c r="A85" s="7"/>
      <c r="B85" t="s">
        <v>62</v>
      </c>
      <c r="C85" s="1">
        <v>9.35819892473118E-2</v>
      </c>
      <c r="D85" s="1">
        <v>9.8118279569892497E-2</v>
      </c>
      <c r="E85">
        <v>5952</v>
      </c>
      <c r="F85" s="1">
        <v>0.101949458483755</v>
      </c>
      <c r="G85" s="1">
        <v>0.103682310469314</v>
      </c>
      <c r="H85" s="5">
        <v>6925</v>
      </c>
    </row>
    <row r="87" spans="1:12" x14ac:dyDescent="0.25">
      <c r="B87" s="2" t="s">
        <v>2</v>
      </c>
      <c r="C87" s="3">
        <f>AVERAGE(C3:C11)*100</f>
        <v>9.7364942241211736</v>
      </c>
      <c r="D87" s="3">
        <f t="shared" ref="D87" si="0">AVERAGE(D3:D11)*100</f>
        <v>10.075036010439273</v>
      </c>
      <c r="E87" s="4"/>
      <c r="F87" s="3">
        <f>AVERAGE(F3:F11)*100</f>
        <v>11.29195205791927</v>
      </c>
      <c r="G87" s="3">
        <f t="shared" ref="G87" si="1">AVERAGE(G3:G11)*100</f>
        <v>11.467866009946613</v>
      </c>
      <c r="H87" s="3"/>
      <c r="I87" s="4"/>
    </row>
    <row r="88" spans="1:12" x14ac:dyDescent="0.25">
      <c r="B88" s="2" t="s">
        <v>3</v>
      </c>
      <c r="C88" s="3">
        <f>AVERAGE(C12:C20)*100</f>
        <v>8.9026826854325467</v>
      </c>
      <c r="D88" s="3">
        <f t="shared" ref="D88" si="2">AVERAGE(D12:D20)*100</f>
        <v>9.1811625821456531</v>
      </c>
      <c r="E88" s="4"/>
      <c r="F88" s="3">
        <f>AVERAGE(F12:F20)*100</f>
        <v>11.302941955338921</v>
      </c>
      <c r="G88" s="3">
        <f t="shared" ref="G88" si="3">AVERAGE(G12:G20)*100</f>
        <v>11.499859618464599</v>
      </c>
      <c r="H88" s="3"/>
      <c r="I88" s="4"/>
      <c r="J88" s="2"/>
      <c r="K88" s="5"/>
      <c r="L88" s="5"/>
    </row>
    <row r="89" spans="1:12" x14ac:dyDescent="0.25">
      <c r="B89" s="2" t="s">
        <v>9</v>
      </c>
      <c r="C89" s="3">
        <f>AVERAGE(C21:C29)*100</f>
        <v>8.9026826854325467</v>
      </c>
      <c r="D89" s="3">
        <f t="shared" ref="D89" si="4">AVERAGE(D21:D29)*100</f>
        <v>9.1811625821456531</v>
      </c>
      <c r="E89" s="4"/>
      <c r="F89" s="3">
        <f>AVERAGE(F21:F29)*100</f>
        <v>11.302941955338921</v>
      </c>
      <c r="G89" s="3">
        <f t="shared" ref="G89" si="5">AVERAGE(G21:G29)*100</f>
        <v>11.499859618464599</v>
      </c>
      <c r="H89" s="3"/>
      <c r="I89" s="4"/>
      <c r="J89" s="2"/>
      <c r="K89" s="5"/>
      <c r="L89" s="5"/>
    </row>
    <row r="90" spans="1:12" x14ac:dyDescent="0.25">
      <c r="B90" s="2" t="s">
        <v>0</v>
      </c>
      <c r="C90" s="3">
        <f>AVERAGE(C30:C40)*100</f>
        <v>9.283074240232871</v>
      </c>
      <c r="D90" s="3">
        <f t="shared" ref="D90" si="6">AVERAGE(D30:D40)*100</f>
        <v>9.6056153515360059</v>
      </c>
      <c r="E90" s="4"/>
      <c r="F90" s="3">
        <f>AVERAGE(F30:F40)*100</f>
        <v>11.494472247913533</v>
      </c>
      <c r="G90" s="3">
        <f t="shared" ref="G90" si="7">AVERAGE(G30:G40)*100</f>
        <v>11.699303070162079</v>
      </c>
      <c r="H90" s="3"/>
      <c r="I90" s="4"/>
      <c r="J90" s="4"/>
      <c r="K90" s="4"/>
    </row>
    <row r="91" spans="1:12" x14ac:dyDescent="0.25">
      <c r="B91" s="2" t="s">
        <v>1</v>
      </c>
      <c r="C91" s="3">
        <f>AVERAGE(C41:C51)*100</f>
        <v>9.283074240232871</v>
      </c>
      <c r="D91" s="3">
        <f t="shared" ref="D91" si="8">AVERAGE(D41:D51)*100</f>
        <v>9.6056153515360059</v>
      </c>
      <c r="E91" s="4"/>
      <c r="F91" s="3">
        <f>AVERAGE(F41:F51)*100</f>
        <v>11.494472247913533</v>
      </c>
      <c r="G91" s="3">
        <f t="shared" ref="G91" si="9">AVERAGE(G41:G51)*100</f>
        <v>11.699303070162079</v>
      </c>
      <c r="H91" s="3"/>
      <c r="I91" s="4"/>
      <c r="J91" s="4"/>
      <c r="K91" s="4"/>
    </row>
    <row r="92" spans="1:12" x14ac:dyDescent="0.25">
      <c r="B92" s="2" t="s">
        <v>4</v>
      </c>
      <c r="C92" s="3">
        <f>AVERAGE(C52:C59)*100</f>
        <v>6.800556398496961</v>
      </c>
      <c r="D92" s="3">
        <f t="shared" ref="D92" si="10">AVERAGE(D52:D59)*100</f>
        <v>6.9396768902649342</v>
      </c>
      <c r="E92" s="4"/>
      <c r="F92" s="3">
        <f>AVERAGE(F52:F59)*100</f>
        <v>10.194549626304999</v>
      </c>
      <c r="G92" s="3">
        <f t="shared" ref="G92" si="11">AVERAGE(G52:G59)*100</f>
        <v>10.326909160689796</v>
      </c>
      <c r="H92" s="3"/>
      <c r="I92" s="4"/>
      <c r="J92" s="4"/>
      <c r="K92" s="4"/>
    </row>
    <row r="93" spans="1:12" x14ac:dyDescent="0.25">
      <c r="B93" s="2" t="s">
        <v>5</v>
      </c>
      <c r="C93" s="3">
        <f>AVERAGE(C60:C64)*100</f>
        <v>6.772728764836657</v>
      </c>
      <c r="D93" s="3">
        <f t="shared" ref="D93" si="12">AVERAGE(D60:D64)*100</f>
        <v>6.9566774502975246</v>
      </c>
      <c r="E93" s="4"/>
      <c r="F93" s="3">
        <f>AVERAGE(F60:F64)*100</f>
        <v>9.8161913622588575</v>
      </c>
      <c r="G93" s="3">
        <f t="shared" ref="G93" si="13">AVERAGE(G60:G64)*100</f>
        <v>10.008562156956</v>
      </c>
      <c r="H93" s="3"/>
      <c r="I93" s="4"/>
      <c r="J93" s="4"/>
      <c r="K93" s="4"/>
    </row>
    <row r="94" spans="1:12" x14ac:dyDescent="0.25">
      <c r="B94" s="2" t="s">
        <v>10</v>
      </c>
      <c r="C94" s="3">
        <f>AVERAGE(C65:C69)*100</f>
        <v>6.772728764836657</v>
      </c>
      <c r="D94" s="3">
        <f t="shared" ref="D94" si="14">AVERAGE(D65:D69)*100</f>
        <v>6.9566774502975246</v>
      </c>
      <c r="E94" s="4"/>
      <c r="F94" s="3">
        <f>AVERAGE(F65:F69)*100</f>
        <v>9.8161913622588575</v>
      </c>
      <c r="G94" s="3">
        <f t="shared" ref="G94" si="15">AVERAGE(G65:G69)*100</f>
        <v>10.008562156956</v>
      </c>
      <c r="H94" s="3"/>
      <c r="I94" s="4"/>
      <c r="J94" s="4"/>
      <c r="K94" s="4"/>
    </row>
    <row r="95" spans="1:12" x14ac:dyDescent="0.25">
      <c r="B95" s="2" t="s">
        <v>6</v>
      </c>
      <c r="C95" s="3">
        <f>AVERAGE(C70:C77)*100</f>
        <v>7.5199642506258018</v>
      </c>
      <c r="D95" s="3">
        <f t="shared" ref="D95" si="16">AVERAGE(D70:D77)*100</f>
        <v>7.6888246118642565</v>
      </c>
      <c r="E95" s="4"/>
      <c r="F95" s="3">
        <f>AVERAGE(F70:F77)*100</f>
        <v>10.176835004502435</v>
      </c>
      <c r="G95" s="3">
        <f t="shared" ref="G95" si="17">AVERAGE(G70:G77)*100</f>
        <v>10.318471073879969</v>
      </c>
      <c r="H95" s="3"/>
      <c r="I95" s="4"/>
      <c r="J95" s="4"/>
      <c r="K95" s="4"/>
    </row>
    <row r="96" spans="1:12" x14ac:dyDescent="0.25">
      <c r="B96" s="2" t="s">
        <v>7</v>
      </c>
      <c r="C96" s="3">
        <f>AVERAGE(C78:C85)*100</f>
        <v>7.5199642506258018</v>
      </c>
      <c r="D96" s="3">
        <f t="shared" ref="D96" si="18">AVERAGE(D78:D85)*100</f>
        <v>7.6888246118642565</v>
      </c>
      <c r="E96" s="4"/>
      <c r="F96" s="3">
        <f>AVERAGE(F78:F85)*100</f>
        <v>10.176835004502435</v>
      </c>
      <c r="G96" s="3">
        <f t="shared" ref="G96" si="19">AVERAGE(G78:G85)*100</f>
        <v>10.318471073879969</v>
      </c>
      <c r="H96" s="3"/>
      <c r="I96" s="4"/>
      <c r="J96" s="4"/>
      <c r="K96" s="4"/>
    </row>
    <row r="97" spans="3:11" x14ac:dyDescent="0.25">
      <c r="C97" s="4"/>
      <c r="D97" s="4"/>
      <c r="E97" s="4"/>
      <c r="F97" s="4"/>
      <c r="G97" s="4"/>
      <c r="H97" s="4"/>
      <c r="I97" s="4"/>
      <c r="J97" s="4"/>
      <c r="K97" s="4"/>
    </row>
    <row r="98" spans="3:11" x14ac:dyDescent="0.25">
      <c r="C98" s="4"/>
      <c r="D98" s="4"/>
      <c r="E98" s="4"/>
      <c r="F98" s="4"/>
      <c r="G98" s="4"/>
      <c r="H98" s="4"/>
      <c r="I98" s="4"/>
      <c r="J98" s="4"/>
      <c r="K98" s="4"/>
    </row>
  </sheetData>
  <mergeCells count="12">
    <mergeCell ref="A78:A85"/>
    <mergeCell ref="C1:E1"/>
    <mergeCell ref="F1:H1"/>
    <mergeCell ref="A3:A11"/>
    <mergeCell ref="A12:A20"/>
    <mergeCell ref="A21:A29"/>
    <mergeCell ref="A30:A40"/>
    <mergeCell ref="A41:A51"/>
    <mergeCell ref="A52:A59"/>
    <mergeCell ref="A60:A64"/>
    <mergeCell ref="A65:A69"/>
    <mergeCell ref="A70:A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SlWaves-SlowSpi</vt:lpstr>
      <vt:lpstr>SlWaves-BroadBdSpi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2017-04-01T16:43:11Z</dcterms:modified>
</cp:coreProperties>
</file>