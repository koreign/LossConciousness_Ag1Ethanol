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240" yWindow="105" windowWidth="14805" windowHeight="8010"/>
  </bookViews>
  <sheets>
    <sheet name="StimFalsePos" sheetId="22" r:id="rId1"/>
  </sheets>
  <calcPr calcId="162913"/>
</workbook>
</file>

<file path=xl/calcChain.xml><?xml version="1.0" encoding="utf-8"?>
<calcChain xmlns="http://schemas.openxmlformats.org/spreadsheetml/2006/main">
  <c r="G92" i="22" l="1"/>
  <c r="G93" i="22"/>
  <c r="P99" i="22" l="1"/>
  <c r="O99" i="22"/>
  <c r="N99" i="22"/>
  <c r="P98" i="22"/>
  <c r="O98" i="22"/>
  <c r="N98" i="22"/>
  <c r="P97" i="22"/>
  <c r="O97" i="22"/>
  <c r="N97" i="22"/>
  <c r="P96" i="22"/>
  <c r="O96" i="22"/>
  <c r="N96" i="22"/>
  <c r="P95" i="22"/>
  <c r="O95" i="22"/>
  <c r="N95" i="22"/>
  <c r="P94" i="22"/>
  <c r="O94" i="22"/>
  <c r="N94" i="22"/>
  <c r="P93" i="22"/>
  <c r="O93" i="22"/>
  <c r="N93" i="22"/>
  <c r="P92" i="22"/>
  <c r="O92" i="22"/>
  <c r="N92" i="22"/>
  <c r="P91" i="22"/>
  <c r="O91" i="22"/>
  <c r="N91" i="22"/>
  <c r="P90" i="22"/>
  <c r="O90" i="22"/>
  <c r="N90" i="22"/>
  <c r="P89" i="22"/>
  <c r="O89" i="22"/>
  <c r="N89" i="22"/>
  <c r="L89" i="22"/>
  <c r="M89" i="22"/>
  <c r="L90" i="22"/>
  <c r="M90" i="22"/>
  <c r="L91" i="22"/>
  <c r="M91" i="22"/>
  <c r="L92" i="22"/>
  <c r="M92" i="22"/>
  <c r="L93" i="22"/>
  <c r="M93" i="22"/>
  <c r="L94" i="22"/>
  <c r="M94" i="22"/>
  <c r="L95" i="22"/>
  <c r="M95" i="22"/>
  <c r="L96" i="22"/>
  <c r="M96" i="22"/>
  <c r="L97" i="22"/>
  <c r="M97" i="22"/>
  <c r="L98" i="22"/>
  <c r="M98" i="22"/>
  <c r="L99" i="22"/>
  <c r="M99" i="22"/>
  <c r="K99" i="22"/>
  <c r="K98" i="22"/>
  <c r="K97" i="22"/>
  <c r="K96" i="22"/>
  <c r="K95" i="22"/>
  <c r="K94" i="22"/>
  <c r="K93" i="22"/>
  <c r="K92" i="22"/>
  <c r="K91" i="22"/>
  <c r="K90" i="22"/>
  <c r="K89" i="22"/>
  <c r="I99" i="22"/>
  <c r="H99" i="22"/>
  <c r="G99" i="22"/>
  <c r="I98" i="22"/>
  <c r="H98" i="22"/>
  <c r="G98" i="22"/>
  <c r="I97" i="22"/>
  <c r="H97" i="22"/>
  <c r="G97" i="22"/>
  <c r="I96" i="22"/>
  <c r="H96" i="22"/>
  <c r="G96" i="22"/>
  <c r="I95" i="22"/>
  <c r="H95" i="22"/>
  <c r="G95" i="22"/>
  <c r="I94" i="22"/>
  <c r="H94" i="22"/>
  <c r="G94" i="22"/>
  <c r="I93" i="22"/>
  <c r="H93" i="22"/>
  <c r="I92" i="22"/>
  <c r="H92" i="22"/>
  <c r="I91" i="22"/>
  <c r="H91" i="22"/>
  <c r="G91" i="22"/>
  <c r="I90" i="22"/>
  <c r="H90" i="22"/>
  <c r="G90" i="22"/>
  <c r="I89" i="22"/>
  <c r="H89" i="22"/>
  <c r="G89" i="22"/>
  <c r="E89" i="22"/>
  <c r="F89" i="22"/>
  <c r="E90" i="22"/>
  <c r="F90" i="22"/>
  <c r="E91" i="22"/>
  <c r="F91" i="22"/>
  <c r="E92" i="22"/>
  <c r="F92" i="22"/>
  <c r="E93" i="22"/>
  <c r="F93" i="22"/>
  <c r="E94" i="22"/>
  <c r="F94" i="22"/>
  <c r="E95" i="22"/>
  <c r="F95" i="22"/>
  <c r="E96" i="22"/>
  <c r="F96" i="22"/>
  <c r="E97" i="22"/>
  <c r="F97" i="22"/>
  <c r="E98" i="22"/>
  <c r="F98" i="22"/>
  <c r="E99" i="22"/>
  <c r="F99" i="22"/>
  <c r="D99" i="22"/>
  <c r="D98" i="22"/>
  <c r="D97" i="22"/>
  <c r="D96" i="22"/>
  <c r="D95" i="22"/>
  <c r="D94" i="22"/>
  <c r="D93" i="22"/>
  <c r="D92" i="22"/>
  <c r="D91" i="22"/>
  <c r="D90" i="22"/>
  <c r="D89" i="22"/>
  <c r="AK52" i="22"/>
  <c r="AJ52" i="22"/>
  <c r="AI52" i="22"/>
  <c r="AK51" i="22"/>
  <c r="AJ51" i="22"/>
  <c r="AI51" i="22"/>
  <c r="AK50" i="22"/>
  <c r="AJ50" i="22"/>
  <c r="AI50" i="22"/>
  <c r="AK49" i="22"/>
  <c r="AJ49" i="22"/>
  <c r="AI49" i="22"/>
  <c r="AK48" i="22"/>
  <c r="AJ48" i="22"/>
  <c r="AI48" i="22"/>
  <c r="AK21" i="22"/>
  <c r="AJ21" i="22"/>
  <c r="AI21" i="22"/>
  <c r="AK20" i="22"/>
  <c r="AJ20" i="22"/>
  <c r="AI20" i="22"/>
  <c r="AK19" i="22"/>
  <c r="AJ19" i="22"/>
  <c r="AI19" i="22"/>
  <c r="AK18" i="22"/>
  <c r="AJ18" i="22"/>
  <c r="AI18" i="22"/>
  <c r="AK17" i="22"/>
  <c r="AJ17" i="22"/>
  <c r="AI17" i="22"/>
  <c r="AK16" i="22"/>
  <c r="AJ16" i="22"/>
  <c r="AI16" i="22"/>
  <c r="AK15" i="22"/>
  <c r="AJ15" i="22"/>
  <c r="AI15" i="22"/>
  <c r="AK14" i="22"/>
  <c r="AJ14" i="22"/>
  <c r="AI14" i="22"/>
  <c r="AK13" i="22"/>
  <c r="AJ13" i="22"/>
  <c r="AI13" i="22"/>
  <c r="AD32" i="22"/>
  <c r="AC32" i="22"/>
  <c r="AB32" i="22"/>
  <c r="AD31" i="22"/>
  <c r="AC31" i="22"/>
  <c r="AB31" i="22"/>
  <c r="AD30" i="22"/>
  <c r="AC30" i="22"/>
  <c r="AB30" i="22"/>
  <c r="AD29" i="22"/>
  <c r="AC29" i="22"/>
  <c r="AB29" i="22"/>
  <c r="AD28" i="22"/>
  <c r="AC28" i="22"/>
  <c r="AB28" i="22"/>
  <c r="AD27" i="22"/>
  <c r="AC27" i="22"/>
  <c r="AB27" i="22"/>
  <c r="AD26" i="22"/>
  <c r="AC26" i="22"/>
  <c r="AB26" i="22"/>
  <c r="AD25" i="22"/>
  <c r="AC25" i="22"/>
  <c r="AB25" i="22"/>
  <c r="AD24" i="22"/>
  <c r="AC24" i="22"/>
  <c r="AB24" i="22"/>
  <c r="AD23" i="22"/>
  <c r="AC23" i="22"/>
  <c r="AB23" i="22"/>
  <c r="AD22" i="22"/>
  <c r="AC22" i="22"/>
  <c r="AB22" i="22"/>
  <c r="W32" i="22"/>
  <c r="V32" i="22"/>
  <c r="U32" i="22"/>
  <c r="W31" i="22"/>
  <c r="V31" i="22"/>
  <c r="U31" i="22"/>
  <c r="W30" i="22"/>
  <c r="V30" i="22"/>
  <c r="U30" i="22"/>
  <c r="W29" i="22"/>
  <c r="V29" i="22"/>
  <c r="U29" i="22"/>
  <c r="W28" i="22"/>
  <c r="V28" i="22"/>
  <c r="U28" i="22"/>
  <c r="W27" i="22"/>
  <c r="V27" i="22"/>
  <c r="U27" i="22"/>
  <c r="W26" i="22"/>
  <c r="V26" i="22"/>
  <c r="U26" i="22"/>
  <c r="W25" i="22"/>
  <c r="V25" i="22"/>
  <c r="U25" i="22"/>
  <c r="W24" i="22"/>
  <c r="V24" i="22"/>
  <c r="U24" i="22"/>
  <c r="W23" i="22"/>
  <c r="V23" i="22"/>
  <c r="U23" i="22"/>
  <c r="W22" i="22"/>
  <c r="V22" i="22"/>
  <c r="U22" i="22"/>
  <c r="AD60" i="22"/>
  <c r="AC60" i="22"/>
  <c r="AB60" i="22"/>
  <c r="AD59" i="22"/>
  <c r="AC59" i="22"/>
  <c r="AB59" i="22"/>
  <c r="AD58" i="22"/>
  <c r="AC58" i="22"/>
  <c r="AB58" i="22"/>
  <c r="AD57" i="22"/>
  <c r="AC57" i="22"/>
  <c r="AB57" i="22"/>
  <c r="AD56" i="22"/>
  <c r="AC56" i="22"/>
  <c r="AB56" i="22"/>
  <c r="AD55" i="22"/>
  <c r="AC55" i="22"/>
  <c r="AB55" i="22"/>
  <c r="AD54" i="22"/>
  <c r="AC54" i="22"/>
  <c r="AB54" i="22"/>
  <c r="AD53" i="22"/>
  <c r="AC53" i="22"/>
  <c r="AB53" i="22"/>
  <c r="W60" i="22"/>
  <c r="V60" i="22"/>
  <c r="U60" i="22"/>
  <c r="W59" i="22"/>
  <c r="V59" i="22"/>
  <c r="U59" i="22"/>
  <c r="W58" i="22"/>
  <c r="V58" i="22"/>
  <c r="U58" i="22"/>
  <c r="W57" i="22"/>
  <c r="V57" i="22"/>
  <c r="U57" i="22"/>
  <c r="W56" i="22"/>
  <c r="V56" i="22"/>
  <c r="U56" i="22"/>
  <c r="W55" i="22"/>
  <c r="V55" i="22"/>
  <c r="U55" i="22"/>
  <c r="W54" i="22"/>
  <c r="V54" i="22"/>
  <c r="U54" i="22"/>
  <c r="W53" i="22"/>
  <c r="V53" i="22"/>
  <c r="U53" i="22"/>
  <c r="P52" i="22"/>
  <c r="O52" i="22"/>
  <c r="N52" i="22"/>
  <c r="P51" i="22"/>
  <c r="O51" i="22"/>
  <c r="N51" i="22"/>
  <c r="P50" i="22"/>
  <c r="O50" i="22"/>
  <c r="N50" i="22"/>
  <c r="P49" i="22"/>
  <c r="O49" i="22"/>
  <c r="N49" i="22"/>
  <c r="P48" i="22"/>
  <c r="O48" i="22"/>
  <c r="N48" i="22"/>
  <c r="P21" i="22"/>
  <c r="O21" i="22"/>
  <c r="N21" i="22"/>
  <c r="P20" i="22"/>
  <c r="O20" i="22"/>
  <c r="N20" i="22"/>
  <c r="P19" i="22"/>
  <c r="O19" i="22"/>
  <c r="N19" i="22"/>
  <c r="P18" i="22"/>
  <c r="O18" i="22"/>
  <c r="N18" i="22"/>
  <c r="P17" i="22"/>
  <c r="O17" i="22"/>
  <c r="N17" i="22"/>
  <c r="P16" i="22"/>
  <c r="O16" i="22"/>
  <c r="N16" i="22"/>
  <c r="P15" i="22"/>
  <c r="O15" i="22"/>
  <c r="N15" i="22"/>
  <c r="P14" i="22"/>
  <c r="O14" i="22"/>
  <c r="N14" i="22"/>
  <c r="P13" i="22"/>
  <c r="O13" i="22"/>
  <c r="N13" i="22"/>
  <c r="I47" i="22"/>
  <c r="H47" i="22"/>
  <c r="G47" i="22"/>
  <c r="I46" i="22"/>
  <c r="H46" i="22"/>
  <c r="G46" i="22"/>
  <c r="I45" i="22"/>
  <c r="H45" i="22"/>
  <c r="G45" i="22"/>
  <c r="I44" i="22"/>
  <c r="H44" i="22"/>
  <c r="G44" i="22"/>
  <c r="I43" i="22"/>
  <c r="H43" i="22"/>
  <c r="G43" i="22"/>
  <c r="I42" i="22"/>
  <c r="H42" i="22"/>
  <c r="G42" i="22"/>
  <c r="I41" i="22"/>
  <c r="H41" i="22"/>
  <c r="G41" i="22"/>
  <c r="I40" i="22"/>
  <c r="H40" i="22"/>
  <c r="G40" i="22"/>
  <c r="I39" i="22"/>
  <c r="H39" i="22"/>
  <c r="G39" i="22"/>
  <c r="I38" i="22"/>
  <c r="H38" i="22"/>
  <c r="G38" i="22"/>
  <c r="I37" i="22"/>
  <c r="H37" i="22"/>
  <c r="G37" i="22"/>
  <c r="I36" i="22"/>
  <c r="H36" i="22"/>
  <c r="G36" i="22"/>
  <c r="I35" i="22"/>
  <c r="H35" i="22"/>
  <c r="G35" i="22"/>
  <c r="I34" i="22"/>
  <c r="H34" i="22"/>
  <c r="G34" i="22"/>
  <c r="I33" i="22"/>
  <c r="H33" i="22"/>
  <c r="G33" i="22"/>
  <c r="G5" i="22"/>
  <c r="H5" i="22"/>
  <c r="I5" i="22"/>
  <c r="G6" i="22"/>
  <c r="H6" i="22"/>
  <c r="I6" i="22"/>
  <c r="G7" i="22"/>
  <c r="H7" i="22"/>
  <c r="I7" i="22"/>
  <c r="G8" i="22"/>
  <c r="H8" i="22"/>
  <c r="I8" i="22"/>
  <c r="G9" i="22"/>
  <c r="H9" i="22"/>
  <c r="I9" i="22"/>
  <c r="G10" i="22"/>
  <c r="H10" i="22"/>
  <c r="I10" i="22"/>
  <c r="G11" i="22"/>
  <c r="H11" i="22"/>
  <c r="I11" i="22"/>
  <c r="G12" i="22"/>
  <c r="H12" i="22"/>
  <c r="I12" i="22"/>
  <c r="H4" i="22"/>
  <c r="G4" i="22"/>
  <c r="I4" i="22"/>
  <c r="C98" i="22" l="1"/>
  <c r="C96" i="22"/>
  <c r="C95" i="22"/>
  <c r="C94" i="22"/>
  <c r="C92" i="22"/>
  <c r="C90" i="22"/>
  <c r="C89" i="22"/>
</calcChain>
</file>

<file path=xl/sharedStrings.xml><?xml version="1.0" encoding="utf-8"?>
<sst xmlns="http://schemas.openxmlformats.org/spreadsheetml/2006/main" count="164" uniqueCount="118">
  <si>
    <t>Mouse</t>
  </si>
  <si>
    <t>IN-FC-OS46</t>
  </si>
  <si>
    <t>IN-FC-OS47</t>
  </si>
  <si>
    <t>IN-FC-OS49</t>
  </si>
  <si>
    <t>IN-FC-OS59</t>
  </si>
  <si>
    <t>IN-FC-OS62</t>
  </si>
  <si>
    <t>IN-FC-OS65</t>
  </si>
  <si>
    <t>IN-FC-OS83</t>
  </si>
  <si>
    <t>IN-FC-OS86</t>
  </si>
  <si>
    <t>IN-FC-OS88</t>
  </si>
  <si>
    <t>OUT-FC-OS45</t>
  </si>
  <si>
    <t>OUT-FC-OS50</t>
  </si>
  <si>
    <t>OUT-FC-OS54</t>
  </si>
  <si>
    <t>OUT-FC-OS57</t>
  </si>
  <si>
    <t>OUT-FC-OS58</t>
  </si>
  <si>
    <t>OUT-FC-OS61</t>
  </si>
  <si>
    <t>OUT-FC-OS64</t>
  </si>
  <si>
    <t>OUT-FC-OS84</t>
  </si>
  <si>
    <t>OUT-FC-OS89</t>
  </si>
  <si>
    <t>NOSTIM-FC-OS41</t>
  </si>
  <si>
    <t>NOSTIM-FC-OS44</t>
  </si>
  <si>
    <t>NOSTIM-FC-OS51</t>
  </si>
  <si>
    <t>NOSTIM-FC-OS52</t>
  </si>
  <si>
    <t>NOSTIM-FC-OS56</t>
  </si>
  <si>
    <t>NOSTIM-FC-OS60</t>
  </si>
  <si>
    <t>NOSTIM-FC-OS63</t>
  </si>
  <si>
    <t>NOSTIM-FC-OS66</t>
  </si>
  <si>
    <t>NOSTIM-FC-OS81</t>
  </si>
  <si>
    <t>NOSTIM-FC-OS85</t>
  </si>
  <si>
    <t>NOSTIM-FC-OS87</t>
  </si>
  <si>
    <t>IN-OIcreARC1</t>
  </si>
  <si>
    <t>IN-OIcreARC2</t>
  </si>
  <si>
    <t>IN-OIcreARC3</t>
  </si>
  <si>
    <t>IN-OIcreARC4</t>
  </si>
  <si>
    <t>IN-OIcreARC5</t>
  </si>
  <si>
    <t>IN-OIcreARC6</t>
  </si>
  <si>
    <t>IN-OIcreARC7</t>
  </si>
  <si>
    <t>IN-OIcreARC16</t>
  </si>
  <si>
    <t>IN-OIcreCH1</t>
  </si>
  <si>
    <t>IN-OIcreCH3</t>
  </si>
  <si>
    <t>IN-OIcreCH6</t>
  </si>
  <si>
    <t>IN-OIcreCH8</t>
  </si>
  <si>
    <t>IN-OIcreCH30</t>
  </si>
  <si>
    <t>IN-OIcreCH31</t>
  </si>
  <si>
    <t>IN-OIcreCH32</t>
  </si>
  <si>
    <t>OUT-OIcreARC15</t>
  </si>
  <si>
    <t>OUT-OIcreARC16</t>
  </si>
  <si>
    <t>OUT-OIcreARC17</t>
  </si>
  <si>
    <t>OUT-OIcreARC18</t>
  </si>
  <si>
    <t>OUT-OIcreARC19</t>
  </si>
  <si>
    <t>NOSTIM-OIcreNO1</t>
  </si>
  <si>
    <t>NOSTIM-OIcreNO2</t>
  </si>
  <si>
    <t>NOSTIM-OIcreNO4</t>
  </si>
  <si>
    <t>NOSTIM-OIcreNO5</t>
  </si>
  <si>
    <t>NOSTIM-OIcreNO6</t>
  </si>
  <si>
    <t>NOSTIM-OIcreNO7ARC11</t>
  </si>
  <si>
    <t>NOSTIM-OIcreNO8ARC12</t>
  </si>
  <si>
    <t>NOSTIM-OIcreNOARC4</t>
  </si>
  <si>
    <t>IN-OPR-1639</t>
  </si>
  <si>
    <t>IN-OPR-2002</t>
  </si>
  <si>
    <t>IN-OPR-2335</t>
  </si>
  <si>
    <t>IN-OPR-2824</t>
  </si>
  <si>
    <t>IN-OPR-3022</t>
  </si>
  <si>
    <t>IN-OPR-3131</t>
  </si>
  <si>
    <t>IN-OPR-7095</t>
  </si>
  <si>
    <t>IN-OPR-68112</t>
  </si>
  <si>
    <t>OUT-OPR-1742</t>
  </si>
  <si>
    <t>OUT-OPR-1843</t>
  </si>
  <si>
    <t>OUT-OPR-3435</t>
  </si>
  <si>
    <t>OUT-OPR-3527</t>
  </si>
  <si>
    <t>OUT-OPR-5011</t>
  </si>
  <si>
    <t>OUT-OPR-5112</t>
  </si>
  <si>
    <t>OUT-OPR-69115</t>
  </si>
  <si>
    <t>NOSTIM-OPR-0449</t>
  </si>
  <si>
    <t>NOSTIM-OPR-0715</t>
  </si>
  <si>
    <t>NOSTIM-OPR-1254</t>
  </si>
  <si>
    <t>NOSTIM-OPR-1347</t>
  </si>
  <si>
    <t>NOSTIM-OPR-1541</t>
  </si>
  <si>
    <t>NOSTIM-OPR-2401</t>
  </si>
  <si>
    <t>NOSTIM-OPR-2728</t>
  </si>
  <si>
    <t>NOSTIM-OPR-2930</t>
  </si>
  <si>
    <t>NOSTIM-OPR-3326</t>
  </si>
  <si>
    <t>IN</t>
  </si>
  <si>
    <t>OUT</t>
  </si>
  <si>
    <t>NoStim-IN</t>
  </si>
  <si>
    <t>NoStim-OUT</t>
  </si>
  <si>
    <t>OUT-Detect</t>
  </si>
  <si>
    <t>IN-FC</t>
  </si>
  <si>
    <t>OUT-FC</t>
  </si>
  <si>
    <t>IN-creARC</t>
  </si>
  <si>
    <t>IN-creCH</t>
  </si>
  <si>
    <t>OUT-creARC</t>
  </si>
  <si>
    <t>NoSTIM-creARC-IN</t>
  </si>
  <si>
    <t>NoStim-creARC-OUT</t>
  </si>
  <si>
    <t>IN-OPR</t>
  </si>
  <si>
    <t>OUT-OPR</t>
  </si>
  <si>
    <t>FRO</t>
  </si>
  <si>
    <t>PAR</t>
  </si>
  <si>
    <t>CA1</t>
  </si>
  <si>
    <t>NoStim-OPR-IN</t>
  </si>
  <si>
    <t>NoStim-OPR-OUT</t>
  </si>
  <si>
    <t>OUT-FC-Detect</t>
  </si>
  <si>
    <t>OUT-creARC-Detect</t>
  </si>
  <si>
    <t>OUT-OPR-Detect</t>
  </si>
  <si>
    <t>Number</t>
  </si>
  <si>
    <t>Mean</t>
  </si>
  <si>
    <t>SEM</t>
  </si>
  <si>
    <t>Any</t>
  </si>
  <si>
    <t>Sum</t>
  </si>
  <si>
    <t>All</t>
  </si>
  <si>
    <t>NonREM</t>
  </si>
  <si>
    <t>Corrected</t>
  </si>
  <si>
    <t>Absolute</t>
  </si>
  <si>
    <t>Percentage</t>
  </si>
  <si>
    <t>NonREM per All</t>
  </si>
  <si>
    <t>Corrected per All</t>
  </si>
  <si>
    <t>Corrected per NonREM</t>
  </si>
  <si>
    <t>Pecentage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</si>
</sst>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  <xf numFmtId="0" fontId="0" fillId="0" borderId="0" xfId="0" applyAlignment="1">
      <alignment horizontal="right" vertical="center"/>
    </xf>
    <xf numFmtId="0" fontId="0" fillId="0" borderId="0" xfId="0" applyFill="1" applyAlignment="1">
      <alignment horizontal="right"/>
    </xf>
    <xf numFmtId="2" fontId="0" fillId="2" borderId="0" xfId="0" applyNumberFormat="1" applyFill="1"/>
    <xf numFmtId="2" fontId="0" fillId="3" borderId="0" xfId="0" applyNumberFormat="1" applyFill="1"/>
    <xf numFmtId="2" fontId="0" fillId="0" borderId="0" xfId="0" applyNumberFormat="1" applyFill="1"/>
    <xf numFmtId="0" fontId="1" fillId="2" borderId="0" xfId="0" applyFont="1" applyFill="1"/>
    <xf numFmtId="0" fontId="1" fillId="3" borderId="0" xfId="0" applyFont="1" applyFill="1"/>
    <xf numFmtId="164" fontId="0" fillId="0" borderId="0" xfId="0" applyNumberFormat="1"/>
    <xf numFmtId="1" fontId="0" fillId="0" borderId="0" xfId="0" applyNumberFormat="1"/>
    <xf numFmtId="0" fontId="1" fillId="0" borderId="0" xfId="0" applyFont="1" applyAlignment="1">
      <alignment wrapText="1"/>
    </xf>
    <xf numFmtId="1" fontId="0" fillId="0" borderId="0" xfId="0" applyNumberFormat="1" applyFill="1"/>
    <xf numFmtId="164" fontId="0" fillId="0" borderId="0" xfId="0" applyNumberFormat="1" applyFill="1"/>
    <xf numFmtId="0" fontId="0" fillId="0" borderId="0" xfId="0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right" vertic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716907261592301"/>
          <c:y val="5.1400554097404488E-2"/>
          <c:w val="0.84310936132983372"/>
          <c:h val="0.8326195683872849"/>
        </c:manualLayout>
      </c:layout>
      <c:barChart>
        <c:barDir val="col"/>
        <c:grouping val="clustered"/>
        <c:varyColors val="0"/>
        <c:ser>
          <c:idx val="0"/>
          <c:order val="0"/>
          <c:tx>
            <c:v>IN-FC</c:v>
          </c:tx>
          <c:invertIfNegative val="0"/>
          <c:errBars>
            <c:errBarType val="both"/>
            <c:errValType val="cust"/>
            <c:noEndCap val="0"/>
            <c:plus>
              <c:numRef>
                <c:f>StimFalsePos!$K$89:$M$89</c:f>
                <c:numCache>
                  <c:formatCode>General</c:formatCode>
                  <c:ptCount val="3"/>
                  <c:pt idx="0">
                    <c:v>129.97497384943188</c:v>
                  </c:pt>
                  <c:pt idx="1">
                    <c:v>80.50985293585552</c:v>
                  </c:pt>
                  <c:pt idx="2">
                    <c:v>76.688000252425738</c:v>
                  </c:pt>
                </c:numCache>
              </c:numRef>
            </c:plus>
            <c:minus>
              <c:numRef>
                <c:f>StimFalsePos!$K$89:$M$89</c:f>
                <c:numCache>
                  <c:formatCode>General</c:formatCode>
                  <c:ptCount val="3"/>
                  <c:pt idx="0">
                    <c:v>129.97497384943188</c:v>
                  </c:pt>
                  <c:pt idx="1">
                    <c:v>80.50985293585552</c:v>
                  </c:pt>
                  <c:pt idx="2">
                    <c:v>76.688000252425738</c:v>
                  </c:pt>
                </c:numCache>
              </c:numRef>
            </c:minus>
          </c:errBars>
          <c:cat>
            <c:strRef>
              <c:f>StimFalsePos!$D$88:$F$88</c:f>
              <c:strCache>
                <c:ptCount val="3"/>
                <c:pt idx="0">
                  <c:v>All</c:v>
                </c:pt>
                <c:pt idx="1">
                  <c:v>NonREM</c:v>
                </c:pt>
                <c:pt idx="2">
                  <c:v>Corrected</c:v>
                </c:pt>
              </c:strCache>
            </c:strRef>
          </c:cat>
          <c:val>
            <c:numRef>
              <c:f>StimFalsePos!$D$89:$F$89</c:f>
              <c:numCache>
                <c:formatCode>0.00</c:formatCode>
                <c:ptCount val="3"/>
                <c:pt idx="0">
                  <c:v>899.77777777777783</c:v>
                </c:pt>
                <c:pt idx="1">
                  <c:v>639.44444444444446</c:v>
                </c:pt>
                <c:pt idx="2">
                  <c:v>614.77777777777783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1D0-45C7-B062-5DEF3F858FA0}"/>
            </c:ext>
          </c:extLst>
        </c:ser>
        <c:ser>
          <c:idx val="3"/>
          <c:order val="1"/>
          <c:tx>
            <c:v>NoStim-FC-IN</c:v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StimFalsePos!$K$92:$M$92</c:f>
                <c:numCache>
                  <c:formatCode>General</c:formatCode>
                  <c:ptCount val="3"/>
                  <c:pt idx="0">
                    <c:v>229.44000458176279</c:v>
                  </c:pt>
                  <c:pt idx="1">
                    <c:v>162.8922830209234</c:v>
                  </c:pt>
                  <c:pt idx="2">
                    <c:v>148.63723102332398</c:v>
                  </c:pt>
                </c:numCache>
              </c:numRef>
            </c:plus>
            <c:minus>
              <c:numRef>
                <c:f>StimFalsePos!$K$92:$M$92</c:f>
                <c:numCache>
                  <c:formatCode>General</c:formatCode>
                  <c:ptCount val="3"/>
                  <c:pt idx="0">
                    <c:v>229.44000458176279</c:v>
                  </c:pt>
                  <c:pt idx="1">
                    <c:v>162.8922830209234</c:v>
                  </c:pt>
                  <c:pt idx="2">
                    <c:v>148.63723102332398</c:v>
                  </c:pt>
                </c:numCache>
              </c:numRef>
            </c:minus>
          </c:errBars>
          <c:cat>
            <c:strRef>
              <c:f>StimFalsePos!$D$88:$F$88</c:f>
              <c:strCache>
                <c:ptCount val="3"/>
                <c:pt idx="0">
                  <c:v>All</c:v>
                </c:pt>
                <c:pt idx="1">
                  <c:v>NonREM</c:v>
                </c:pt>
                <c:pt idx="2">
                  <c:v>Corrected</c:v>
                </c:pt>
              </c:strCache>
            </c:strRef>
          </c:cat>
          <c:val>
            <c:numRef>
              <c:f>StimFalsePos!$D$92:$F$92</c:f>
              <c:numCache>
                <c:formatCode>0.00</c:formatCode>
                <c:ptCount val="3"/>
                <c:pt idx="0">
                  <c:v>1794.4545454545455</c:v>
                </c:pt>
                <c:pt idx="1">
                  <c:v>1257.3636363636363</c:v>
                </c:pt>
                <c:pt idx="2">
                  <c:v>1181.090909090909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1D0-45C7-B062-5DEF3F858FA0}"/>
            </c:ext>
          </c:extLst>
        </c:ser>
        <c:ser>
          <c:idx val="1"/>
          <c:order val="2"/>
          <c:tx>
            <c:v>OUT-FC</c:v>
          </c:tx>
          <c:invertIfNegative val="0"/>
          <c:errBars>
            <c:errBarType val="both"/>
            <c:errValType val="cust"/>
            <c:noEndCap val="0"/>
            <c:plus>
              <c:numRef>
                <c:f>StimFalsePos!$K$90:$M$90</c:f>
                <c:numCache>
                  <c:formatCode>General</c:formatCode>
                  <c:ptCount val="3"/>
                  <c:pt idx="0">
                    <c:v>56.071383075504741</c:v>
                  </c:pt>
                  <c:pt idx="1">
                    <c:v>46.679495591126226</c:v>
                  </c:pt>
                  <c:pt idx="2">
                    <c:v>45.29781424427275</c:v>
                  </c:pt>
                </c:numCache>
              </c:numRef>
            </c:plus>
            <c:minus>
              <c:numRef>
                <c:f>StimFalsePos!$K$90:$M$90</c:f>
                <c:numCache>
                  <c:formatCode>General</c:formatCode>
                  <c:ptCount val="3"/>
                  <c:pt idx="0">
                    <c:v>56.071383075504741</c:v>
                  </c:pt>
                  <c:pt idx="1">
                    <c:v>46.679495591126226</c:v>
                  </c:pt>
                  <c:pt idx="2">
                    <c:v>45.29781424427275</c:v>
                  </c:pt>
                </c:numCache>
              </c:numRef>
            </c:minus>
          </c:errBars>
          <c:cat>
            <c:strRef>
              <c:f>StimFalsePos!$D$88:$F$88</c:f>
              <c:strCache>
                <c:ptCount val="3"/>
                <c:pt idx="0">
                  <c:v>All</c:v>
                </c:pt>
                <c:pt idx="1">
                  <c:v>NonREM</c:v>
                </c:pt>
                <c:pt idx="2">
                  <c:v>Corrected</c:v>
                </c:pt>
              </c:strCache>
            </c:strRef>
          </c:cat>
          <c:val>
            <c:numRef>
              <c:f>StimFalsePos!$D$90:$F$90</c:f>
              <c:numCache>
                <c:formatCode>0.00</c:formatCode>
                <c:ptCount val="3"/>
                <c:pt idx="0">
                  <c:v>949</c:v>
                </c:pt>
                <c:pt idx="1">
                  <c:v>713.55555555555554</c:v>
                </c:pt>
                <c:pt idx="2">
                  <c:v>678.44444444444446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D1D0-45C7-B062-5DEF3F858FA0}"/>
            </c:ext>
          </c:extLst>
        </c:ser>
        <c:ser>
          <c:idx val="4"/>
          <c:order val="3"/>
          <c:tx>
            <c:v>NoStim-FC-OUT</c:v>
          </c:tx>
          <c:spPr>
            <a:solidFill>
              <a:schemeClr val="accent2">
                <a:lumMod val="40000"/>
                <a:lumOff val="60000"/>
              </a:schemeClr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StimFalsePos!$K$93:$M$93</c:f>
                <c:numCache>
                  <c:formatCode>General</c:formatCode>
                  <c:ptCount val="3"/>
                  <c:pt idx="0">
                    <c:v>229.4304914635872</c:v>
                  </c:pt>
                  <c:pt idx="1">
                    <c:v>162.56612640567363</c:v>
                  </c:pt>
                  <c:pt idx="2">
                    <c:v>146.72224842135626</c:v>
                  </c:pt>
                </c:numCache>
              </c:numRef>
            </c:plus>
            <c:minus>
              <c:numRef>
                <c:f>StimFalsePos!$K$93:$M$93</c:f>
                <c:numCache>
                  <c:formatCode>General</c:formatCode>
                  <c:ptCount val="3"/>
                  <c:pt idx="0">
                    <c:v>229.4304914635872</c:v>
                  </c:pt>
                  <c:pt idx="1">
                    <c:v>162.56612640567363</c:v>
                  </c:pt>
                  <c:pt idx="2">
                    <c:v>146.72224842135626</c:v>
                  </c:pt>
                </c:numCache>
              </c:numRef>
            </c:minus>
          </c:errBars>
          <c:cat>
            <c:strRef>
              <c:f>StimFalsePos!$D$88:$F$88</c:f>
              <c:strCache>
                <c:ptCount val="3"/>
                <c:pt idx="0">
                  <c:v>All</c:v>
                </c:pt>
                <c:pt idx="1">
                  <c:v>NonREM</c:v>
                </c:pt>
                <c:pt idx="2">
                  <c:v>Corrected</c:v>
                </c:pt>
              </c:strCache>
            </c:strRef>
          </c:cat>
          <c:val>
            <c:numRef>
              <c:f>StimFalsePos!$D$93:$F$93</c:f>
              <c:numCache>
                <c:formatCode>0.00</c:formatCode>
                <c:ptCount val="3"/>
                <c:pt idx="0">
                  <c:v>1794.3636363636363</c:v>
                </c:pt>
                <c:pt idx="1">
                  <c:v>1254</c:v>
                </c:pt>
                <c:pt idx="2">
                  <c:v>1164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D1D0-45C7-B062-5DEF3F858FA0}"/>
            </c:ext>
          </c:extLst>
        </c:ser>
        <c:ser>
          <c:idx val="2"/>
          <c:order val="4"/>
          <c:tx>
            <c:v>OUT-FC-Detect</c:v>
          </c:tx>
          <c:invertIfNegative val="0"/>
          <c:errBars>
            <c:errBarType val="both"/>
            <c:errValType val="cust"/>
            <c:noEndCap val="0"/>
            <c:plus>
              <c:numRef>
                <c:f>StimFalsePos!$K$91:$M$91</c:f>
                <c:numCache>
                  <c:formatCode>General</c:formatCode>
                  <c:ptCount val="3"/>
                  <c:pt idx="0">
                    <c:v>56.071383075504741</c:v>
                  </c:pt>
                  <c:pt idx="1">
                    <c:v>46.561422329893681</c:v>
                  </c:pt>
                  <c:pt idx="2">
                    <c:v>45.1226723006911</c:v>
                  </c:pt>
                </c:numCache>
              </c:numRef>
            </c:plus>
            <c:minus>
              <c:numRef>
                <c:f>StimFalsePos!$K$91:$M$91</c:f>
                <c:numCache>
                  <c:formatCode>General</c:formatCode>
                  <c:ptCount val="3"/>
                  <c:pt idx="0">
                    <c:v>56.071383075504741</c:v>
                  </c:pt>
                  <c:pt idx="1">
                    <c:v>46.561422329893681</c:v>
                  </c:pt>
                  <c:pt idx="2">
                    <c:v>45.1226723006911</c:v>
                  </c:pt>
                </c:numCache>
              </c:numRef>
            </c:minus>
          </c:errBars>
          <c:cat>
            <c:strRef>
              <c:f>StimFalsePos!$D$88:$F$88</c:f>
              <c:strCache>
                <c:ptCount val="3"/>
                <c:pt idx="0">
                  <c:v>All</c:v>
                </c:pt>
                <c:pt idx="1">
                  <c:v>NonREM</c:v>
                </c:pt>
                <c:pt idx="2">
                  <c:v>Corrected</c:v>
                </c:pt>
              </c:strCache>
            </c:strRef>
          </c:cat>
          <c:val>
            <c:numRef>
              <c:f>StimFalsePos!$D$91:$F$91</c:f>
              <c:numCache>
                <c:formatCode>0.00</c:formatCode>
                <c:ptCount val="3"/>
                <c:pt idx="0">
                  <c:v>949</c:v>
                </c:pt>
                <c:pt idx="1">
                  <c:v>715.77777777777783</c:v>
                </c:pt>
                <c:pt idx="2">
                  <c:v>689.33333333333337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D1D0-45C7-B062-5DEF3F858F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214528"/>
        <c:axId val="88664704"/>
      </c:barChart>
      <c:catAx>
        <c:axId val="882145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88664704"/>
        <c:crosses val="autoZero"/>
        <c:auto val="1"/>
        <c:lblAlgn val="ctr"/>
        <c:lblOffset val="100"/>
        <c:noMultiLvlLbl val="0"/>
      </c:catAx>
      <c:valAx>
        <c:axId val="88664704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crossAx val="88214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0906641414141411"/>
          <c:y val="3.6698016914552341E-3"/>
          <c:w val="0.68815580808080812"/>
          <c:h val="0.25965092592592592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716907261592301"/>
          <c:y val="5.1400554097404488E-2"/>
          <c:w val="0.84310936132983372"/>
          <c:h val="0.8326195683872849"/>
        </c:manualLayout>
      </c:layout>
      <c:barChart>
        <c:barDir val="col"/>
        <c:grouping val="clustered"/>
        <c:varyColors val="0"/>
        <c:ser>
          <c:idx val="3"/>
          <c:order val="0"/>
          <c:tx>
            <c:v>IN-creCH</c:v>
          </c:tx>
          <c:spPr>
            <a:pattFill prst="wdUpDiag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accent1"/>
              </a:solidFill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StimFalsePos!$K$95:$M$95</c:f>
                <c:numCache>
                  <c:formatCode>General</c:formatCode>
                  <c:ptCount val="3"/>
                  <c:pt idx="0">
                    <c:v>148.10528981352519</c:v>
                  </c:pt>
                  <c:pt idx="1">
                    <c:v>122.98293670704253</c:v>
                  </c:pt>
                  <c:pt idx="2">
                    <c:v>119.88761744369818</c:v>
                  </c:pt>
                </c:numCache>
              </c:numRef>
            </c:plus>
            <c:minus>
              <c:numRef>
                <c:f>StimFalsePos!$K$95:$M$95</c:f>
                <c:numCache>
                  <c:formatCode>General</c:formatCode>
                  <c:ptCount val="3"/>
                  <c:pt idx="0">
                    <c:v>148.10528981352519</c:v>
                  </c:pt>
                  <c:pt idx="1">
                    <c:v>122.98293670704253</c:v>
                  </c:pt>
                  <c:pt idx="2">
                    <c:v>119.88761744369818</c:v>
                  </c:pt>
                </c:numCache>
              </c:numRef>
            </c:minus>
          </c:errBars>
          <c:cat>
            <c:strRef>
              <c:f>StimFalsePos!$D$88:$F$88</c:f>
              <c:strCache>
                <c:ptCount val="3"/>
                <c:pt idx="0">
                  <c:v>All</c:v>
                </c:pt>
                <c:pt idx="1">
                  <c:v>NonREM</c:v>
                </c:pt>
                <c:pt idx="2">
                  <c:v>Corrected</c:v>
                </c:pt>
              </c:strCache>
            </c:strRef>
          </c:cat>
          <c:val>
            <c:numRef>
              <c:f>StimFalsePos!$D$95:$F$95</c:f>
              <c:numCache>
                <c:formatCode>0.00</c:formatCode>
                <c:ptCount val="3"/>
                <c:pt idx="0">
                  <c:v>985.28571428571433</c:v>
                </c:pt>
                <c:pt idx="1">
                  <c:v>702.57142857142856</c:v>
                </c:pt>
                <c:pt idx="2">
                  <c:v>676.57142857142856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D17-4DE5-8480-82CFF841F1CC}"/>
            </c:ext>
          </c:extLst>
        </c:ser>
        <c:ser>
          <c:idx val="0"/>
          <c:order val="1"/>
          <c:tx>
            <c:v>IN-creARC</c:v>
          </c:tx>
          <c:spPr>
            <a:solidFill>
              <a:schemeClr val="accent1"/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StimFalsePos!$K$94:$M$94</c:f>
                <c:numCache>
                  <c:formatCode>General</c:formatCode>
                  <c:ptCount val="3"/>
                  <c:pt idx="0">
                    <c:v>93.290253663345936</c:v>
                  </c:pt>
                  <c:pt idx="1">
                    <c:v>87.237156238448236</c:v>
                  </c:pt>
                  <c:pt idx="2">
                    <c:v>83.014615214947014</c:v>
                  </c:pt>
                </c:numCache>
              </c:numRef>
            </c:plus>
            <c:minus>
              <c:numRef>
                <c:f>StimFalsePos!$K$94:$M$94</c:f>
                <c:numCache>
                  <c:formatCode>General</c:formatCode>
                  <c:ptCount val="3"/>
                  <c:pt idx="0">
                    <c:v>93.290253663345936</c:v>
                  </c:pt>
                  <c:pt idx="1">
                    <c:v>87.237156238448236</c:v>
                  </c:pt>
                  <c:pt idx="2">
                    <c:v>83.014615214947014</c:v>
                  </c:pt>
                </c:numCache>
              </c:numRef>
            </c:minus>
          </c:errBars>
          <c:cat>
            <c:strRef>
              <c:f>StimFalsePos!$D$88:$F$88</c:f>
              <c:strCache>
                <c:ptCount val="3"/>
                <c:pt idx="0">
                  <c:v>All</c:v>
                </c:pt>
                <c:pt idx="1">
                  <c:v>NonREM</c:v>
                </c:pt>
                <c:pt idx="2">
                  <c:v>Corrected</c:v>
                </c:pt>
              </c:strCache>
            </c:strRef>
          </c:cat>
          <c:val>
            <c:numRef>
              <c:f>StimFalsePos!$D$94:$F$94</c:f>
              <c:numCache>
                <c:formatCode>0.00</c:formatCode>
                <c:ptCount val="3"/>
                <c:pt idx="0">
                  <c:v>1010</c:v>
                </c:pt>
                <c:pt idx="1">
                  <c:v>664</c:v>
                </c:pt>
                <c:pt idx="2">
                  <c:v>614.625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7D17-4DE5-8480-82CFF841F1CC}"/>
            </c:ext>
          </c:extLst>
        </c:ser>
        <c:ser>
          <c:idx val="2"/>
          <c:order val="2"/>
          <c:tx>
            <c:v>NoStim-creARC-IN</c:v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StimFalsePos!$K$98:$M$98</c:f>
                <c:numCache>
                  <c:formatCode>General</c:formatCode>
                  <c:ptCount val="3"/>
                  <c:pt idx="0">
                    <c:v>116.51498217580676</c:v>
                  </c:pt>
                  <c:pt idx="1">
                    <c:v>81.07821124868083</c:v>
                  </c:pt>
                  <c:pt idx="2">
                    <c:v>89.449194977612038</c:v>
                  </c:pt>
                </c:numCache>
              </c:numRef>
            </c:plus>
            <c:minus>
              <c:numRef>
                <c:f>StimFalsePos!$K$98:$M$98</c:f>
                <c:numCache>
                  <c:formatCode>General</c:formatCode>
                  <c:ptCount val="3"/>
                  <c:pt idx="0">
                    <c:v>116.51498217580676</c:v>
                  </c:pt>
                  <c:pt idx="1">
                    <c:v>81.07821124868083</c:v>
                  </c:pt>
                  <c:pt idx="2">
                    <c:v>89.449194977612038</c:v>
                  </c:pt>
                </c:numCache>
              </c:numRef>
            </c:minus>
          </c:errBars>
          <c:cat>
            <c:strRef>
              <c:f>StimFalsePos!$D$88:$F$88</c:f>
              <c:strCache>
                <c:ptCount val="3"/>
                <c:pt idx="0">
                  <c:v>All</c:v>
                </c:pt>
                <c:pt idx="1">
                  <c:v>NonREM</c:v>
                </c:pt>
                <c:pt idx="2">
                  <c:v>Corrected</c:v>
                </c:pt>
              </c:strCache>
            </c:strRef>
          </c:cat>
          <c:val>
            <c:numRef>
              <c:f>StimFalsePos!$D$98:$F$98</c:f>
              <c:numCache>
                <c:formatCode>0.00</c:formatCode>
                <c:ptCount val="3"/>
                <c:pt idx="0">
                  <c:v>3005.25</c:v>
                </c:pt>
                <c:pt idx="1">
                  <c:v>2291.375</c:v>
                </c:pt>
                <c:pt idx="2">
                  <c:v>1988.125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7D17-4DE5-8480-82CFF841F1CC}"/>
            </c:ext>
          </c:extLst>
        </c:ser>
        <c:ser>
          <c:idx val="1"/>
          <c:order val="3"/>
          <c:tx>
            <c:v>OUT-creARC</c:v>
          </c:tx>
          <c:invertIfNegative val="0"/>
          <c:errBars>
            <c:errBarType val="both"/>
            <c:errValType val="cust"/>
            <c:noEndCap val="0"/>
            <c:plus>
              <c:numRef>
                <c:f>StimFalsePos!$K$96:$M$96</c:f>
                <c:numCache>
                  <c:formatCode>General</c:formatCode>
                  <c:ptCount val="3"/>
                  <c:pt idx="0">
                    <c:v>123.51817680001591</c:v>
                  </c:pt>
                  <c:pt idx="1">
                    <c:v>112.00696406920419</c:v>
                  </c:pt>
                  <c:pt idx="2">
                    <c:v>105.95253654349197</c:v>
                  </c:pt>
                </c:numCache>
              </c:numRef>
            </c:plus>
            <c:minus>
              <c:numRef>
                <c:f>StimFalsePos!$K$96:$M$96</c:f>
                <c:numCache>
                  <c:formatCode>General</c:formatCode>
                  <c:ptCount val="3"/>
                  <c:pt idx="0">
                    <c:v>123.51817680001591</c:v>
                  </c:pt>
                  <c:pt idx="1">
                    <c:v>112.00696406920419</c:v>
                  </c:pt>
                  <c:pt idx="2">
                    <c:v>105.95253654349197</c:v>
                  </c:pt>
                </c:numCache>
              </c:numRef>
            </c:minus>
          </c:errBars>
          <c:cat>
            <c:strRef>
              <c:f>StimFalsePos!$D$88:$F$88</c:f>
              <c:strCache>
                <c:ptCount val="3"/>
                <c:pt idx="0">
                  <c:v>All</c:v>
                </c:pt>
                <c:pt idx="1">
                  <c:v>NonREM</c:v>
                </c:pt>
                <c:pt idx="2">
                  <c:v>Corrected</c:v>
                </c:pt>
              </c:strCache>
            </c:strRef>
          </c:cat>
          <c:val>
            <c:numRef>
              <c:f>StimFalsePos!$D$96:$F$96</c:f>
              <c:numCache>
                <c:formatCode>0.00</c:formatCode>
                <c:ptCount val="3"/>
                <c:pt idx="0">
                  <c:v>961.2</c:v>
                </c:pt>
                <c:pt idx="1">
                  <c:v>568.4</c:v>
                </c:pt>
                <c:pt idx="2">
                  <c:v>533.20000000000005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7D17-4DE5-8480-82CFF841F1CC}"/>
            </c:ext>
          </c:extLst>
        </c:ser>
        <c:ser>
          <c:idx val="5"/>
          <c:order val="4"/>
          <c:tx>
            <c:v>NoStim-creARC-OUT</c:v>
          </c:tx>
          <c:spPr>
            <a:solidFill>
              <a:schemeClr val="accent2">
                <a:lumMod val="40000"/>
                <a:lumOff val="60000"/>
              </a:schemeClr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StimFalsePos!$K$99:$M$99</c:f>
                <c:numCache>
                  <c:formatCode>General</c:formatCode>
                  <c:ptCount val="3"/>
                  <c:pt idx="0">
                    <c:v>116.51498217580676</c:v>
                  </c:pt>
                  <c:pt idx="1">
                    <c:v>81.594147527345882</c:v>
                  </c:pt>
                  <c:pt idx="2">
                    <c:v>89.016200371457259</c:v>
                  </c:pt>
                </c:numCache>
              </c:numRef>
            </c:plus>
            <c:minus>
              <c:numRef>
                <c:f>StimFalsePos!$K$99:$M$99</c:f>
                <c:numCache>
                  <c:formatCode>General</c:formatCode>
                  <c:ptCount val="3"/>
                  <c:pt idx="0">
                    <c:v>116.51498217580676</c:v>
                  </c:pt>
                  <c:pt idx="1">
                    <c:v>81.594147527345882</c:v>
                  </c:pt>
                  <c:pt idx="2">
                    <c:v>89.016200371457259</c:v>
                  </c:pt>
                </c:numCache>
              </c:numRef>
            </c:minus>
          </c:errBars>
          <c:cat>
            <c:strRef>
              <c:f>StimFalsePos!$D$88:$F$88</c:f>
              <c:strCache>
                <c:ptCount val="3"/>
                <c:pt idx="0">
                  <c:v>All</c:v>
                </c:pt>
                <c:pt idx="1">
                  <c:v>NonREM</c:v>
                </c:pt>
                <c:pt idx="2">
                  <c:v>Corrected</c:v>
                </c:pt>
              </c:strCache>
            </c:strRef>
          </c:cat>
          <c:val>
            <c:numRef>
              <c:f>StimFalsePos!$D$99:$F$99</c:f>
              <c:numCache>
                <c:formatCode>0.00</c:formatCode>
                <c:ptCount val="3"/>
                <c:pt idx="0">
                  <c:v>3005.25</c:v>
                </c:pt>
                <c:pt idx="1">
                  <c:v>2285.375</c:v>
                </c:pt>
                <c:pt idx="2">
                  <c:v>1959.25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7D17-4DE5-8480-82CFF841F1CC}"/>
            </c:ext>
          </c:extLst>
        </c:ser>
        <c:ser>
          <c:idx val="4"/>
          <c:order val="5"/>
          <c:tx>
            <c:v>OUT-creARC-Detect</c:v>
          </c:tx>
          <c:spPr>
            <a:solidFill>
              <a:schemeClr val="accent3"/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StimFalsePos!$K$97:$M$97</c:f>
                <c:numCache>
                  <c:formatCode>General</c:formatCode>
                  <c:ptCount val="3"/>
                  <c:pt idx="0">
                    <c:v>123.51817680001591</c:v>
                  </c:pt>
                  <c:pt idx="1">
                    <c:v>112.73393455388666</c:v>
                  </c:pt>
                  <c:pt idx="2">
                    <c:v>108.0816358129354</c:v>
                  </c:pt>
                </c:numCache>
              </c:numRef>
            </c:plus>
            <c:minus>
              <c:numRef>
                <c:f>StimFalsePos!$K$97:$M$97</c:f>
                <c:numCache>
                  <c:formatCode>General</c:formatCode>
                  <c:ptCount val="3"/>
                  <c:pt idx="0">
                    <c:v>123.51817680001591</c:v>
                  </c:pt>
                  <c:pt idx="1">
                    <c:v>112.73393455388666</c:v>
                  </c:pt>
                  <c:pt idx="2">
                    <c:v>108.0816358129354</c:v>
                  </c:pt>
                </c:numCache>
              </c:numRef>
            </c:minus>
          </c:errBars>
          <c:cat>
            <c:strRef>
              <c:f>StimFalsePos!$D$88:$F$88</c:f>
              <c:strCache>
                <c:ptCount val="3"/>
                <c:pt idx="0">
                  <c:v>All</c:v>
                </c:pt>
                <c:pt idx="1">
                  <c:v>NonREM</c:v>
                </c:pt>
                <c:pt idx="2">
                  <c:v>Corrected</c:v>
                </c:pt>
              </c:strCache>
            </c:strRef>
          </c:cat>
          <c:val>
            <c:numRef>
              <c:f>StimFalsePos!$D$97:$F$97</c:f>
              <c:numCache>
                <c:formatCode>0.00</c:formatCode>
                <c:ptCount val="3"/>
                <c:pt idx="0">
                  <c:v>961.2</c:v>
                </c:pt>
                <c:pt idx="1">
                  <c:v>569.20000000000005</c:v>
                </c:pt>
                <c:pt idx="2">
                  <c:v>543.79999999999995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D17-4DE5-8480-82CFF841F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303168"/>
        <c:axId val="95313280"/>
      </c:barChart>
      <c:catAx>
        <c:axId val="953031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5313280"/>
        <c:crosses val="autoZero"/>
        <c:auto val="1"/>
        <c:lblAlgn val="ctr"/>
        <c:lblOffset val="100"/>
        <c:noMultiLvlLbl val="0"/>
      </c:catAx>
      <c:valAx>
        <c:axId val="95313280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crossAx val="95303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1184419191919194"/>
          <c:y val="3.6698016914552341E-3"/>
          <c:w val="0.68346161616161616"/>
          <c:h val="0.26480324074074074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716907261592301"/>
          <c:y val="5.1400554097404488E-2"/>
          <c:w val="0.84310936132983372"/>
          <c:h val="0.8326195683872849"/>
        </c:manualLayout>
      </c:layout>
      <c:barChart>
        <c:barDir val="col"/>
        <c:grouping val="clustered"/>
        <c:varyColors val="0"/>
        <c:ser>
          <c:idx val="0"/>
          <c:order val="0"/>
          <c:tx>
            <c:v>IN-FC</c:v>
          </c:tx>
          <c:invertIfNegative val="0"/>
          <c:errBars>
            <c:errBarType val="both"/>
            <c:errValType val="cust"/>
            <c:noEndCap val="0"/>
            <c:plus>
              <c:numRef>
                <c:f>StimFalsePos!$N$89:$P$89</c:f>
                <c:numCache>
                  <c:formatCode>General</c:formatCode>
                  <c:ptCount val="3"/>
                  <c:pt idx="0">
                    <c:v>3.7624120477362477</c:v>
                  </c:pt>
                  <c:pt idx="1">
                    <c:v>3.8425252993996595</c:v>
                  </c:pt>
                  <c:pt idx="2">
                    <c:v>0.42743770067672787</c:v>
                  </c:pt>
                </c:numCache>
              </c:numRef>
            </c:plus>
            <c:minus>
              <c:numRef>
                <c:f>StimFalsePos!$N$89:$P$89</c:f>
                <c:numCache>
                  <c:formatCode>General</c:formatCode>
                  <c:ptCount val="3"/>
                  <c:pt idx="0">
                    <c:v>3.7624120477362477</c:v>
                  </c:pt>
                  <c:pt idx="1">
                    <c:v>3.8425252993996595</c:v>
                  </c:pt>
                  <c:pt idx="2">
                    <c:v>0.42743770067672787</c:v>
                  </c:pt>
                </c:numCache>
              </c:numRef>
            </c:minus>
          </c:errBars>
          <c:cat>
            <c:strRef>
              <c:f>StimFalsePos!$G$88:$I$88</c:f>
              <c:strCache>
                <c:ptCount val="3"/>
                <c:pt idx="0">
                  <c:v>NonREM per All</c:v>
                </c:pt>
                <c:pt idx="1">
                  <c:v>Corrected per All</c:v>
                </c:pt>
                <c:pt idx="2">
                  <c:v>Corrected per NonREM</c:v>
                </c:pt>
              </c:strCache>
            </c:strRef>
          </c:cat>
          <c:val>
            <c:numRef>
              <c:f>StimFalsePos!$G$89:$I$89</c:f>
              <c:numCache>
                <c:formatCode>0.00</c:formatCode>
                <c:ptCount val="3"/>
                <c:pt idx="0">
                  <c:v>74.489311992415892</c:v>
                </c:pt>
                <c:pt idx="1">
                  <c:v>71.879527477513207</c:v>
                </c:pt>
                <c:pt idx="2">
                  <c:v>96.379318448780921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310-49E8-AA6C-BE23E1DFF04D}"/>
            </c:ext>
          </c:extLst>
        </c:ser>
        <c:ser>
          <c:idx val="3"/>
          <c:order val="1"/>
          <c:tx>
            <c:v>NoStim-FC-IN</c:v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StimFalsePos!$N$92:$P$92</c:f>
                <c:numCache>
                  <c:formatCode>General</c:formatCode>
                  <c:ptCount val="3"/>
                  <c:pt idx="0">
                    <c:v>3.4746495656032428</c:v>
                  </c:pt>
                  <c:pt idx="1">
                    <c:v>3.4203514320936659</c:v>
                  </c:pt>
                  <c:pt idx="2">
                    <c:v>0.78540535322818272</c:v>
                  </c:pt>
                </c:numCache>
              </c:numRef>
            </c:plus>
            <c:minus>
              <c:numRef>
                <c:f>StimFalsePos!$N$92:$P$92</c:f>
                <c:numCache>
                  <c:formatCode>General</c:formatCode>
                  <c:ptCount val="3"/>
                  <c:pt idx="0">
                    <c:v>3.4746495656032428</c:v>
                  </c:pt>
                  <c:pt idx="1">
                    <c:v>3.4203514320936659</c:v>
                  </c:pt>
                  <c:pt idx="2">
                    <c:v>0.78540535322818272</c:v>
                  </c:pt>
                </c:numCache>
              </c:numRef>
            </c:minus>
          </c:errBars>
          <c:cat>
            <c:strRef>
              <c:f>StimFalsePos!$G$88:$I$88</c:f>
              <c:strCache>
                <c:ptCount val="3"/>
                <c:pt idx="0">
                  <c:v>NonREM per All</c:v>
                </c:pt>
                <c:pt idx="1">
                  <c:v>Corrected per All</c:v>
                </c:pt>
                <c:pt idx="2">
                  <c:v>Corrected per NonREM</c:v>
                </c:pt>
              </c:strCache>
            </c:strRef>
          </c:cat>
          <c:val>
            <c:numRef>
              <c:f>StimFalsePos!$G$92:$I$92</c:f>
              <c:numCache>
                <c:formatCode>0.00</c:formatCode>
                <c:ptCount val="3"/>
                <c:pt idx="0">
                  <c:v>69.614330336587102</c:v>
                </c:pt>
                <c:pt idx="1">
                  <c:v>65.929857453720544</c:v>
                </c:pt>
                <c:pt idx="2">
                  <c:v>94.647205145948774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7310-49E8-AA6C-BE23E1DFF04D}"/>
            </c:ext>
          </c:extLst>
        </c:ser>
        <c:ser>
          <c:idx val="1"/>
          <c:order val="2"/>
          <c:tx>
            <c:v>OUT-FC</c:v>
          </c:tx>
          <c:invertIfNegative val="0"/>
          <c:errBars>
            <c:errBarType val="both"/>
            <c:errValType val="cust"/>
            <c:noEndCap val="0"/>
            <c:plus>
              <c:numRef>
                <c:f>StimFalsePos!$N$90:$P$90</c:f>
                <c:numCache>
                  <c:formatCode>General</c:formatCode>
                  <c:ptCount val="3"/>
                  <c:pt idx="0">
                    <c:v>2.0039955258248847</c:v>
                  </c:pt>
                  <c:pt idx="1">
                    <c:v>2.0720578890752663</c:v>
                  </c:pt>
                  <c:pt idx="2">
                    <c:v>0.51696970261263453</c:v>
                  </c:pt>
                </c:numCache>
              </c:numRef>
            </c:plus>
            <c:minus>
              <c:numRef>
                <c:f>StimFalsePos!$N$90:$P$90</c:f>
                <c:numCache>
                  <c:formatCode>General</c:formatCode>
                  <c:ptCount val="3"/>
                  <c:pt idx="0">
                    <c:v>2.0039955258248847</c:v>
                  </c:pt>
                  <c:pt idx="1">
                    <c:v>2.0720578890752663</c:v>
                  </c:pt>
                  <c:pt idx="2">
                    <c:v>0.51696970261263453</c:v>
                  </c:pt>
                </c:numCache>
              </c:numRef>
            </c:minus>
          </c:errBars>
          <c:cat>
            <c:strRef>
              <c:f>StimFalsePos!$G$88:$I$88</c:f>
              <c:strCache>
                <c:ptCount val="3"/>
                <c:pt idx="0">
                  <c:v>NonREM per All</c:v>
                </c:pt>
                <c:pt idx="1">
                  <c:v>Corrected per All</c:v>
                </c:pt>
                <c:pt idx="2">
                  <c:v>Corrected per NonREM</c:v>
                </c:pt>
              </c:strCache>
            </c:strRef>
          </c:cat>
          <c:val>
            <c:numRef>
              <c:f>StimFalsePos!$G$90:$I$90</c:f>
              <c:numCache>
                <c:formatCode>0.00</c:formatCode>
                <c:ptCount val="3"/>
                <c:pt idx="0">
                  <c:v>75.16247001930293</c:v>
                </c:pt>
                <c:pt idx="1">
                  <c:v>71.471947911608211</c:v>
                </c:pt>
                <c:pt idx="2">
                  <c:v>95.041721411734159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7310-49E8-AA6C-BE23E1DFF04D}"/>
            </c:ext>
          </c:extLst>
        </c:ser>
        <c:ser>
          <c:idx val="4"/>
          <c:order val="3"/>
          <c:tx>
            <c:v>NoStim-FC-OUT</c:v>
          </c:tx>
          <c:spPr>
            <a:solidFill>
              <a:schemeClr val="accent2">
                <a:lumMod val="40000"/>
                <a:lumOff val="60000"/>
              </a:schemeClr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StimFalsePos!$N$93:$P$93</c:f>
                <c:numCache>
                  <c:formatCode>General</c:formatCode>
                  <c:ptCount val="3"/>
                  <c:pt idx="0">
                    <c:v>3.4482723101013186</c:v>
                  </c:pt>
                  <c:pt idx="1">
                    <c:v>3.4167263770796197</c:v>
                  </c:pt>
                  <c:pt idx="2">
                    <c:v>0.79464851148266014</c:v>
                  </c:pt>
                </c:numCache>
              </c:numRef>
            </c:plus>
            <c:minus>
              <c:numRef>
                <c:f>StimFalsePos!$N$93:$P$93</c:f>
                <c:numCache>
                  <c:formatCode>General</c:formatCode>
                  <c:ptCount val="3"/>
                  <c:pt idx="0">
                    <c:v>3.4482723101013186</c:v>
                  </c:pt>
                  <c:pt idx="1">
                    <c:v>3.4167263770796197</c:v>
                  </c:pt>
                  <c:pt idx="2">
                    <c:v>0.79464851148266014</c:v>
                  </c:pt>
                </c:numCache>
              </c:numRef>
            </c:minus>
          </c:errBars>
          <c:cat>
            <c:strRef>
              <c:f>StimFalsePos!$G$88:$I$88</c:f>
              <c:strCache>
                <c:ptCount val="3"/>
                <c:pt idx="0">
                  <c:v>NonREM per All</c:v>
                </c:pt>
                <c:pt idx="1">
                  <c:v>Corrected per All</c:v>
                </c:pt>
                <c:pt idx="2">
                  <c:v>Corrected per NonREM</c:v>
                </c:pt>
              </c:strCache>
            </c:strRef>
          </c:cat>
          <c:val>
            <c:numRef>
              <c:f>StimFalsePos!$G$93:$I$93</c:f>
              <c:numCache>
                <c:formatCode>0.00</c:formatCode>
                <c:ptCount val="3"/>
                <c:pt idx="0">
                  <c:v>69.451707076129381</c:v>
                </c:pt>
                <c:pt idx="1">
                  <c:v>64.984864914411318</c:v>
                </c:pt>
                <c:pt idx="2">
                  <c:v>93.465796071152212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7310-49E8-AA6C-BE23E1DFF04D}"/>
            </c:ext>
          </c:extLst>
        </c:ser>
        <c:ser>
          <c:idx val="2"/>
          <c:order val="4"/>
          <c:tx>
            <c:v>OUT-FC-Detect</c:v>
          </c:tx>
          <c:invertIfNegative val="0"/>
          <c:errBars>
            <c:errBarType val="both"/>
            <c:errValType val="cust"/>
            <c:noEndCap val="0"/>
            <c:plus>
              <c:numRef>
                <c:f>StimFalsePos!$N$91:$P$91</c:f>
                <c:numCache>
                  <c:formatCode>General</c:formatCode>
                  <c:ptCount val="3"/>
                  <c:pt idx="0">
                    <c:v>1.9109387037043941</c:v>
                  </c:pt>
                  <c:pt idx="1">
                    <c:v>1.9784936159869215</c:v>
                  </c:pt>
                  <c:pt idx="2">
                    <c:v>0.51767821446706586</c:v>
                  </c:pt>
                </c:numCache>
              </c:numRef>
            </c:plus>
            <c:minus>
              <c:numRef>
                <c:f>StimFalsePos!$N$91:$P$91</c:f>
                <c:numCache>
                  <c:formatCode>General</c:formatCode>
                  <c:ptCount val="3"/>
                  <c:pt idx="0">
                    <c:v>1.9109387037043941</c:v>
                  </c:pt>
                  <c:pt idx="1">
                    <c:v>1.9784936159869215</c:v>
                  </c:pt>
                  <c:pt idx="2">
                    <c:v>0.51767821446706586</c:v>
                  </c:pt>
                </c:numCache>
              </c:numRef>
            </c:minus>
          </c:errBars>
          <c:cat>
            <c:strRef>
              <c:f>StimFalsePos!$G$88:$I$88</c:f>
              <c:strCache>
                <c:ptCount val="3"/>
                <c:pt idx="0">
                  <c:v>NonREM per All</c:v>
                </c:pt>
                <c:pt idx="1">
                  <c:v>Corrected per All</c:v>
                </c:pt>
                <c:pt idx="2">
                  <c:v>Corrected per NonREM</c:v>
                </c:pt>
              </c:strCache>
            </c:strRef>
          </c:cat>
          <c:val>
            <c:numRef>
              <c:f>StimFalsePos!$G$91:$I$91</c:f>
              <c:numCache>
                <c:formatCode>0.00</c:formatCode>
                <c:ptCount val="3"/>
                <c:pt idx="0">
                  <c:v>75.382638828765863</c:v>
                </c:pt>
                <c:pt idx="1">
                  <c:v>72.638545941445855</c:v>
                </c:pt>
                <c:pt idx="2">
                  <c:v>96.323534981167697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7310-49E8-AA6C-BE23E1DFF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395648"/>
        <c:axId val="96397184"/>
      </c:barChart>
      <c:catAx>
        <c:axId val="963956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96397184"/>
        <c:crosses val="autoZero"/>
        <c:auto val="1"/>
        <c:lblAlgn val="ctr"/>
        <c:lblOffset val="100"/>
        <c:noMultiLvlLbl val="0"/>
      </c:catAx>
      <c:valAx>
        <c:axId val="96397184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crossAx val="96395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441790745297995"/>
          <c:y val="3.6699074074074078E-3"/>
          <c:w val="0.85304321654303072"/>
          <c:h val="0.17145648148148149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716907261592301"/>
          <c:y val="5.1400554097404488E-2"/>
          <c:w val="0.84310936132983372"/>
          <c:h val="0.8326195683872849"/>
        </c:manualLayout>
      </c:layout>
      <c:barChart>
        <c:barDir val="col"/>
        <c:grouping val="clustered"/>
        <c:varyColors val="0"/>
        <c:ser>
          <c:idx val="3"/>
          <c:order val="0"/>
          <c:tx>
            <c:v>IN-creCH</c:v>
          </c:tx>
          <c:spPr>
            <a:pattFill prst="wdUpDiag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accent1"/>
              </a:solidFill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StimFalsePos!$N$95:$P$95</c:f>
                <c:numCache>
                  <c:formatCode>General</c:formatCode>
                  <c:ptCount val="3"/>
                  <c:pt idx="0">
                    <c:v>4.9302433378742521</c:v>
                  </c:pt>
                  <c:pt idx="1">
                    <c:v>4.9618301654572807</c:v>
                  </c:pt>
                  <c:pt idx="2">
                    <c:v>0.70152669229302533</c:v>
                  </c:pt>
                </c:numCache>
              </c:numRef>
            </c:plus>
            <c:minus>
              <c:numRef>
                <c:f>StimFalsePos!$N$95:$P$95</c:f>
                <c:numCache>
                  <c:formatCode>General</c:formatCode>
                  <c:ptCount val="3"/>
                  <c:pt idx="0">
                    <c:v>4.9302433378742521</c:v>
                  </c:pt>
                  <c:pt idx="1">
                    <c:v>4.9618301654572807</c:v>
                  </c:pt>
                  <c:pt idx="2">
                    <c:v>0.70152669229302533</c:v>
                  </c:pt>
                </c:numCache>
              </c:numRef>
            </c:minus>
          </c:errBars>
          <c:cat>
            <c:strRef>
              <c:f>StimFalsePos!$G$88:$I$88</c:f>
              <c:strCache>
                <c:ptCount val="3"/>
                <c:pt idx="0">
                  <c:v>NonREM per All</c:v>
                </c:pt>
                <c:pt idx="1">
                  <c:v>Corrected per All</c:v>
                </c:pt>
                <c:pt idx="2">
                  <c:v>Corrected per NonREM</c:v>
                </c:pt>
              </c:strCache>
            </c:strRef>
          </c:cat>
          <c:val>
            <c:numRef>
              <c:f>StimFalsePos!$G$95:$I$95</c:f>
              <c:numCache>
                <c:formatCode>0.00</c:formatCode>
                <c:ptCount val="3"/>
                <c:pt idx="0">
                  <c:v>68.015879311385248</c:v>
                </c:pt>
                <c:pt idx="1">
                  <c:v>65.262492100008203</c:v>
                </c:pt>
                <c:pt idx="2">
                  <c:v>95.760052644527306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F1F-4581-9F36-2D54A55AD3A2}"/>
            </c:ext>
          </c:extLst>
        </c:ser>
        <c:ser>
          <c:idx val="0"/>
          <c:order val="1"/>
          <c:tx>
            <c:v>IN-creARC</c:v>
          </c:tx>
          <c:invertIfNegative val="0"/>
          <c:errBars>
            <c:errBarType val="both"/>
            <c:errValType val="cust"/>
            <c:noEndCap val="0"/>
            <c:plus>
              <c:numRef>
                <c:f>StimFalsePos!$N$94:$P$94</c:f>
                <c:numCache>
                  <c:formatCode>General</c:formatCode>
                  <c:ptCount val="3"/>
                  <c:pt idx="0">
                    <c:v>4.4200392496699976</c:v>
                  </c:pt>
                  <c:pt idx="1">
                    <c:v>4.0460690915167685</c:v>
                  </c:pt>
                  <c:pt idx="2">
                    <c:v>1.5705347193655232</c:v>
                  </c:pt>
                </c:numCache>
              </c:numRef>
            </c:plus>
            <c:minus>
              <c:numRef>
                <c:f>StimFalsePos!$N$94:$P$94</c:f>
                <c:numCache>
                  <c:formatCode>General</c:formatCode>
                  <c:ptCount val="3"/>
                  <c:pt idx="0">
                    <c:v>4.4200392496699976</c:v>
                  </c:pt>
                  <c:pt idx="1">
                    <c:v>4.0460690915167685</c:v>
                  </c:pt>
                  <c:pt idx="2">
                    <c:v>1.5705347193655232</c:v>
                  </c:pt>
                </c:numCache>
              </c:numRef>
            </c:minus>
          </c:errBars>
          <c:cat>
            <c:strRef>
              <c:f>StimFalsePos!$G$88:$I$88</c:f>
              <c:strCache>
                <c:ptCount val="3"/>
                <c:pt idx="0">
                  <c:v>NonREM per All</c:v>
                </c:pt>
                <c:pt idx="1">
                  <c:v>Corrected per All</c:v>
                </c:pt>
                <c:pt idx="2">
                  <c:v>Corrected per NonREM</c:v>
                </c:pt>
              </c:strCache>
            </c:strRef>
          </c:cat>
          <c:val>
            <c:numRef>
              <c:f>StimFalsePos!$G$94:$I$94</c:f>
              <c:numCache>
                <c:formatCode>0.00</c:formatCode>
                <c:ptCount val="3"/>
                <c:pt idx="0">
                  <c:v>64.025001763613389</c:v>
                </c:pt>
                <c:pt idx="1">
                  <c:v>59.057437078430496</c:v>
                </c:pt>
                <c:pt idx="2">
                  <c:v>92.39439297850673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F1F-4581-9F36-2D54A55AD3A2}"/>
            </c:ext>
          </c:extLst>
        </c:ser>
        <c:ser>
          <c:idx val="2"/>
          <c:order val="2"/>
          <c:tx>
            <c:v>NoStim-creARC-IN</c:v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StimFalsePos!$N$98:$P$98</c:f>
                <c:numCache>
                  <c:formatCode>General</c:formatCode>
                  <c:ptCount val="3"/>
                  <c:pt idx="0">
                    <c:v>1.7178972047667636</c:v>
                  </c:pt>
                  <c:pt idx="1">
                    <c:v>2.1685207991449635</c:v>
                  </c:pt>
                  <c:pt idx="2">
                    <c:v>2.2185035885688325</c:v>
                  </c:pt>
                </c:numCache>
              </c:numRef>
            </c:plus>
            <c:minus>
              <c:numRef>
                <c:f>StimFalsePos!$N$98:$P$98</c:f>
                <c:numCache>
                  <c:formatCode>General</c:formatCode>
                  <c:ptCount val="3"/>
                  <c:pt idx="0">
                    <c:v>1.7178972047667636</c:v>
                  </c:pt>
                  <c:pt idx="1">
                    <c:v>2.1685207991449635</c:v>
                  </c:pt>
                  <c:pt idx="2">
                    <c:v>2.2185035885688325</c:v>
                  </c:pt>
                </c:numCache>
              </c:numRef>
            </c:minus>
          </c:errBars>
          <c:cat>
            <c:strRef>
              <c:f>StimFalsePos!$G$88:$I$88</c:f>
              <c:strCache>
                <c:ptCount val="3"/>
                <c:pt idx="0">
                  <c:v>NonREM per All</c:v>
                </c:pt>
                <c:pt idx="1">
                  <c:v>Corrected per All</c:v>
                </c:pt>
                <c:pt idx="2">
                  <c:v>Corrected per NonREM</c:v>
                </c:pt>
              </c:strCache>
            </c:strRef>
          </c:cat>
          <c:val>
            <c:numRef>
              <c:f>StimFalsePos!$G$98:$I$98</c:f>
              <c:numCache>
                <c:formatCode>0.00</c:formatCode>
                <c:ptCount val="3"/>
                <c:pt idx="0">
                  <c:v>76.457086202776765</c:v>
                </c:pt>
                <c:pt idx="1">
                  <c:v>66.298372924499361</c:v>
                </c:pt>
                <c:pt idx="2">
                  <c:v>86.739613903586815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FF1F-4581-9F36-2D54A55AD3A2}"/>
            </c:ext>
          </c:extLst>
        </c:ser>
        <c:ser>
          <c:idx val="1"/>
          <c:order val="3"/>
          <c:tx>
            <c:v>OUT-creARC</c:v>
          </c:tx>
          <c:invertIfNegative val="0"/>
          <c:errBars>
            <c:errBarType val="both"/>
            <c:errValType val="cust"/>
            <c:noEndCap val="0"/>
            <c:plus>
              <c:numRef>
                <c:f>StimFalsePos!$N$96:$P$96</c:f>
                <c:numCache>
                  <c:formatCode>General</c:formatCode>
                  <c:ptCount val="3"/>
                  <c:pt idx="0">
                    <c:v>7.3418909734915347</c:v>
                  </c:pt>
                  <c:pt idx="1">
                    <c:v>7.087127294837777</c:v>
                  </c:pt>
                  <c:pt idx="2">
                    <c:v>1.1188636576915283</c:v>
                  </c:pt>
                </c:numCache>
              </c:numRef>
            </c:plus>
            <c:minus>
              <c:numRef>
                <c:f>StimFalsePos!$N$96:$P$96</c:f>
                <c:numCache>
                  <c:formatCode>General</c:formatCode>
                  <c:ptCount val="3"/>
                  <c:pt idx="0">
                    <c:v>7.3418909734915347</c:v>
                  </c:pt>
                  <c:pt idx="1">
                    <c:v>7.087127294837777</c:v>
                  </c:pt>
                  <c:pt idx="2">
                    <c:v>1.1188636576915283</c:v>
                  </c:pt>
                </c:numCache>
              </c:numRef>
            </c:minus>
          </c:errBars>
          <c:cat>
            <c:strRef>
              <c:f>StimFalsePos!$G$88:$I$88</c:f>
              <c:strCache>
                <c:ptCount val="3"/>
                <c:pt idx="0">
                  <c:v>NonREM per All</c:v>
                </c:pt>
                <c:pt idx="1">
                  <c:v>Corrected per All</c:v>
                </c:pt>
                <c:pt idx="2">
                  <c:v>Corrected per NonREM</c:v>
                </c:pt>
              </c:strCache>
            </c:strRef>
          </c:cat>
          <c:val>
            <c:numRef>
              <c:f>StimFalsePos!$G$96:$I$96</c:f>
              <c:numCache>
                <c:formatCode>0.00</c:formatCode>
                <c:ptCount val="3"/>
                <c:pt idx="0">
                  <c:v>56.94733733290856</c:v>
                </c:pt>
                <c:pt idx="1">
                  <c:v>53.290520497657702</c:v>
                </c:pt>
                <c:pt idx="2">
                  <c:v>93.320952503922854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F1F-4581-9F36-2D54A55AD3A2}"/>
            </c:ext>
          </c:extLst>
        </c:ser>
        <c:ser>
          <c:idx val="5"/>
          <c:order val="4"/>
          <c:tx>
            <c:v>NoStim-creARC-OUT</c:v>
          </c:tx>
          <c:spPr>
            <a:solidFill>
              <a:schemeClr val="accent2">
                <a:lumMod val="40000"/>
                <a:lumOff val="60000"/>
              </a:schemeClr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StimFalsePos!$N$99:$P$99</c:f>
                <c:numCache>
                  <c:formatCode>General</c:formatCode>
                  <c:ptCount val="3"/>
                  <c:pt idx="0">
                    <c:v>1.7255562087093577</c:v>
                  </c:pt>
                  <c:pt idx="1">
                    <c:v>2.1736953614583849</c:v>
                  </c:pt>
                  <c:pt idx="2">
                    <c:v>2.214981797122785</c:v>
                  </c:pt>
                </c:numCache>
              </c:numRef>
            </c:plus>
            <c:minus>
              <c:numRef>
                <c:f>StimFalsePos!$N$99:$P$99</c:f>
                <c:numCache>
                  <c:formatCode>General</c:formatCode>
                  <c:ptCount val="3"/>
                  <c:pt idx="0">
                    <c:v>1.7255562087093577</c:v>
                  </c:pt>
                  <c:pt idx="1">
                    <c:v>2.1736953614583849</c:v>
                  </c:pt>
                  <c:pt idx="2">
                    <c:v>2.214981797122785</c:v>
                  </c:pt>
                </c:numCache>
              </c:numRef>
            </c:minus>
          </c:errBars>
          <c:cat>
            <c:strRef>
              <c:f>StimFalsePos!$G$88:$I$88</c:f>
              <c:strCache>
                <c:ptCount val="3"/>
                <c:pt idx="0">
                  <c:v>NonREM per All</c:v>
                </c:pt>
                <c:pt idx="1">
                  <c:v>Corrected per All</c:v>
                </c:pt>
                <c:pt idx="2">
                  <c:v>Corrected per NonREM</c:v>
                </c:pt>
              </c:strCache>
            </c:strRef>
          </c:cat>
          <c:val>
            <c:numRef>
              <c:f>StimFalsePos!$G$99:$I$99</c:f>
              <c:numCache>
                <c:formatCode>0.00</c:formatCode>
                <c:ptCount val="3"/>
                <c:pt idx="0">
                  <c:v>76.254324422286274</c:v>
                </c:pt>
                <c:pt idx="1">
                  <c:v>65.336997243892839</c:v>
                </c:pt>
                <c:pt idx="2">
                  <c:v>85.703352513483097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FF1F-4581-9F36-2D54A55AD3A2}"/>
            </c:ext>
          </c:extLst>
        </c:ser>
        <c:ser>
          <c:idx val="4"/>
          <c:order val="5"/>
          <c:tx>
            <c:v>OUT-creARC-Detect</c:v>
          </c:tx>
          <c:spPr>
            <a:solidFill>
              <a:schemeClr val="accent3"/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StimFalsePos!$N$97:$P$97</c:f>
                <c:numCache>
                  <c:formatCode>General</c:formatCode>
                  <c:ptCount val="3"/>
                  <c:pt idx="0">
                    <c:v>7.4346366240759361</c:v>
                  </c:pt>
                  <c:pt idx="1">
                    <c:v>7.17467011773208</c:v>
                  </c:pt>
                  <c:pt idx="2">
                    <c:v>0.74061097560010158</c:v>
                  </c:pt>
                </c:numCache>
              </c:numRef>
            </c:plus>
            <c:minus>
              <c:numRef>
                <c:f>StimFalsePos!$N$97:$P$97</c:f>
                <c:numCache>
                  <c:formatCode>General</c:formatCode>
                  <c:ptCount val="3"/>
                  <c:pt idx="0">
                    <c:v>7.4346366240759361</c:v>
                  </c:pt>
                  <c:pt idx="1">
                    <c:v>7.17467011773208</c:v>
                  </c:pt>
                  <c:pt idx="2">
                    <c:v>0.74061097560010158</c:v>
                  </c:pt>
                </c:numCache>
              </c:numRef>
            </c:minus>
          </c:errBars>
          <c:cat>
            <c:strRef>
              <c:f>StimFalsePos!$G$88:$I$88</c:f>
              <c:strCache>
                <c:ptCount val="3"/>
                <c:pt idx="0">
                  <c:v>NonREM per All</c:v>
                </c:pt>
                <c:pt idx="1">
                  <c:v>Corrected per All</c:v>
                </c:pt>
                <c:pt idx="2">
                  <c:v>Corrected per NonREM</c:v>
                </c:pt>
              </c:strCache>
            </c:strRef>
          </c:cat>
          <c:val>
            <c:numRef>
              <c:f>StimFalsePos!$G$97:$I$97</c:f>
              <c:numCache>
                <c:formatCode>0.00</c:formatCode>
                <c:ptCount val="3"/>
                <c:pt idx="0">
                  <c:v>56.925739281375705</c:v>
                </c:pt>
                <c:pt idx="1">
                  <c:v>54.322533958368794</c:v>
                </c:pt>
                <c:pt idx="2">
                  <c:v>95.328682109786428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FF1F-4581-9F36-2D54A55AD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569344"/>
        <c:axId val="130570880"/>
      </c:barChart>
      <c:catAx>
        <c:axId val="1305693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30570880"/>
        <c:crosses val="autoZero"/>
        <c:auto val="1"/>
        <c:lblAlgn val="ctr"/>
        <c:lblOffset val="100"/>
        <c:noMultiLvlLbl val="0"/>
      </c:catAx>
      <c:valAx>
        <c:axId val="130570880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crossAx val="130569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1184419191919194"/>
          <c:y val="3.6698016914552341E-3"/>
          <c:w val="0.68346161616161616"/>
          <c:h val="0.26480324074074074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107</xdr:row>
      <xdr:rowOff>0</xdr:rowOff>
    </xdr:from>
    <xdr:to>
      <xdr:col>9</xdr:col>
      <xdr:colOff>302400</xdr:colOff>
      <xdr:row>118</xdr:row>
      <xdr:rowOff>64500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107</xdr:row>
      <xdr:rowOff>0</xdr:rowOff>
    </xdr:from>
    <xdr:to>
      <xdr:col>16</xdr:col>
      <xdr:colOff>302400</xdr:colOff>
      <xdr:row>118</xdr:row>
      <xdr:rowOff>64500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123</xdr:row>
      <xdr:rowOff>0</xdr:rowOff>
    </xdr:from>
    <xdr:to>
      <xdr:col>9</xdr:col>
      <xdr:colOff>302400</xdr:colOff>
      <xdr:row>134</xdr:row>
      <xdr:rowOff>64500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123</xdr:row>
      <xdr:rowOff>0</xdr:rowOff>
    </xdr:from>
    <xdr:to>
      <xdr:col>16</xdr:col>
      <xdr:colOff>0</xdr:colOff>
      <xdr:row>134</xdr:row>
      <xdr:rowOff>64500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1:AL124"/>
  <sheetViews>
    <sheetView tabSelected="1" workbookViewId="0">
      <selection activeCell="B136" sqref="B136"/>
    </sheetView>
  </sheetViews>
  <sheetFormatPr defaultColWidth="9.140625" defaultRowHeight="15" x14ac:dyDescent="0.25"/>
  <cols>
    <col min="2" max="2" width="23.42578125" bestFit="1" customWidth="1"/>
    <col min="6" max="6" width="9.7109375" bestFit="1" customWidth="1"/>
    <col min="7" max="7" width="8.85546875" customWidth="1"/>
    <col min="8" max="8" width="10.140625" customWidth="1"/>
    <col min="9" max="9" width="12" customWidth="1"/>
    <col min="16" max="16" width="12.42578125" customWidth="1"/>
  </cols>
  <sheetData>
    <row r="1" spans="2:37" s="1" customFormat="1" x14ac:dyDescent="0.25">
      <c r="D1" s="22" t="s">
        <v>82</v>
      </c>
      <c r="E1" s="22"/>
      <c r="F1" s="22"/>
      <c r="G1" s="22"/>
      <c r="H1" s="22"/>
      <c r="I1" s="22"/>
      <c r="K1" s="22" t="s">
        <v>83</v>
      </c>
      <c r="L1" s="22"/>
      <c r="M1" s="22"/>
      <c r="N1" s="22"/>
      <c r="O1" s="22"/>
      <c r="P1" s="22"/>
      <c r="R1" s="22" t="s">
        <v>84</v>
      </c>
      <c r="S1" s="22"/>
      <c r="T1" s="22"/>
      <c r="U1" s="22"/>
      <c r="V1" s="22"/>
      <c r="W1" s="22"/>
      <c r="Y1" s="22" t="s">
        <v>85</v>
      </c>
      <c r="Z1" s="22"/>
      <c r="AA1" s="22"/>
      <c r="AB1" s="22"/>
      <c r="AC1" s="22"/>
      <c r="AD1" s="22"/>
      <c r="AF1" s="22" t="s">
        <v>86</v>
      </c>
      <c r="AG1" s="22"/>
      <c r="AH1" s="22"/>
      <c r="AI1" s="22"/>
      <c r="AJ1" s="22"/>
      <c r="AK1" s="22"/>
    </row>
    <row r="2" spans="2:37" s="1" customFormat="1" x14ac:dyDescent="0.25">
      <c r="D2" s="22" t="s">
        <v>112</v>
      </c>
      <c r="E2" s="22"/>
      <c r="F2" s="22"/>
      <c r="G2" s="22" t="s">
        <v>113</v>
      </c>
      <c r="H2" s="22"/>
      <c r="I2" s="22"/>
      <c r="K2" s="22" t="s">
        <v>112</v>
      </c>
      <c r="L2" s="22"/>
      <c r="M2" s="22"/>
      <c r="N2" s="22" t="s">
        <v>113</v>
      </c>
      <c r="O2" s="22"/>
      <c r="P2" s="22"/>
      <c r="R2" s="22" t="s">
        <v>112</v>
      </c>
      <c r="S2" s="22"/>
      <c r="T2" s="22"/>
      <c r="U2" s="22" t="s">
        <v>113</v>
      </c>
      <c r="V2" s="22"/>
      <c r="W2" s="22"/>
      <c r="Y2" s="22" t="s">
        <v>112</v>
      </c>
      <c r="Z2" s="22"/>
      <c r="AA2" s="22"/>
      <c r="AB2" s="22" t="s">
        <v>113</v>
      </c>
      <c r="AC2" s="22"/>
      <c r="AD2" s="22"/>
      <c r="AF2" s="22" t="s">
        <v>112</v>
      </c>
      <c r="AG2" s="22"/>
      <c r="AH2" s="22"/>
      <c r="AI2" s="22" t="s">
        <v>113</v>
      </c>
      <c r="AJ2" s="22"/>
      <c r="AK2" s="22"/>
    </row>
    <row r="3" spans="2:37" s="1" customFormat="1" ht="27" customHeight="1" x14ac:dyDescent="0.25">
      <c r="B3" s="1" t="s">
        <v>0</v>
      </c>
      <c r="D3" s="1" t="s">
        <v>109</v>
      </c>
      <c r="E3" s="1" t="s">
        <v>110</v>
      </c>
      <c r="F3" s="1" t="s">
        <v>111</v>
      </c>
      <c r="G3" s="18" t="s">
        <v>114</v>
      </c>
      <c r="H3" s="18" t="s">
        <v>115</v>
      </c>
      <c r="I3" s="18" t="s">
        <v>116</v>
      </c>
      <c r="K3" s="1" t="s">
        <v>109</v>
      </c>
      <c r="L3" s="1" t="s">
        <v>110</v>
      </c>
      <c r="M3" s="1" t="s">
        <v>111</v>
      </c>
      <c r="N3" s="18" t="s">
        <v>114</v>
      </c>
      <c r="O3" s="18" t="s">
        <v>115</v>
      </c>
      <c r="P3" s="18" t="s">
        <v>116</v>
      </c>
      <c r="R3" s="1" t="s">
        <v>109</v>
      </c>
      <c r="S3" s="1" t="s">
        <v>110</v>
      </c>
      <c r="T3" s="1" t="s">
        <v>111</v>
      </c>
      <c r="U3" s="18" t="s">
        <v>114</v>
      </c>
      <c r="V3" s="18" t="s">
        <v>115</v>
      </c>
      <c r="W3" s="18" t="s">
        <v>116</v>
      </c>
      <c r="Y3" s="1" t="s">
        <v>109</v>
      </c>
      <c r="Z3" s="1" t="s">
        <v>110</v>
      </c>
      <c r="AA3" s="1" t="s">
        <v>111</v>
      </c>
      <c r="AB3" s="18" t="s">
        <v>114</v>
      </c>
      <c r="AC3" s="18" t="s">
        <v>115</v>
      </c>
      <c r="AD3" s="18" t="s">
        <v>116</v>
      </c>
      <c r="AF3" s="1" t="s">
        <v>109</v>
      </c>
      <c r="AG3" s="1" t="s">
        <v>110</v>
      </c>
      <c r="AH3" s="1" t="s">
        <v>111</v>
      </c>
      <c r="AI3" s="18" t="s">
        <v>114</v>
      </c>
      <c r="AJ3" s="18" t="s">
        <v>115</v>
      </c>
      <c r="AK3" s="18" t="s">
        <v>116</v>
      </c>
    </row>
    <row r="4" spans="2:37" x14ac:dyDescent="0.25">
      <c r="B4" s="2" t="s">
        <v>1</v>
      </c>
      <c r="D4" s="17">
        <v>204</v>
      </c>
      <c r="E4" s="17">
        <v>172</v>
      </c>
      <c r="F4" s="17">
        <v>169</v>
      </c>
      <c r="G4" s="16">
        <f>E4/D4*100</f>
        <v>84.313725490196077</v>
      </c>
      <c r="H4" s="16">
        <f>F4/D4*100</f>
        <v>82.843137254901961</v>
      </c>
      <c r="I4" s="16">
        <f>F4/E4*100</f>
        <v>98.255813953488371</v>
      </c>
      <c r="K4" s="8"/>
      <c r="L4" s="8"/>
      <c r="M4" s="8"/>
      <c r="N4" s="8"/>
      <c r="O4" s="8"/>
      <c r="P4" s="8"/>
      <c r="R4" s="8"/>
      <c r="S4" s="8"/>
      <c r="T4" s="8"/>
      <c r="U4" s="8"/>
      <c r="V4" s="8"/>
      <c r="W4" s="8"/>
      <c r="Y4" s="8"/>
      <c r="Z4" s="8"/>
      <c r="AA4" s="8"/>
      <c r="AB4" s="8"/>
      <c r="AC4" s="8"/>
      <c r="AD4" s="8"/>
      <c r="AF4" s="8"/>
      <c r="AG4" s="8"/>
      <c r="AH4" s="8"/>
      <c r="AI4" s="8"/>
      <c r="AJ4" s="8"/>
      <c r="AK4" s="8"/>
    </row>
    <row r="5" spans="2:37" x14ac:dyDescent="0.25">
      <c r="B5" s="2" t="s">
        <v>2</v>
      </c>
      <c r="D5" s="17">
        <v>360</v>
      </c>
      <c r="E5" s="19">
        <v>327</v>
      </c>
      <c r="F5" s="19">
        <v>316</v>
      </c>
      <c r="G5" s="20">
        <f t="shared" ref="G5:G12" si="0">E5/D5*100</f>
        <v>90.833333333333329</v>
      </c>
      <c r="H5" s="20">
        <f t="shared" ref="H5:H12" si="1">F5/D5*100</f>
        <v>87.777777777777771</v>
      </c>
      <c r="I5" s="20">
        <f t="shared" ref="I5:I12" si="2">F5/E5*100</f>
        <v>96.63608562691131</v>
      </c>
      <c r="J5" s="21"/>
      <c r="K5" s="13"/>
      <c r="L5" s="13"/>
      <c r="M5" s="13"/>
      <c r="N5" s="13"/>
      <c r="O5" s="13"/>
      <c r="P5" s="13"/>
      <c r="Q5" s="21"/>
      <c r="R5" s="13"/>
      <c r="S5" s="13"/>
      <c r="T5" s="13"/>
      <c r="U5" s="13"/>
      <c r="V5" s="13"/>
      <c r="W5" s="13"/>
      <c r="X5" s="21"/>
      <c r="Y5" s="13"/>
      <c r="Z5" s="13"/>
      <c r="AA5" s="13"/>
      <c r="AB5" s="13"/>
      <c r="AC5" s="13"/>
      <c r="AD5" s="13"/>
      <c r="AE5" s="21"/>
      <c r="AF5" s="13"/>
      <c r="AG5" s="13"/>
      <c r="AH5" s="13"/>
      <c r="AI5" s="13"/>
      <c r="AJ5" s="13"/>
      <c r="AK5" s="13"/>
    </row>
    <row r="6" spans="2:37" x14ac:dyDescent="0.25">
      <c r="B6" s="2" t="s">
        <v>3</v>
      </c>
      <c r="D6" s="17">
        <v>895</v>
      </c>
      <c r="E6" s="19">
        <v>740</v>
      </c>
      <c r="F6" s="19">
        <v>727</v>
      </c>
      <c r="G6" s="20">
        <f t="shared" si="0"/>
        <v>82.681564245810051</v>
      </c>
      <c r="H6" s="20">
        <f t="shared" si="1"/>
        <v>81.229050279329613</v>
      </c>
      <c r="I6" s="20">
        <f t="shared" si="2"/>
        <v>98.243243243243242</v>
      </c>
      <c r="J6" s="21"/>
      <c r="K6" s="13"/>
      <c r="L6" s="13"/>
      <c r="M6" s="13"/>
      <c r="N6" s="13"/>
      <c r="O6" s="13"/>
      <c r="P6" s="13"/>
      <c r="Q6" s="21"/>
      <c r="R6" s="13"/>
      <c r="S6" s="13"/>
      <c r="T6" s="13"/>
      <c r="U6" s="13"/>
      <c r="V6" s="13"/>
      <c r="W6" s="13"/>
      <c r="X6" s="21"/>
      <c r="Y6" s="13"/>
      <c r="Z6" s="13"/>
      <c r="AA6" s="13"/>
      <c r="AB6" s="13"/>
      <c r="AC6" s="13"/>
      <c r="AD6" s="13"/>
      <c r="AE6" s="21"/>
      <c r="AF6" s="13"/>
      <c r="AG6" s="13"/>
      <c r="AH6" s="13"/>
      <c r="AI6" s="13"/>
      <c r="AJ6" s="13"/>
      <c r="AK6" s="13"/>
    </row>
    <row r="7" spans="2:37" x14ac:dyDescent="0.25">
      <c r="B7" s="2" t="s">
        <v>4</v>
      </c>
      <c r="D7" s="17">
        <v>848</v>
      </c>
      <c r="E7" s="19">
        <v>669</v>
      </c>
      <c r="F7" s="19">
        <v>650</v>
      </c>
      <c r="G7" s="20">
        <f t="shared" si="0"/>
        <v>78.891509433962256</v>
      </c>
      <c r="H7" s="20">
        <f t="shared" si="1"/>
        <v>76.65094339622641</v>
      </c>
      <c r="I7" s="20">
        <f t="shared" si="2"/>
        <v>97.15994020926756</v>
      </c>
      <c r="J7" s="21"/>
      <c r="K7" s="13"/>
      <c r="L7" s="13"/>
      <c r="M7" s="13"/>
      <c r="N7" s="13"/>
      <c r="O7" s="13"/>
      <c r="P7" s="13"/>
      <c r="Q7" s="21"/>
      <c r="R7" s="13"/>
      <c r="S7" s="13"/>
      <c r="T7" s="13"/>
      <c r="U7" s="13"/>
      <c r="V7" s="13"/>
      <c r="W7" s="13"/>
      <c r="X7" s="21"/>
      <c r="Y7" s="13"/>
      <c r="Z7" s="13"/>
      <c r="AA7" s="13"/>
      <c r="AB7" s="13"/>
      <c r="AC7" s="13"/>
      <c r="AD7" s="13"/>
      <c r="AE7" s="21"/>
      <c r="AF7" s="13"/>
      <c r="AG7" s="13"/>
      <c r="AH7" s="13"/>
      <c r="AI7" s="13"/>
      <c r="AJ7" s="13"/>
      <c r="AK7" s="13"/>
    </row>
    <row r="8" spans="2:37" x14ac:dyDescent="0.25">
      <c r="B8" s="2" t="s">
        <v>5</v>
      </c>
      <c r="D8" s="17">
        <v>1079</v>
      </c>
      <c r="E8" s="19">
        <v>730</v>
      </c>
      <c r="F8" s="19">
        <v>700</v>
      </c>
      <c r="G8" s="20">
        <f t="shared" si="0"/>
        <v>67.655236329935121</v>
      </c>
      <c r="H8" s="20">
        <f t="shared" si="1"/>
        <v>64.874884151992589</v>
      </c>
      <c r="I8" s="20">
        <f t="shared" si="2"/>
        <v>95.890410958904098</v>
      </c>
      <c r="J8" s="21"/>
      <c r="K8" s="13"/>
      <c r="L8" s="13"/>
      <c r="M8" s="13"/>
      <c r="N8" s="13"/>
      <c r="O8" s="13"/>
      <c r="P8" s="13"/>
      <c r="Q8" s="21"/>
      <c r="R8" s="13"/>
      <c r="S8" s="13"/>
      <c r="T8" s="13"/>
      <c r="U8" s="13"/>
      <c r="V8" s="13"/>
      <c r="W8" s="13"/>
      <c r="X8" s="21"/>
      <c r="Y8" s="13"/>
      <c r="Z8" s="13"/>
      <c r="AA8" s="13"/>
      <c r="AB8" s="13"/>
      <c r="AC8" s="13"/>
      <c r="AD8" s="13"/>
      <c r="AE8" s="21"/>
      <c r="AF8" s="13"/>
      <c r="AG8" s="13"/>
      <c r="AH8" s="13"/>
      <c r="AI8" s="13"/>
      <c r="AJ8" s="13"/>
      <c r="AK8" s="13"/>
    </row>
    <row r="9" spans="2:37" x14ac:dyDescent="0.25">
      <c r="B9" s="2" t="s">
        <v>6</v>
      </c>
      <c r="D9" s="17">
        <v>974</v>
      </c>
      <c r="E9" s="19">
        <v>724</v>
      </c>
      <c r="F9" s="19">
        <v>692</v>
      </c>
      <c r="G9" s="20">
        <f t="shared" si="0"/>
        <v>74.332648870636547</v>
      </c>
      <c r="H9" s="20">
        <f t="shared" si="1"/>
        <v>71.047227926078023</v>
      </c>
      <c r="I9" s="20">
        <f t="shared" si="2"/>
        <v>95.58011049723757</v>
      </c>
      <c r="J9" s="21"/>
      <c r="K9" s="13"/>
      <c r="L9" s="13"/>
      <c r="M9" s="13"/>
      <c r="N9" s="13"/>
      <c r="O9" s="13"/>
      <c r="P9" s="13"/>
      <c r="Q9" s="21"/>
      <c r="R9" s="13"/>
      <c r="S9" s="13"/>
      <c r="T9" s="13"/>
      <c r="U9" s="13"/>
      <c r="V9" s="13"/>
      <c r="W9" s="13"/>
      <c r="X9" s="21"/>
      <c r="Y9" s="13"/>
      <c r="Z9" s="13"/>
      <c r="AA9" s="13"/>
      <c r="AB9" s="13"/>
      <c r="AC9" s="13"/>
      <c r="AD9" s="13"/>
      <c r="AE9" s="21"/>
      <c r="AF9" s="13"/>
      <c r="AG9" s="13"/>
      <c r="AH9" s="13"/>
      <c r="AI9" s="13"/>
      <c r="AJ9" s="13"/>
      <c r="AK9" s="13"/>
    </row>
    <row r="10" spans="2:37" x14ac:dyDescent="0.25">
      <c r="B10" s="2" t="s">
        <v>7</v>
      </c>
      <c r="D10" s="17">
        <v>1157</v>
      </c>
      <c r="E10" s="19">
        <v>621</v>
      </c>
      <c r="F10" s="19">
        <v>591</v>
      </c>
      <c r="G10" s="20">
        <f t="shared" si="0"/>
        <v>53.67329299913569</v>
      </c>
      <c r="H10" s="20">
        <f t="shared" si="1"/>
        <v>51.080380293863435</v>
      </c>
      <c r="I10" s="20">
        <f t="shared" si="2"/>
        <v>95.169082125603865</v>
      </c>
      <c r="J10" s="21"/>
      <c r="K10" s="13"/>
      <c r="L10" s="13"/>
      <c r="M10" s="13"/>
      <c r="N10" s="13"/>
      <c r="O10" s="13"/>
      <c r="P10" s="13"/>
      <c r="Q10" s="21"/>
      <c r="R10" s="13"/>
      <c r="S10" s="13"/>
      <c r="T10" s="13"/>
      <c r="U10" s="13"/>
      <c r="V10" s="13"/>
      <c r="W10" s="13"/>
      <c r="X10" s="21"/>
      <c r="Y10" s="13"/>
      <c r="Z10" s="13"/>
      <c r="AA10" s="13"/>
      <c r="AB10" s="13"/>
      <c r="AC10" s="13"/>
      <c r="AD10" s="13"/>
      <c r="AE10" s="21"/>
      <c r="AF10" s="13"/>
      <c r="AG10" s="13"/>
      <c r="AH10" s="13"/>
      <c r="AI10" s="13"/>
      <c r="AJ10" s="13"/>
      <c r="AK10" s="13"/>
    </row>
    <row r="11" spans="2:37" x14ac:dyDescent="0.25">
      <c r="B11" s="2" t="s">
        <v>8</v>
      </c>
      <c r="D11" s="17">
        <v>1170</v>
      </c>
      <c r="E11" s="19">
        <v>852</v>
      </c>
      <c r="F11" s="19">
        <v>807</v>
      </c>
      <c r="G11" s="20">
        <f t="shared" si="0"/>
        <v>72.820512820512818</v>
      </c>
      <c r="H11" s="20">
        <f t="shared" si="1"/>
        <v>68.974358974358978</v>
      </c>
      <c r="I11" s="20">
        <f t="shared" si="2"/>
        <v>94.718309859154928</v>
      </c>
      <c r="J11" s="21"/>
      <c r="K11" s="13"/>
      <c r="L11" s="13"/>
      <c r="M11" s="13"/>
      <c r="N11" s="13"/>
      <c r="O11" s="13"/>
      <c r="P11" s="13"/>
      <c r="Q11" s="21"/>
      <c r="R11" s="13"/>
      <c r="S11" s="13"/>
      <c r="T11" s="13"/>
      <c r="U11" s="13"/>
      <c r="V11" s="13"/>
      <c r="W11" s="13"/>
      <c r="X11" s="21"/>
      <c r="Y11" s="13"/>
      <c r="Z11" s="13"/>
      <c r="AA11" s="13"/>
      <c r="AB11" s="13"/>
      <c r="AC11" s="13"/>
      <c r="AD11" s="13"/>
      <c r="AE11" s="21"/>
      <c r="AF11" s="13"/>
      <c r="AG11" s="13"/>
      <c r="AH11" s="13"/>
      <c r="AI11" s="13"/>
      <c r="AJ11" s="13"/>
      <c r="AK11" s="13"/>
    </row>
    <row r="12" spans="2:37" x14ac:dyDescent="0.25">
      <c r="B12" s="2" t="s">
        <v>9</v>
      </c>
      <c r="D12" s="17">
        <v>1411</v>
      </c>
      <c r="E12" s="19">
        <v>920</v>
      </c>
      <c r="F12" s="19">
        <v>881</v>
      </c>
      <c r="G12" s="20">
        <f t="shared" si="0"/>
        <v>65.201984408221122</v>
      </c>
      <c r="H12" s="20">
        <f t="shared" si="1"/>
        <v>62.437987243090006</v>
      </c>
      <c r="I12" s="20">
        <f t="shared" si="2"/>
        <v>95.760869565217391</v>
      </c>
      <c r="J12" s="21"/>
      <c r="K12" s="13"/>
      <c r="L12" s="13"/>
      <c r="M12" s="13"/>
      <c r="N12" s="13"/>
      <c r="O12" s="13"/>
      <c r="P12" s="13"/>
      <c r="Q12" s="21"/>
      <c r="R12" s="13"/>
      <c r="S12" s="13"/>
      <c r="T12" s="13"/>
      <c r="U12" s="13"/>
      <c r="V12" s="13"/>
      <c r="W12" s="13"/>
      <c r="X12" s="21"/>
      <c r="Y12" s="13"/>
      <c r="Z12" s="13"/>
      <c r="AA12" s="13"/>
      <c r="AB12" s="13"/>
      <c r="AC12" s="13"/>
      <c r="AD12" s="13"/>
      <c r="AE12" s="21"/>
      <c r="AF12" s="13"/>
      <c r="AG12" s="13"/>
      <c r="AH12" s="13"/>
      <c r="AI12" s="13"/>
      <c r="AJ12" s="13"/>
      <c r="AK12" s="13"/>
    </row>
    <row r="13" spans="2:37" x14ac:dyDescent="0.25">
      <c r="B13" s="3" t="s">
        <v>10</v>
      </c>
      <c r="D13" s="17"/>
      <c r="E13" s="19"/>
      <c r="F13" s="19"/>
      <c r="G13" s="13"/>
      <c r="H13" s="13"/>
      <c r="I13" s="13"/>
      <c r="J13" s="21"/>
      <c r="K13" s="19">
        <v>809</v>
      </c>
      <c r="L13" s="19">
        <v>622</v>
      </c>
      <c r="M13" s="19">
        <v>600</v>
      </c>
      <c r="N13" s="16">
        <f t="shared" ref="N13:N21" si="3">L13/K13*100</f>
        <v>76.885043263288011</v>
      </c>
      <c r="O13" s="16">
        <f t="shared" ref="O13:O21" si="4">M13/K13*100</f>
        <v>74.165636588380707</v>
      </c>
      <c r="P13" s="16">
        <f t="shared" ref="P13:P21" si="5">M13/L13*100</f>
        <v>96.463022508038591</v>
      </c>
      <c r="Q13" s="21"/>
      <c r="R13" s="13"/>
      <c r="S13" s="13"/>
      <c r="T13" s="13"/>
      <c r="U13" s="13"/>
      <c r="V13" s="13"/>
      <c r="W13" s="13"/>
      <c r="X13" s="21"/>
      <c r="Y13" s="13"/>
      <c r="Z13" s="13"/>
      <c r="AA13" s="13"/>
      <c r="AB13" s="13"/>
      <c r="AC13" s="13"/>
      <c r="AD13" s="13"/>
      <c r="AE13" s="21"/>
      <c r="AF13" s="13">
        <v>809</v>
      </c>
      <c r="AG13" s="13">
        <v>623</v>
      </c>
      <c r="AH13" s="13">
        <v>607</v>
      </c>
      <c r="AI13" s="16">
        <f t="shared" ref="AI13:AI21" si="6">AG13/AF13*100</f>
        <v>77.008652657601971</v>
      </c>
      <c r="AJ13" s="16">
        <f t="shared" ref="AJ13:AJ21" si="7">AH13/AF13*100</f>
        <v>75.030902348578493</v>
      </c>
      <c r="AK13" s="16">
        <f t="shared" ref="AK13:AK21" si="8">AH13/AG13*100</f>
        <v>97.431781701444621</v>
      </c>
    </row>
    <row r="14" spans="2:37" x14ac:dyDescent="0.25">
      <c r="B14" s="3" t="s">
        <v>11</v>
      </c>
      <c r="D14" s="17"/>
      <c r="E14" s="19"/>
      <c r="F14" s="19"/>
      <c r="G14" s="13"/>
      <c r="H14" s="13"/>
      <c r="I14" s="13"/>
      <c r="J14" s="21"/>
      <c r="K14" s="19">
        <v>1001</v>
      </c>
      <c r="L14" s="19">
        <v>802</v>
      </c>
      <c r="M14" s="19">
        <v>752</v>
      </c>
      <c r="N14" s="16">
        <f t="shared" si="3"/>
        <v>80.119880119880122</v>
      </c>
      <c r="O14" s="16">
        <f t="shared" si="4"/>
        <v>75.124875124875118</v>
      </c>
      <c r="P14" s="16">
        <f t="shared" si="5"/>
        <v>93.765586034912715</v>
      </c>
      <c r="Q14" s="21"/>
      <c r="R14" s="13"/>
      <c r="S14" s="13"/>
      <c r="T14" s="13"/>
      <c r="U14" s="13"/>
      <c r="V14" s="13"/>
      <c r="W14" s="13"/>
      <c r="X14" s="21"/>
      <c r="Y14" s="13"/>
      <c r="Z14" s="13"/>
      <c r="AA14" s="13"/>
      <c r="AB14" s="13"/>
      <c r="AC14" s="13"/>
      <c r="AD14" s="13"/>
      <c r="AE14" s="21"/>
      <c r="AF14" s="13">
        <v>1001</v>
      </c>
      <c r="AG14" s="13">
        <v>806</v>
      </c>
      <c r="AH14" s="13">
        <v>761</v>
      </c>
      <c r="AI14" s="16">
        <f t="shared" si="6"/>
        <v>80.519480519480524</v>
      </c>
      <c r="AJ14" s="16">
        <f t="shared" si="7"/>
        <v>76.023976023976019</v>
      </c>
      <c r="AK14" s="16">
        <f t="shared" si="8"/>
        <v>94.416873449131515</v>
      </c>
    </row>
    <row r="15" spans="2:37" x14ac:dyDescent="0.25">
      <c r="B15" s="3" t="s">
        <v>12</v>
      </c>
      <c r="D15" s="17"/>
      <c r="E15" s="19"/>
      <c r="F15" s="19"/>
      <c r="G15" s="13"/>
      <c r="H15" s="13"/>
      <c r="I15" s="13"/>
      <c r="J15" s="21"/>
      <c r="K15" s="19">
        <v>951</v>
      </c>
      <c r="L15" s="19">
        <v>591</v>
      </c>
      <c r="M15" s="19">
        <v>545</v>
      </c>
      <c r="N15" s="16">
        <f t="shared" si="3"/>
        <v>62.145110410094638</v>
      </c>
      <c r="O15" s="16">
        <f t="shared" si="4"/>
        <v>57.308096740273399</v>
      </c>
      <c r="P15" s="16">
        <f t="shared" si="5"/>
        <v>92.216582064297796</v>
      </c>
      <c r="Q15" s="21"/>
      <c r="R15" s="13"/>
      <c r="S15" s="13"/>
      <c r="T15" s="13"/>
      <c r="U15" s="13"/>
      <c r="V15" s="13"/>
      <c r="W15" s="13"/>
      <c r="X15" s="21"/>
      <c r="Y15" s="13"/>
      <c r="Z15" s="13"/>
      <c r="AA15" s="13"/>
      <c r="AB15" s="13"/>
      <c r="AC15" s="13"/>
      <c r="AD15" s="13"/>
      <c r="AE15" s="21"/>
      <c r="AF15" s="13">
        <v>951</v>
      </c>
      <c r="AG15" s="13">
        <v>600</v>
      </c>
      <c r="AH15" s="13">
        <v>562</v>
      </c>
      <c r="AI15" s="16">
        <f t="shared" si="6"/>
        <v>63.09148264984227</v>
      </c>
      <c r="AJ15" s="16">
        <f t="shared" si="7"/>
        <v>59.095688748685596</v>
      </c>
      <c r="AK15" s="16">
        <f t="shared" si="8"/>
        <v>93.666666666666671</v>
      </c>
    </row>
    <row r="16" spans="2:37" x14ac:dyDescent="0.25">
      <c r="B16" s="3" t="s">
        <v>13</v>
      </c>
      <c r="D16" s="17"/>
      <c r="E16" s="19"/>
      <c r="F16" s="19"/>
      <c r="G16" s="13"/>
      <c r="H16" s="13"/>
      <c r="I16" s="13"/>
      <c r="J16" s="21"/>
      <c r="K16" s="19">
        <v>1218</v>
      </c>
      <c r="L16" s="19">
        <v>939</v>
      </c>
      <c r="M16" s="19">
        <v>903</v>
      </c>
      <c r="N16" s="16">
        <f t="shared" si="3"/>
        <v>77.093596059113295</v>
      </c>
      <c r="O16" s="16">
        <f t="shared" si="4"/>
        <v>74.137931034482762</v>
      </c>
      <c r="P16" s="16">
        <f t="shared" si="5"/>
        <v>96.166134185303505</v>
      </c>
      <c r="Q16" s="21"/>
      <c r="R16" s="13"/>
      <c r="S16" s="13"/>
      <c r="T16" s="13"/>
      <c r="U16" s="13"/>
      <c r="V16" s="13"/>
      <c r="W16" s="13"/>
      <c r="X16" s="21"/>
      <c r="Y16" s="13"/>
      <c r="Z16" s="13"/>
      <c r="AA16" s="13"/>
      <c r="AB16" s="13"/>
      <c r="AC16" s="13"/>
      <c r="AD16" s="13"/>
      <c r="AE16" s="21"/>
      <c r="AF16" s="13">
        <v>1218</v>
      </c>
      <c r="AG16" s="13">
        <v>933</v>
      </c>
      <c r="AH16" s="13">
        <v>911</v>
      </c>
      <c r="AI16" s="16">
        <f t="shared" si="6"/>
        <v>76.600985221674875</v>
      </c>
      <c r="AJ16" s="16">
        <f t="shared" si="7"/>
        <v>74.794745484400664</v>
      </c>
      <c r="AK16" s="16">
        <f t="shared" si="8"/>
        <v>97.642015005359056</v>
      </c>
    </row>
    <row r="17" spans="2:37" x14ac:dyDescent="0.25">
      <c r="B17" s="3" t="s">
        <v>14</v>
      </c>
      <c r="D17" s="17"/>
      <c r="E17" s="19"/>
      <c r="F17" s="19"/>
      <c r="G17" s="13"/>
      <c r="H17" s="13"/>
      <c r="I17" s="13"/>
      <c r="J17" s="21"/>
      <c r="K17" s="19">
        <v>893</v>
      </c>
      <c r="L17" s="19">
        <v>707</v>
      </c>
      <c r="M17" s="19">
        <v>660</v>
      </c>
      <c r="N17" s="16">
        <f t="shared" si="3"/>
        <v>79.171332586786107</v>
      </c>
      <c r="O17" s="16">
        <f t="shared" si="4"/>
        <v>73.908174692049272</v>
      </c>
      <c r="P17" s="16">
        <f t="shared" si="5"/>
        <v>93.352192362093362</v>
      </c>
      <c r="Q17" s="21"/>
      <c r="R17" s="13"/>
      <c r="S17" s="13"/>
      <c r="T17" s="13"/>
      <c r="U17" s="13"/>
      <c r="V17" s="13"/>
      <c r="W17" s="13"/>
      <c r="X17" s="21"/>
      <c r="Y17" s="13"/>
      <c r="Z17" s="13"/>
      <c r="AA17" s="13"/>
      <c r="AB17" s="13"/>
      <c r="AC17" s="13"/>
      <c r="AD17" s="13"/>
      <c r="AE17" s="21"/>
      <c r="AF17" s="13">
        <v>893</v>
      </c>
      <c r="AG17" s="13">
        <v>702</v>
      </c>
      <c r="AH17" s="13">
        <v>670</v>
      </c>
      <c r="AI17" s="16">
        <f t="shared" si="6"/>
        <v>78.611422172452407</v>
      </c>
      <c r="AJ17" s="16">
        <f t="shared" si="7"/>
        <v>75.027995520716686</v>
      </c>
      <c r="AK17" s="16">
        <f t="shared" si="8"/>
        <v>95.441595441595439</v>
      </c>
    </row>
    <row r="18" spans="2:37" x14ac:dyDescent="0.25">
      <c r="B18" s="3" t="s">
        <v>15</v>
      </c>
      <c r="D18" s="17"/>
      <c r="E18" s="19"/>
      <c r="F18" s="19"/>
      <c r="G18" s="13"/>
      <c r="H18" s="13"/>
      <c r="I18" s="13"/>
      <c r="J18" s="21"/>
      <c r="K18" s="19">
        <v>877</v>
      </c>
      <c r="L18" s="19">
        <v>645</v>
      </c>
      <c r="M18" s="19">
        <v>614</v>
      </c>
      <c r="N18" s="16">
        <f t="shared" si="3"/>
        <v>73.546180159635128</v>
      </c>
      <c r="O18" s="16">
        <f t="shared" si="4"/>
        <v>70.011402508551882</v>
      </c>
      <c r="P18" s="16">
        <f t="shared" si="5"/>
        <v>95.193798449612402</v>
      </c>
      <c r="Q18" s="21"/>
      <c r="R18" s="13"/>
      <c r="S18" s="13"/>
      <c r="T18" s="13"/>
      <c r="U18" s="13"/>
      <c r="V18" s="13"/>
      <c r="W18" s="13"/>
      <c r="X18" s="21"/>
      <c r="Y18" s="13"/>
      <c r="Z18" s="13"/>
      <c r="AA18" s="13"/>
      <c r="AB18" s="13"/>
      <c r="AC18" s="13"/>
      <c r="AD18" s="13"/>
      <c r="AE18" s="21"/>
      <c r="AF18" s="13">
        <v>877</v>
      </c>
      <c r="AG18" s="13">
        <v>646</v>
      </c>
      <c r="AH18" s="13">
        <v>625</v>
      </c>
      <c r="AI18" s="16">
        <f t="shared" si="6"/>
        <v>73.660205245153932</v>
      </c>
      <c r="AJ18" s="16">
        <f t="shared" si="7"/>
        <v>71.265678449258843</v>
      </c>
      <c r="AK18" s="16">
        <f t="shared" si="8"/>
        <v>96.749226006191947</v>
      </c>
    </row>
    <row r="19" spans="2:37" x14ac:dyDescent="0.25">
      <c r="B19" s="3" t="s">
        <v>16</v>
      </c>
      <c r="D19" s="17"/>
      <c r="E19" s="19"/>
      <c r="F19" s="19"/>
      <c r="G19" s="13"/>
      <c r="H19" s="13"/>
      <c r="I19" s="13"/>
      <c r="J19" s="21"/>
      <c r="K19" s="19">
        <v>666</v>
      </c>
      <c r="L19" s="19">
        <v>490</v>
      </c>
      <c r="M19" s="19">
        <v>472</v>
      </c>
      <c r="N19" s="16">
        <f t="shared" si="3"/>
        <v>73.573573573573569</v>
      </c>
      <c r="O19" s="16">
        <f t="shared" si="4"/>
        <v>70.870870870870874</v>
      </c>
      <c r="P19" s="16">
        <f t="shared" si="5"/>
        <v>96.326530612244895</v>
      </c>
      <c r="Q19" s="21"/>
      <c r="R19" s="13"/>
      <c r="S19" s="13"/>
      <c r="T19" s="13"/>
      <c r="U19" s="13"/>
      <c r="V19" s="13"/>
      <c r="W19" s="13"/>
      <c r="X19" s="21"/>
      <c r="Y19" s="13"/>
      <c r="Z19" s="13"/>
      <c r="AA19" s="13"/>
      <c r="AB19" s="13"/>
      <c r="AC19" s="13"/>
      <c r="AD19" s="13"/>
      <c r="AE19" s="21"/>
      <c r="AF19" s="13">
        <v>666</v>
      </c>
      <c r="AG19" s="13">
        <v>490</v>
      </c>
      <c r="AH19" s="13">
        <v>482</v>
      </c>
      <c r="AI19" s="16">
        <f t="shared" si="6"/>
        <v>73.573573573573569</v>
      </c>
      <c r="AJ19" s="16">
        <f t="shared" si="7"/>
        <v>72.372372372372368</v>
      </c>
      <c r="AK19" s="16">
        <f t="shared" si="8"/>
        <v>98.367346938775512</v>
      </c>
    </row>
    <row r="20" spans="2:37" x14ac:dyDescent="0.25">
      <c r="B20" s="3" t="s">
        <v>17</v>
      </c>
      <c r="D20" s="17"/>
      <c r="E20" s="19"/>
      <c r="F20" s="19"/>
      <c r="G20" s="13"/>
      <c r="H20" s="13"/>
      <c r="I20" s="13"/>
      <c r="J20" s="21"/>
      <c r="K20" s="19">
        <v>970</v>
      </c>
      <c r="L20" s="19">
        <v>800</v>
      </c>
      <c r="M20" s="19">
        <v>770</v>
      </c>
      <c r="N20" s="16">
        <f t="shared" si="3"/>
        <v>82.474226804123703</v>
      </c>
      <c r="O20" s="16">
        <f t="shared" si="4"/>
        <v>79.381443298969074</v>
      </c>
      <c r="P20" s="16">
        <f t="shared" si="5"/>
        <v>96.25</v>
      </c>
      <c r="Q20" s="21"/>
      <c r="R20" s="13"/>
      <c r="S20" s="13"/>
      <c r="T20" s="13"/>
      <c r="U20" s="13"/>
      <c r="V20" s="13"/>
      <c r="W20" s="13"/>
      <c r="X20" s="21"/>
      <c r="Y20" s="13"/>
      <c r="Z20" s="13"/>
      <c r="AA20" s="13"/>
      <c r="AB20" s="13"/>
      <c r="AC20" s="13"/>
      <c r="AD20" s="13"/>
      <c r="AE20" s="21"/>
      <c r="AF20" s="13">
        <v>970</v>
      </c>
      <c r="AG20" s="13">
        <v>804</v>
      </c>
      <c r="AH20" s="13">
        <v>780</v>
      </c>
      <c r="AI20" s="16">
        <f t="shared" si="6"/>
        <v>82.886597938144334</v>
      </c>
      <c r="AJ20" s="16">
        <f t="shared" si="7"/>
        <v>80.412371134020617</v>
      </c>
      <c r="AK20" s="16">
        <f t="shared" si="8"/>
        <v>97.014925373134332</v>
      </c>
    </row>
    <row r="21" spans="2:37" x14ac:dyDescent="0.25">
      <c r="B21" s="3" t="s">
        <v>18</v>
      </c>
      <c r="D21" s="17"/>
      <c r="E21" s="19"/>
      <c r="F21" s="19"/>
      <c r="G21" s="13"/>
      <c r="H21" s="13"/>
      <c r="I21" s="13"/>
      <c r="J21" s="21"/>
      <c r="K21" s="19">
        <v>1156</v>
      </c>
      <c r="L21" s="19">
        <v>826</v>
      </c>
      <c r="M21" s="19">
        <v>790</v>
      </c>
      <c r="N21" s="16">
        <f t="shared" si="3"/>
        <v>71.45328719723183</v>
      </c>
      <c r="O21" s="16">
        <f t="shared" si="4"/>
        <v>68.339100346020771</v>
      </c>
      <c r="P21" s="16">
        <f t="shared" si="5"/>
        <v>95.641646489104119</v>
      </c>
      <c r="Q21" s="21"/>
      <c r="R21" s="13"/>
      <c r="S21" s="13"/>
      <c r="T21" s="13"/>
      <c r="U21" s="13"/>
      <c r="V21" s="13"/>
      <c r="W21" s="13"/>
      <c r="X21" s="21"/>
      <c r="Y21" s="13"/>
      <c r="Z21" s="13"/>
      <c r="AA21" s="13"/>
      <c r="AB21" s="13"/>
      <c r="AC21" s="13"/>
      <c r="AD21" s="13"/>
      <c r="AE21" s="21"/>
      <c r="AF21" s="13">
        <v>1156</v>
      </c>
      <c r="AG21" s="13">
        <v>838</v>
      </c>
      <c r="AH21" s="13">
        <v>806</v>
      </c>
      <c r="AI21" s="16">
        <f t="shared" si="6"/>
        <v>72.491349480968864</v>
      </c>
      <c r="AJ21" s="16">
        <f t="shared" si="7"/>
        <v>69.72318339100346</v>
      </c>
      <c r="AK21" s="16">
        <f t="shared" si="8"/>
        <v>96.181384248210023</v>
      </c>
    </row>
    <row r="22" spans="2:37" x14ac:dyDescent="0.25">
      <c r="B22" s="4" t="s">
        <v>19</v>
      </c>
      <c r="D22" s="17"/>
      <c r="E22" s="19"/>
      <c r="F22" s="19"/>
      <c r="G22" s="13"/>
      <c r="H22" s="13"/>
      <c r="I22" s="13"/>
      <c r="J22" s="21"/>
      <c r="K22" s="13"/>
      <c r="L22" s="13"/>
      <c r="M22" s="13"/>
      <c r="N22" s="13"/>
      <c r="O22" s="13"/>
      <c r="P22" s="13"/>
      <c r="Q22" s="21"/>
      <c r="R22" s="13">
        <v>2790</v>
      </c>
      <c r="S22" s="13">
        <v>1741</v>
      </c>
      <c r="T22" s="13">
        <v>1597</v>
      </c>
      <c r="U22" s="16">
        <f t="shared" ref="U22:U32" si="9">S22/R22*100</f>
        <v>62.401433691756267</v>
      </c>
      <c r="V22" s="16">
        <f t="shared" ref="V22:V32" si="10">T22/R22*100</f>
        <v>57.24014336917562</v>
      </c>
      <c r="W22" s="16">
        <f t="shared" ref="W22:W32" si="11">T22/S22*100</f>
        <v>91.728891441700171</v>
      </c>
      <c r="X22" s="21"/>
      <c r="Y22" s="13">
        <v>2790</v>
      </c>
      <c r="Z22" s="13">
        <v>1730</v>
      </c>
      <c r="AA22" s="13">
        <v>1571</v>
      </c>
      <c r="AB22" s="16">
        <f t="shared" ref="AB22:AB32" si="12">Z22/Y22*100</f>
        <v>62.007168458781358</v>
      </c>
      <c r="AC22" s="16">
        <f t="shared" ref="AC22:AC32" si="13">AA22/Y22*100</f>
        <v>56.308243727598558</v>
      </c>
      <c r="AD22" s="16">
        <f t="shared" ref="AD22:AD32" si="14">AA22/Z22*100</f>
        <v>90.809248554913296</v>
      </c>
      <c r="AE22" s="21"/>
      <c r="AF22" s="13"/>
      <c r="AG22" s="13"/>
      <c r="AH22" s="13"/>
      <c r="AI22" s="13"/>
      <c r="AJ22" s="13"/>
      <c r="AK22" s="13"/>
    </row>
    <row r="23" spans="2:37" x14ac:dyDescent="0.25">
      <c r="B23" s="4" t="s">
        <v>20</v>
      </c>
      <c r="D23" s="17"/>
      <c r="E23" s="19"/>
      <c r="F23" s="19"/>
      <c r="G23" s="13"/>
      <c r="H23" s="13"/>
      <c r="I23" s="13"/>
      <c r="J23" s="21"/>
      <c r="K23" s="13"/>
      <c r="L23" s="13"/>
      <c r="M23" s="13"/>
      <c r="N23" s="13"/>
      <c r="O23" s="13"/>
      <c r="P23" s="13"/>
      <c r="Q23" s="21"/>
      <c r="R23" s="13">
        <v>2248</v>
      </c>
      <c r="S23" s="13">
        <v>1235</v>
      </c>
      <c r="T23" s="13">
        <v>1144</v>
      </c>
      <c r="U23" s="16">
        <f t="shared" si="9"/>
        <v>54.937722419928825</v>
      </c>
      <c r="V23" s="16">
        <f t="shared" si="10"/>
        <v>50.889679715302492</v>
      </c>
      <c r="W23" s="16">
        <f t="shared" si="11"/>
        <v>92.631578947368425</v>
      </c>
      <c r="X23" s="21"/>
      <c r="Y23" s="13">
        <v>2248</v>
      </c>
      <c r="Z23" s="13">
        <v>1226</v>
      </c>
      <c r="AA23" s="13">
        <v>1129</v>
      </c>
      <c r="AB23" s="16">
        <f t="shared" si="12"/>
        <v>54.537366548042712</v>
      </c>
      <c r="AC23" s="16">
        <f t="shared" si="13"/>
        <v>50.222419928825623</v>
      </c>
      <c r="AD23" s="16">
        <f t="shared" si="14"/>
        <v>92.088091353996731</v>
      </c>
      <c r="AE23" s="21"/>
      <c r="AF23" s="13"/>
      <c r="AG23" s="13"/>
      <c r="AH23" s="13"/>
      <c r="AI23" s="13"/>
      <c r="AJ23" s="13"/>
      <c r="AK23" s="13"/>
    </row>
    <row r="24" spans="2:37" x14ac:dyDescent="0.25">
      <c r="B24" s="4" t="s">
        <v>21</v>
      </c>
      <c r="D24" s="17"/>
      <c r="E24" s="19"/>
      <c r="F24" s="19"/>
      <c r="G24" s="13"/>
      <c r="H24" s="13"/>
      <c r="I24" s="13"/>
      <c r="J24" s="21"/>
      <c r="K24" s="13"/>
      <c r="L24" s="13"/>
      <c r="M24" s="13"/>
      <c r="N24" s="13"/>
      <c r="O24" s="13"/>
      <c r="P24" s="13"/>
      <c r="Q24" s="21"/>
      <c r="R24" s="13">
        <v>1892</v>
      </c>
      <c r="S24" s="13">
        <v>1319</v>
      </c>
      <c r="T24" s="13">
        <v>1246</v>
      </c>
      <c r="U24" s="16">
        <f t="shared" si="9"/>
        <v>69.714587737843544</v>
      </c>
      <c r="V24" s="16">
        <f t="shared" si="10"/>
        <v>65.856236786469353</v>
      </c>
      <c r="W24" s="16">
        <f t="shared" si="11"/>
        <v>94.465504169825621</v>
      </c>
      <c r="X24" s="21"/>
      <c r="Y24" s="13">
        <v>1892</v>
      </c>
      <c r="Z24" s="13">
        <v>1318</v>
      </c>
      <c r="AA24" s="13">
        <v>1233</v>
      </c>
      <c r="AB24" s="16">
        <f t="shared" si="12"/>
        <v>69.661733615221991</v>
      </c>
      <c r="AC24" s="16">
        <f t="shared" si="13"/>
        <v>65.169133192389012</v>
      </c>
      <c r="AD24" s="16">
        <f t="shared" si="14"/>
        <v>93.550834597875564</v>
      </c>
      <c r="AE24" s="21"/>
      <c r="AF24" s="13"/>
      <c r="AG24" s="13"/>
      <c r="AH24" s="13"/>
      <c r="AI24" s="13"/>
      <c r="AJ24" s="13"/>
      <c r="AK24" s="13"/>
    </row>
    <row r="25" spans="2:37" x14ac:dyDescent="0.25">
      <c r="B25" s="4" t="s">
        <v>22</v>
      </c>
      <c r="D25" s="17"/>
      <c r="E25" s="19"/>
      <c r="F25" s="19"/>
      <c r="G25" s="13"/>
      <c r="H25" s="13"/>
      <c r="I25" s="13"/>
      <c r="J25" s="21"/>
      <c r="K25" s="13"/>
      <c r="L25" s="13"/>
      <c r="M25" s="13"/>
      <c r="N25" s="13"/>
      <c r="O25" s="13"/>
      <c r="P25" s="13"/>
      <c r="Q25" s="21"/>
      <c r="R25" s="13">
        <v>2035</v>
      </c>
      <c r="S25" s="13">
        <v>1186</v>
      </c>
      <c r="T25" s="13">
        <v>1099</v>
      </c>
      <c r="U25" s="16">
        <f t="shared" si="9"/>
        <v>58.280098280098279</v>
      </c>
      <c r="V25" s="16">
        <f t="shared" si="10"/>
        <v>54.004914004914006</v>
      </c>
      <c r="W25" s="16">
        <f t="shared" si="11"/>
        <v>92.664418212478921</v>
      </c>
      <c r="X25" s="21"/>
      <c r="Y25" s="13">
        <v>2034</v>
      </c>
      <c r="Z25" s="13">
        <v>1189</v>
      </c>
      <c r="AA25" s="13">
        <v>1072</v>
      </c>
      <c r="AB25" s="16">
        <f t="shared" si="12"/>
        <v>58.456243854473946</v>
      </c>
      <c r="AC25" s="16">
        <f t="shared" si="13"/>
        <v>52.704031465093415</v>
      </c>
      <c r="AD25" s="16">
        <f t="shared" si="14"/>
        <v>90.159798149705637</v>
      </c>
      <c r="AE25" s="21"/>
      <c r="AF25" s="13"/>
      <c r="AG25" s="13"/>
      <c r="AH25" s="13"/>
      <c r="AI25" s="13"/>
      <c r="AJ25" s="13"/>
      <c r="AK25" s="13"/>
    </row>
    <row r="26" spans="2:37" x14ac:dyDescent="0.25">
      <c r="B26" s="4" t="s">
        <v>23</v>
      </c>
      <c r="D26" s="17"/>
      <c r="E26" s="19"/>
      <c r="F26" s="19"/>
      <c r="G26" s="13"/>
      <c r="H26" s="13"/>
      <c r="I26" s="13"/>
      <c r="J26" s="21"/>
      <c r="K26" s="13"/>
      <c r="L26" s="13"/>
      <c r="M26" s="13"/>
      <c r="N26" s="13"/>
      <c r="O26" s="13"/>
      <c r="P26" s="13"/>
      <c r="Q26" s="21"/>
      <c r="R26" s="13">
        <v>2629</v>
      </c>
      <c r="S26" s="13">
        <v>2002</v>
      </c>
      <c r="T26" s="13">
        <v>1801</v>
      </c>
      <c r="U26" s="16">
        <f t="shared" si="9"/>
        <v>76.15062761506276</v>
      </c>
      <c r="V26" s="16">
        <f t="shared" si="10"/>
        <v>68.505135032331694</v>
      </c>
      <c r="W26" s="16">
        <f t="shared" si="11"/>
        <v>89.960039960039964</v>
      </c>
      <c r="X26" s="21"/>
      <c r="Y26" s="13">
        <v>2629</v>
      </c>
      <c r="Z26" s="13">
        <v>2006</v>
      </c>
      <c r="AA26" s="13">
        <v>1781</v>
      </c>
      <c r="AB26" s="16">
        <f t="shared" si="12"/>
        <v>76.30277672118676</v>
      </c>
      <c r="AC26" s="16">
        <f t="shared" si="13"/>
        <v>67.74438950171168</v>
      </c>
      <c r="AD26" s="16">
        <f t="shared" si="14"/>
        <v>88.783649052841469</v>
      </c>
      <c r="AE26" s="21"/>
      <c r="AF26" s="13"/>
      <c r="AG26" s="13"/>
      <c r="AH26" s="13"/>
      <c r="AI26" s="13"/>
      <c r="AJ26" s="13"/>
      <c r="AK26" s="13"/>
    </row>
    <row r="27" spans="2:37" x14ac:dyDescent="0.25">
      <c r="B27" s="4" t="s">
        <v>24</v>
      </c>
      <c r="D27" s="17"/>
      <c r="E27" s="19"/>
      <c r="F27" s="19"/>
      <c r="G27" s="13"/>
      <c r="H27" s="13"/>
      <c r="I27" s="13"/>
      <c r="J27" s="21"/>
      <c r="K27" s="13"/>
      <c r="L27" s="13"/>
      <c r="M27" s="13"/>
      <c r="N27" s="13"/>
      <c r="O27" s="13"/>
      <c r="P27" s="13"/>
      <c r="Q27" s="21"/>
      <c r="R27" s="13">
        <v>2385</v>
      </c>
      <c r="S27" s="13">
        <v>1803</v>
      </c>
      <c r="T27" s="13">
        <v>1727</v>
      </c>
      <c r="U27" s="16">
        <f t="shared" si="9"/>
        <v>75.59748427672956</v>
      </c>
      <c r="V27" s="16">
        <f t="shared" si="10"/>
        <v>72.410901467505241</v>
      </c>
      <c r="W27" s="16">
        <f t="shared" si="11"/>
        <v>95.784803105934557</v>
      </c>
      <c r="X27" s="21"/>
      <c r="Y27" s="13">
        <v>2385</v>
      </c>
      <c r="Z27" s="13">
        <v>1794</v>
      </c>
      <c r="AA27" s="13">
        <v>1692</v>
      </c>
      <c r="AB27" s="16">
        <f t="shared" si="12"/>
        <v>75.220125786163521</v>
      </c>
      <c r="AC27" s="16">
        <f t="shared" si="13"/>
        <v>70.943396226415089</v>
      </c>
      <c r="AD27" s="16">
        <f t="shared" si="14"/>
        <v>94.314381270903013</v>
      </c>
      <c r="AE27" s="21"/>
      <c r="AF27" s="13"/>
      <c r="AG27" s="13"/>
      <c r="AH27" s="13"/>
      <c r="AI27" s="13"/>
      <c r="AJ27" s="13"/>
      <c r="AK27" s="13"/>
    </row>
    <row r="28" spans="2:37" x14ac:dyDescent="0.25">
      <c r="B28" s="4" t="s">
        <v>25</v>
      </c>
      <c r="D28" s="17"/>
      <c r="E28" s="19"/>
      <c r="F28" s="19"/>
      <c r="G28" s="13"/>
      <c r="H28" s="13"/>
      <c r="I28" s="13"/>
      <c r="J28" s="21"/>
      <c r="K28" s="13"/>
      <c r="L28" s="13"/>
      <c r="M28" s="13"/>
      <c r="N28" s="13"/>
      <c r="O28" s="13"/>
      <c r="P28" s="13"/>
      <c r="Q28" s="21"/>
      <c r="R28" s="13">
        <v>1550</v>
      </c>
      <c r="S28" s="13">
        <v>1154</v>
      </c>
      <c r="T28" s="13">
        <v>1118</v>
      </c>
      <c r="U28" s="16">
        <f t="shared" si="9"/>
        <v>74.451612903225808</v>
      </c>
      <c r="V28" s="16">
        <f t="shared" si="10"/>
        <v>72.129032258064512</v>
      </c>
      <c r="W28" s="16">
        <f t="shared" si="11"/>
        <v>96.880415944540729</v>
      </c>
      <c r="X28" s="21"/>
      <c r="Y28" s="13">
        <v>1550</v>
      </c>
      <c r="Z28" s="13">
        <v>1151</v>
      </c>
      <c r="AA28" s="13">
        <v>1101</v>
      </c>
      <c r="AB28" s="16">
        <f t="shared" si="12"/>
        <v>74.258064516129025</v>
      </c>
      <c r="AC28" s="16">
        <f t="shared" si="13"/>
        <v>71.032258064516128</v>
      </c>
      <c r="AD28" s="16">
        <f t="shared" si="14"/>
        <v>95.655951346655073</v>
      </c>
      <c r="AE28" s="21"/>
      <c r="AF28" s="13"/>
      <c r="AG28" s="13"/>
      <c r="AH28" s="13"/>
      <c r="AI28" s="13"/>
      <c r="AJ28" s="13"/>
      <c r="AK28" s="13"/>
    </row>
    <row r="29" spans="2:37" x14ac:dyDescent="0.25">
      <c r="B29" s="4" t="s">
        <v>26</v>
      </c>
      <c r="D29" s="17"/>
      <c r="E29" s="19"/>
      <c r="F29" s="19"/>
      <c r="G29" s="13"/>
      <c r="H29" s="13"/>
      <c r="I29" s="13"/>
      <c r="J29" s="21"/>
      <c r="K29" s="13"/>
      <c r="L29" s="13"/>
      <c r="M29" s="13"/>
      <c r="N29" s="13"/>
      <c r="O29" s="13"/>
      <c r="P29" s="13"/>
      <c r="Q29" s="21"/>
      <c r="R29" s="13">
        <v>787</v>
      </c>
      <c r="S29" s="13">
        <v>577</v>
      </c>
      <c r="T29" s="13">
        <v>563</v>
      </c>
      <c r="U29" s="16">
        <f t="shared" si="9"/>
        <v>73.316391359593396</v>
      </c>
      <c r="V29" s="16">
        <f t="shared" si="10"/>
        <v>71.53748411689962</v>
      </c>
      <c r="W29" s="16">
        <f t="shared" si="11"/>
        <v>97.573656845753902</v>
      </c>
      <c r="X29" s="21"/>
      <c r="Y29" s="13">
        <v>787</v>
      </c>
      <c r="Z29" s="13">
        <v>573</v>
      </c>
      <c r="AA29" s="13">
        <v>553</v>
      </c>
      <c r="AB29" s="16">
        <f t="shared" si="12"/>
        <v>72.80813214739517</v>
      </c>
      <c r="AC29" s="16">
        <f t="shared" si="13"/>
        <v>70.266836086404055</v>
      </c>
      <c r="AD29" s="16">
        <f t="shared" si="14"/>
        <v>96.509598603839436</v>
      </c>
      <c r="AE29" s="21"/>
      <c r="AF29" s="13"/>
      <c r="AG29" s="13"/>
      <c r="AH29" s="13"/>
      <c r="AI29" s="13"/>
      <c r="AJ29" s="13"/>
      <c r="AK29" s="13"/>
    </row>
    <row r="30" spans="2:37" x14ac:dyDescent="0.25">
      <c r="B30" s="4" t="s">
        <v>27</v>
      </c>
      <c r="D30" s="17"/>
      <c r="E30" s="19"/>
      <c r="F30" s="19"/>
      <c r="G30" s="13"/>
      <c r="H30" s="13"/>
      <c r="I30" s="13"/>
      <c r="J30" s="21"/>
      <c r="K30" s="13"/>
      <c r="L30" s="13"/>
      <c r="M30" s="13"/>
      <c r="N30" s="13"/>
      <c r="O30" s="13"/>
      <c r="P30" s="13"/>
      <c r="Q30" s="21"/>
      <c r="R30" s="13">
        <v>303</v>
      </c>
      <c r="S30" s="13">
        <v>158</v>
      </c>
      <c r="T30" s="13">
        <v>154</v>
      </c>
      <c r="U30" s="16">
        <f t="shared" si="9"/>
        <v>52.145214521452147</v>
      </c>
      <c r="V30" s="16">
        <f t="shared" si="10"/>
        <v>50.82508250825083</v>
      </c>
      <c r="W30" s="16">
        <f t="shared" si="11"/>
        <v>97.468354430379748</v>
      </c>
      <c r="X30" s="21"/>
      <c r="Y30" s="13">
        <v>303</v>
      </c>
      <c r="Z30" s="13">
        <v>159</v>
      </c>
      <c r="AA30" s="13">
        <v>152</v>
      </c>
      <c r="AB30" s="16">
        <f t="shared" si="12"/>
        <v>52.475247524752476</v>
      </c>
      <c r="AC30" s="16">
        <f t="shared" si="13"/>
        <v>50.165016501650165</v>
      </c>
      <c r="AD30" s="16">
        <f t="shared" si="14"/>
        <v>95.59748427672956</v>
      </c>
      <c r="AE30" s="21"/>
      <c r="AF30" s="13"/>
      <c r="AG30" s="13"/>
      <c r="AH30" s="13"/>
      <c r="AI30" s="13"/>
      <c r="AJ30" s="13"/>
      <c r="AK30" s="13"/>
    </row>
    <row r="31" spans="2:37" x14ac:dyDescent="0.25">
      <c r="B31" s="4" t="s">
        <v>28</v>
      </c>
      <c r="D31" s="17"/>
      <c r="E31" s="19"/>
      <c r="F31" s="19"/>
      <c r="G31" s="13"/>
      <c r="H31" s="13"/>
      <c r="I31" s="13"/>
      <c r="J31" s="21"/>
      <c r="K31" s="13"/>
      <c r="L31" s="13"/>
      <c r="M31" s="13"/>
      <c r="N31" s="13"/>
      <c r="O31" s="13"/>
      <c r="P31" s="13"/>
      <c r="Q31" s="21"/>
      <c r="R31" s="13">
        <v>1750</v>
      </c>
      <c r="S31" s="13">
        <v>1584</v>
      </c>
      <c r="T31" s="13">
        <v>1501</v>
      </c>
      <c r="U31" s="16">
        <f t="shared" si="9"/>
        <v>90.51428571428572</v>
      </c>
      <c r="V31" s="16">
        <f t="shared" si="10"/>
        <v>85.771428571428572</v>
      </c>
      <c r="W31" s="16">
        <f t="shared" si="11"/>
        <v>94.76010101010101</v>
      </c>
      <c r="X31" s="21"/>
      <c r="Y31" s="13">
        <v>1750</v>
      </c>
      <c r="Z31" s="13">
        <v>1580</v>
      </c>
      <c r="AA31" s="13">
        <v>1493</v>
      </c>
      <c r="AB31" s="16">
        <f t="shared" si="12"/>
        <v>90.285714285714278</v>
      </c>
      <c r="AC31" s="16">
        <f t="shared" si="13"/>
        <v>85.314285714285703</v>
      </c>
      <c r="AD31" s="16">
        <f t="shared" si="14"/>
        <v>94.493670886075947</v>
      </c>
      <c r="AE31" s="21"/>
      <c r="AF31" s="13"/>
      <c r="AG31" s="13"/>
      <c r="AH31" s="13"/>
      <c r="AI31" s="13"/>
      <c r="AJ31" s="13"/>
      <c r="AK31" s="13"/>
    </row>
    <row r="32" spans="2:37" x14ac:dyDescent="0.25">
      <c r="B32" s="4" t="s">
        <v>29</v>
      </c>
      <c r="D32" s="17"/>
      <c r="E32" s="19"/>
      <c r="F32" s="19"/>
      <c r="G32" s="13"/>
      <c r="H32" s="13"/>
      <c r="I32" s="13"/>
      <c r="J32" s="21"/>
      <c r="K32" s="13"/>
      <c r="L32" s="13"/>
      <c r="M32" s="13"/>
      <c r="N32" s="13"/>
      <c r="O32" s="13"/>
      <c r="P32" s="13"/>
      <c r="Q32" s="21"/>
      <c r="R32" s="13">
        <v>1370</v>
      </c>
      <c r="S32" s="13">
        <v>1072</v>
      </c>
      <c r="T32" s="13">
        <v>1042</v>
      </c>
      <c r="U32" s="16">
        <f t="shared" si="9"/>
        <v>78.248175182481745</v>
      </c>
      <c r="V32" s="16">
        <f t="shared" si="10"/>
        <v>76.058394160583944</v>
      </c>
      <c r="W32" s="16">
        <f t="shared" si="11"/>
        <v>97.201492537313428</v>
      </c>
      <c r="X32" s="21"/>
      <c r="Y32" s="13">
        <v>1370</v>
      </c>
      <c r="Z32" s="13">
        <v>1068</v>
      </c>
      <c r="AA32" s="13">
        <v>1027</v>
      </c>
      <c r="AB32" s="16">
        <f t="shared" si="12"/>
        <v>77.956204379562038</v>
      </c>
      <c r="AC32" s="16">
        <f t="shared" si="13"/>
        <v>74.96350364963503</v>
      </c>
      <c r="AD32" s="16">
        <f t="shared" si="14"/>
        <v>96.161048689138568</v>
      </c>
      <c r="AE32" s="21"/>
      <c r="AF32" s="13"/>
      <c r="AG32" s="13"/>
      <c r="AH32" s="13"/>
      <c r="AI32" s="13"/>
      <c r="AJ32" s="13"/>
      <c r="AK32" s="13"/>
    </row>
    <row r="33" spans="2:37" x14ac:dyDescent="0.25">
      <c r="B33" s="5" t="s">
        <v>30</v>
      </c>
      <c r="D33" s="17">
        <v>1133</v>
      </c>
      <c r="E33" s="19">
        <v>697</v>
      </c>
      <c r="F33" s="19">
        <v>662</v>
      </c>
      <c r="G33" s="16">
        <f t="shared" ref="G33:G47" si="15">E33/D33*100</f>
        <v>61.518093556928513</v>
      </c>
      <c r="H33" s="16">
        <f t="shared" ref="H33:H47" si="16">F33/D33*100</f>
        <v>58.42894969108562</v>
      </c>
      <c r="I33" s="16">
        <f t="shared" ref="I33:I47" si="17">F33/E33*100</f>
        <v>94.978479196556677</v>
      </c>
      <c r="J33" s="21"/>
      <c r="K33" s="13"/>
      <c r="L33" s="13"/>
      <c r="M33" s="13"/>
      <c r="N33" s="13"/>
      <c r="O33" s="13"/>
      <c r="P33" s="13"/>
      <c r="Q33" s="21"/>
      <c r="R33" s="13"/>
      <c r="S33" s="13"/>
      <c r="T33" s="13"/>
      <c r="U33" s="13"/>
      <c r="V33" s="13"/>
      <c r="W33" s="13"/>
      <c r="X33" s="21"/>
      <c r="Y33" s="13"/>
      <c r="Z33" s="13"/>
      <c r="AA33" s="13"/>
      <c r="AB33" s="13"/>
      <c r="AC33" s="13"/>
      <c r="AD33" s="13"/>
      <c r="AE33" s="21"/>
      <c r="AF33" s="13"/>
      <c r="AG33" s="13"/>
      <c r="AH33" s="13"/>
      <c r="AI33" s="13"/>
      <c r="AJ33" s="13"/>
      <c r="AK33" s="13"/>
    </row>
    <row r="34" spans="2:37" x14ac:dyDescent="0.25">
      <c r="B34" s="5" t="s">
        <v>31</v>
      </c>
      <c r="D34" s="17">
        <v>1032</v>
      </c>
      <c r="E34" s="19">
        <v>711</v>
      </c>
      <c r="F34" s="19">
        <v>668</v>
      </c>
      <c r="G34" s="16">
        <f t="shared" si="15"/>
        <v>68.895348837209298</v>
      </c>
      <c r="H34" s="16">
        <f t="shared" si="16"/>
        <v>64.728682170542641</v>
      </c>
      <c r="I34" s="16">
        <f t="shared" si="17"/>
        <v>93.952180028129391</v>
      </c>
      <c r="J34" s="21"/>
      <c r="K34" s="13"/>
      <c r="L34" s="13"/>
      <c r="M34" s="13"/>
      <c r="N34" s="13"/>
      <c r="O34" s="13"/>
      <c r="P34" s="13"/>
      <c r="Q34" s="21"/>
      <c r="R34" s="13"/>
      <c r="S34" s="13"/>
      <c r="T34" s="13"/>
      <c r="U34" s="13"/>
      <c r="V34" s="13"/>
      <c r="W34" s="13"/>
      <c r="X34" s="21"/>
      <c r="Y34" s="13"/>
      <c r="Z34" s="13"/>
      <c r="AA34" s="13"/>
      <c r="AB34" s="13"/>
      <c r="AC34" s="13"/>
      <c r="AD34" s="13"/>
      <c r="AE34" s="21"/>
      <c r="AF34" s="13"/>
      <c r="AG34" s="13"/>
      <c r="AH34" s="13"/>
      <c r="AI34" s="13"/>
      <c r="AJ34" s="13"/>
      <c r="AK34" s="13"/>
    </row>
    <row r="35" spans="2:37" x14ac:dyDescent="0.25">
      <c r="B35" s="5" t="s">
        <v>32</v>
      </c>
      <c r="C35" s="21"/>
      <c r="D35" s="19">
        <v>1297</v>
      </c>
      <c r="E35" s="19">
        <v>931</v>
      </c>
      <c r="F35" s="19">
        <v>889</v>
      </c>
      <c r="G35" s="16">
        <f t="shared" si="15"/>
        <v>71.781033153430997</v>
      </c>
      <c r="H35" s="16">
        <f t="shared" si="16"/>
        <v>68.542791056283733</v>
      </c>
      <c r="I35" s="16">
        <f t="shared" si="17"/>
        <v>95.488721804511272</v>
      </c>
      <c r="J35" s="21"/>
      <c r="K35" s="13"/>
      <c r="L35" s="13"/>
      <c r="M35" s="13"/>
      <c r="N35" s="13"/>
      <c r="O35" s="13"/>
      <c r="P35" s="13"/>
      <c r="Q35" s="21"/>
      <c r="R35" s="13"/>
      <c r="S35" s="13"/>
      <c r="T35" s="13"/>
      <c r="U35" s="13"/>
      <c r="V35" s="13"/>
      <c r="W35" s="13"/>
      <c r="X35" s="21"/>
      <c r="Y35" s="13"/>
      <c r="Z35" s="13"/>
      <c r="AA35" s="13"/>
      <c r="AB35" s="13"/>
      <c r="AC35" s="13"/>
      <c r="AD35" s="13"/>
      <c r="AE35" s="21"/>
      <c r="AF35" s="13"/>
      <c r="AG35" s="13"/>
      <c r="AH35" s="13"/>
      <c r="AI35" s="13"/>
      <c r="AJ35" s="13"/>
      <c r="AK35" s="13"/>
    </row>
    <row r="36" spans="2:37" x14ac:dyDescent="0.25">
      <c r="B36" s="5" t="s">
        <v>33</v>
      </c>
      <c r="C36" s="21"/>
      <c r="D36" s="19">
        <v>785</v>
      </c>
      <c r="E36" s="19">
        <v>565</v>
      </c>
      <c r="F36" s="19">
        <v>504</v>
      </c>
      <c r="G36" s="16">
        <f t="shared" si="15"/>
        <v>71.974522292993626</v>
      </c>
      <c r="H36" s="16">
        <f t="shared" si="16"/>
        <v>64.203821656050948</v>
      </c>
      <c r="I36" s="16">
        <f t="shared" si="17"/>
        <v>89.203539823008853</v>
      </c>
      <c r="J36" s="21"/>
      <c r="K36" s="13"/>
      <c r="L36" s="13"/>
      <c r="M36" s="13"/>
      <c r="N36" s="13"/>
      <c r="O36" s="13"/>
      <c r="P36" s="13"/>
      <c r="Q36" s="21"/>
      <c r="R36" s="13"/>
      <c r="S36" s="13"/>
      <c r="T36" s="13"/>
      <c r="U36" s="13"/>
      <c r="V36" s="13"/>
      <c r="W36" s="13"/>
      <c r="X36" s="21"/>
      <c r="Y36" s="13"/>
      <c r="Z36" s="13"/>
      <c r="AA36" s="13"/>
      <c r="AB36" s="13"/>
      <c r="AC36" s="13"/>
      <c r="AD36" s="13"/>
      <c r="AE36" s="21"/>
      <c r="AF36" s="13"/>
      <c r="AG36" s="13"/>
      <c r="AH36" s="13"/>
      <c r="AI36" s="13"/>
      <c r="AJ36" s="13"/>
      <c r="AK36" s="13"/>
    </row>
    <row r="37" spans="2:37" x14ac:dyDescent="0.25">
      <c r="B37" s="5" t="s">
        <v>34</v>
      </c>
      <c r="C37" s="21"/>
      <c r="D37" s="19">
        <v>488</v>
      </c>
      <c r="E37" s="19">
        <v>221</v>
      </c>
      <c r="F37" s="19">
        <v>201</v>
      </c>
      <c r="G37" s="16">
        <f t="shared" si="15"/>
        <v>45.286885245901637</v>
      </c>
      <c r="H37" s="16">
        <f t="shared" si="16"/>
        <v>41.188524590163937</v>
      </c>
      <c r="I37" s="16">
        <f t="shared" si="17"/>
        <v>90.950226244343895</v>
      </c>
      <c r="J37" s="21"/>
      <c r="K37" s="13"/>
      <c r="L37" s="13"/>
      <c r="M37" s="13"/>
      <c r="N37" s="13"/>
      <c r="O37" s="13"/>
      <c r="P37" s="13"/>
      <c r="Q37" s="21"/>
      <c r="R37" s="13"/>
      <c r="S37" s="13"/>
      <c r="T37" s="13"/>
      <c r="U37" s="13"/>
      <c r="V37" s="13"/>
      <c r="W37" s="13"/>
      <c r="X37" s="21"/>
      <c r="Y37" s="13"/>
      <c r="Z37" s="13"/>
      <c r="AA37" s="13"/>
      <c r="AB37" s="13"/>
      <c r="AC37" s="13"/>
      <c r="AD37" s="13"/>
      <c r="AE37" s="21"/>
      <c r="AF37" s="13"/>
      <c r="AG37" s="13"/>
      <c r="AH37" s="13"/>
      <c r="AI37" s="13"/>
      <c r="AJ37" s="13"/>
      <c r="AK37" s="13"/>
    </row>
    <row r="38" spans="2:37" x14ac:dyDescent="0.25">
      <c r="B38" s="5" t="s">
        <v>35</v>
      </c>
      <c r="C38" s="21"/>
      <c r="D38" s="19">
        <v>1249</v>
      </c>
      <c r="E38" s="19">
        <v>938</v>
      </c>
      <c r="F38" s="19">
        <v>900</v>
      </c>
      <c r="G38" s="16">
        <f t="shared" si="15"/>
        <v>75.100080064051241</v>
      </c>
      <c r="H38" s="16">
        <f t="shared" si="16"/>
        <v>72.057646116893508</v>
      </c>
      <c r="I38" s="16">
        <f t="shared" si="17"/>
        <v>95.948827292110877</v>
      </c>
      <c r="J38" s="21"/>
      <c r="K38" s="13"/>
      <c r="L38" s="13"/>
      <c r="M38" s="13"/>
      <c r="N38" s="13"/>
      <c r="O38" s="13"/>
      <c r="P38" s="13"/>
      <c r="Q38" s="21"/>
      <c r="R38" s="13"/>
      <c r="S38" s="13"/>
      <c r="T38" s="13"/>
      <c r="U38" s="13"/>
      <c r="V38" s="13"/>
      <c r="W38" s="13"/>
      <c r="X38" s="21"/>
      <c r="Y38" s="13"/>
      <c r="Z38" s="13"/>
      <c r="AA38" s="13"/>
      <c r="AB38" s="13"/>
      <c r="AC38" s="13"/>
      <c r="AD38" s="13"/>
      <c r="AE38" s="21"/>
      <c r="AF38" s="13"/>
      <c r="AG38" s="13"/>
      <c r="AH38" s="13"/>
      <c r="AI38" s="13"/>
      <c r="AJ38" s="13"/>
      <c r="AK38" s="13"/>
    </row>
    <row r="39" spans="2:37" x14ac:dyDescent="0.25">
      <c r="B39" s="5" t="s">
        <v>36</v>
      </c>
      <c r="C39" s="21"/>
      <c r="D39" s="19">
        <v>1104</v>
      </c>
      <c r="E39" s="19">
        <v>808</v>
      </c>
      <c r="F39" s="19">
        <v>672</v>
      </c>
      <c r="G39" s="16">
        <f t="shared" si="15"/>
        <v>73.188405797101453</v>
      </c>
      <c r="H39" s="16">
        <f t="shared" si="16"/>
        <v>60.869565217391312</v>
      </c>
      <c r="I39" s="16">
        <f t="shared" si="17"/>
        <v>83.168316831683171</v>
      </c>
      <c r="J39" s="21"/>
      <c r="K39" s="13"/>
      <c r="L39" s="13"/>
      <c r="M39" s="13"/>
      <c r="N39" s="13"/>
      <c r="O39" s="13"/>
      <c r="P39" s="13"/>
      <c r="Q39" s="21"/>
      <c r="R39" s="13"/>
      <c r="S39" s="13"/>
      <c r="T39" s="13"/>
      <c r="U39" s="13"/>
      <c r="V39" s="13"/>
      <c r="W39" s="13"/>
      <c r="X39" s="21"/>
      <c r="Y39" s="13"/>
      <c r="Z39" s="13"/>
      <c r="AA39" s="13"/>
      <c r="AB39" s="13"/>
      <c r="AC39" s="13"/>
      <c r="AD39" s="13"/>
      <c r="AE39" s="21"/>
      <c r="AF39" s="13"/>
      <c r="AG39" s="13"/>
      <c r="AH39" s="13"/>
      <c r="AI39" s="13"/>
      <c r="AJ39" s="13"/>
      <c r="AK39" s="13"/>
    </row>
    <row r="40" spans="2:37" x14ac:dyDescent="0.25">
      <c r="B40" s="5" t="s">
        <v>37</v>
      </c>
      <c r="C40" s="21"/>
      <c r="D40" s="19">
        <v>992</v>
      </c>
      <c r="E40" s="19">
        <v>441</v>
      </c>
      <c r="F40" s="19">
        <v>421</v>
      </c>
      <c r="G40" s="16">
        <f t="shared" si="15"/>
        <v>44.455645161290327</v>
      </c>
      <c r="H40" s="16">
        <f t="shared" si="16"/>
        <v>42.439516129032256</v>
      </c>
      <c r="I40" s="16">
        <f t="shared" si="17"/>
        <v>95.464852607709744</v>
      </c>
      <c r="J40" s="21"/>
      <c r="K40" s="13"/>
      <c r="L40" s="13"/>
      <c r="M40" s="13"/>
      <c r="N40" s="13"/>
      <c r="O40" s="13"/>
      <c r="P40" s="13"/>
      <c r="Q40" s="21"/>
      <c r="R40" s="13"/>
      <c r="S40" s="13"/>
      <c r="T40" s="13"/>
      <c r="U40" s="13"/>
      <c r="V40" s="13"/>
      <c r="W40" s="13"/>
      <c r="X40" s="21"/>
      <c r="Y40" s="13"/>
      <c r="Z40" s="13"/>
      <c r="AA40" s="13"/>
      <c r="AB40" s="13"/>
      <c r="AC40" s="13"/>
      <c r="AD40" s="13"/>
      <c r="AE40" s="21"/>
      <c r="AF40" s="13"/>
      <c r="AG40" s="13"/>
      <c r="AH40" s="13"/>
      <c r="AI40" s="13"/>
      <c r="AJ40" s="13"/>
      <c r="AK40" s="13"/>
    </row>
    <row r="41" spans="2:37" x14ac:dyDescent="0.25">
      <c r="B41" s="2" t="s">
        <v>38</v>
      </c>
      <c r="C41" s="21"/>
      <c r="D41" s="19">
        <v>1515</v>
      </c>
      <c r="E41" s="19">
        <v>1038</v>
      </c>
      <c r="F41" s="19">
        <v>1005</v>
      </c>
      <c r="G41" s="16">
        <f t="shared" si="15"/>
        <v>68.514851485148526</v>
      </c>
      <c r="H41" s="16">
        <f t="shared" si="16"/>
        <v>66.336633663366342</v>
      </c>
      <c r="I41" s="16">
        <f t="shared" si="17"/>
        <v>96.820809248554923</v>
      </c>
      <c r="J41" s="21"/>
      <c r="K41" s="13"/>
      <c r="L41" s="13"/>
      <c r="M41" s="13"/>
      <c r="N41" s="13"/>
      <c r="O41" s="13"/>
      <c r="P41" s="13"/>
      <c r="Q41" s="21"/>
      <c r="R41" s="13"/>
      <c r="S41" s="13"/>
      <c r="T41" s="13"/>
      <c r="U41" s="13"/>
      <c r="V41" s="13"/>
      <c r="W41" s="13"/>
      <c r="X41" s="21"/>
      <c r="Y41" s="13"/>
      <c r="Z41" s="13"/>
      <c r="AA41" s="13"/>
      <c r="AB41" s="13"/>
      <c r="AC41" s="13"/>
      <c r="AD41" s="13"/>
      <c r="AE41" s="21"/>
      <c r="AF41" s="13"/>
      <c r="AG41" s="13"/>
      <c r="AH41" s="13"/>
      <c r="AI41" s="13"/>
      <c r="AJ41" s="13"/>
      <c r="AK41" s="13"/>
    </row>
    <row r="42" spans="2:37" x14ac:dyDescent="0.25">
      <c r="B42" s="2" t="s">
        <v>39</v>
      </c>
      <c r="C42" s="21"/>
      <c r="D42" s="19">
        <v>301</v>
      </c>
      <c r="E42" s="19">
        <v>138</v>
      </c>
      <c r="F42" s="19">
        <v>129</v>
      </c>
      <c r="G42" s="16">
        <f t="shared" si="15"/>
        <v>45.847176079734218</v>
      </c>
      <c r="H42" s="16">
        <f t="shared" si="16"/>
        <v>42.857142857142854</v>
      </c>
      <c r="I42" s="16">
        <f t="shared" si="17"/>
        <v>93.478260869565219</v>
      </c>
      <c r="J42" s="21"/>
      <c r="K42" s="13"/>
      <c r="L42" s="13"/>
      <c r="M42" s="13"/>
      <c r="N42" s="13"/>
      <c r="O42" s="13"/>
      <c r="P42" s="13"/>
      <c r="Q42" s="21"/>
      <c r="R42" s="13"/>
      <c r="S42" s="13"/>
      <c r="T42" s="13"/>
      <c r="U42" s="13"/>
      <c r="V42" s="13"/>
      <c r="W42" s="13"/>
      <c r="X42" s="21"/>
      <c r="Y42" s="13"/>
      <c r="Z42" s="13"/>
      <c r="AA42" s="13"/>
      <c r="AB42" s="13"/>
      <c r="AC42" s="13"/>
      <c r="AD42" s="13"/>
      <c r="AE42" s="21"/>
      <c r="AF42" s="13"/>
      <c r="AG42" s="13"/>
      <c r="AH42" s="13"/>
      <c r="AI42" s="13"/>
      <c r="AJ42" s="13"/>
      <c r="AK42" s="13"/>
    </row>
    <row r="43" spans="2:37" x14ac:dyDescent="0.25">
      <c r="B43" s="2" t="s">
        <v>40</v>
      </c>
      <c r="C43" s="21"/>
      <c r="D43" s="19">
        <v>963</v>
      </c>
      <c r="E43" s="19">
        <v>763</v>
      </c>
      <c r="F43" s="19">
        <v>735</v>
      </c>
      <c r="G43" s="16">
        <f t="shared" si="15"/>
        <v>79.231568016614744</v>
      </c>
      <c r="H43" s="16">
        <f t="shared" si="16"/>
        <v>76.323987538940813</v>
      </c>
      <c r="I43" s="16">
        <f t="shared" si="17"/>
        <v>96.330275229357795</v>
      </c>
      <c r="J43" s="21"/>
      <c r="K43" s="13"/>
      <c r="L43" s="13"/>
      <c r="M43" s="13"/>
      <c r="N43" s="13"/>
      <c r="O43" s="13"/>
      <c r="P43" s="13"/>
      <c r="Q43" s="21"/>
      <c r="R43" s="13"/>
      <c r="S43" s="13"/>
      <c r="T43" s="13"/>
      <c r="U43" s="13"/>
      <c r="V43" s="13"/>
      <c r="W43" s="13"/>
      <c r="X43" s="21"/>
      <c r="Y43" s="13"/>
      <c r="Z43" s="13"/>
      <c r="AA43" s="13"/>
      <c r="AB43" s="13"/>
      <c r="AC43" s="13"/>
      <c r="AD43" s="13"/>
      <c r="AE43" s="21"/>
      <c r="AF43" s="13"/>
      <c r="AG43" s="13"/>
      <c r="AH43" s="13"/>
      <c r="AI43" s="13"/>
      <c r="AJ43" s="13"/>
      <c r="AK43" s="13"/>
    </row>
    <row r="44" spans="2:37" x14ac:dyDescent="0.25">
      <c r="B44" s="2" t="s">
        <v>41</v>
      </c>
      <c r="C44" s="21"/>
      <c r="D44" s="19">
        <v>1230</v>
      </c>
      <c r="E44" s="19">
        <v>901</v>
      </c>
      <c r="F44" s="19">
        <v>883</v>
      </c>
      <c r="G44" s="16">
        <f t="shared" si="15"/>
        <v>73.252032520325201</v>
      </c>
      <c r="H44" s="16">
        <f t="shared" si="16"/>
        <v>71.788617886178869</v>
      </c>
      <c r="I44" s="16">
        <f t="shared" si="17"/>
        <v>98.002219755826857</v>
      </c>
      <c r="J44" s="21"/>
      <c r="K44" s="13"/>
      <c r="L44" s="13"/>
      <c r="M44" s="13"/>
      <c r="N44" s="13"/>
      <c r="O44" s="13"/>
      <c r="P44" s="13"/>
      <c r="Q44" s="21"/>
      <c r="R44" s="13"/>
      <c r="S44" s="13"/>
      <c r="T44" s="13"/>
      <c r="U44" s="13"/>
      <c r="V44" s="13"/>
      <c r="W44" s="13"/>
      <c r="X44" s="21"/>
      <c r="Y44" s="13"/>
      <c r="Z44" s="13"/>
      <c r="AA44" s="13"/>
      <c r="AB44" s="13"/>
      <c r="AC44" s="13"/>
      <c r="AD44" s="13"/>
      <c r="AE44" s="21"/>
      <c r="AF44" s="13"/>
      <c r="AG44" s="13"/>
      <c r="AH44" s="13"/>
      <c r="AI44" s="13"/>
      <c r="AJ44" s="13"/>
      <c r="AK44" s="13"/>
    </row>
    <row r="45" spans="2:37" x14ac:dyDescent="0.25">
      <c r="B45" s="2" t="s">
        <v>42</v>
      </c>
      <c r="C45" s="21"/>
      <c r="D45" s="19">
        <v>1031</v>
      </c>
      <c r="E45" s="19">
        <v>747</v>
      </c>
      <c r="F45" s="19">
        <v>728</v>
      </c>
      <c r="G45" s="16">
        <f t="shared" si="15"/>
        <v>72.453928225024242</v>
      </c>
      <c r="H45" s="16">
        <f t="shared" si="16"/>
        <v>70.611057225994173</v>
      </c>
      <c r="I45" s="16">
        <f t="shared" si="17"/>
        <v>97.456492637215533</v>
      </c>
      <c r="J45" s="21"/>
      <c r="K45" s="13"/>
      <c r="L45" s="13"/>
      <c r="M45" s="13"/>
      <c r="N45" s="13"/>
      <c r="O45" s="13"/>
      <c r="P45" s="13"/>
      <c r="Q45" s="21"/>
      <c r="R45" s="13"/>
      <c r="S45" s="13"/>
      <c r="T45" s="13"/>
      <c r="U45" s="13"/>
      <c r="V45" s="13"/>
      <c r="W45" s="13"/>
      <c r="X45" s="21"/>
      <c r="Y45" s="13"/>
      <c r="Z45" s="13"/>
      <c r="AA45" s="13"/>
      <c r="AB45" s="13"/>
      <c r="AC45" s="13"/>
      <c r="AD45" s="13"/>
      <c r="AE45" s="21"/>
      <c r="AF45" s="13"/>
      <c r="AG45" s="13"/>
      <c r="AH45" s="13"/>
      <c r="AI45" s="13"/>
      <c r="AJ45" s="13"/>
      <c r="AK45" s="13"/>
    </row>
    <row r="46" spans="2:37" x14ac:dyDescent="0.25">
      <c r="B46" s="2" t="s">
        <v>43</v>
      </c>
      <c r="C46" s="21"/>
      <c r="D46" s="19">
        <v>1156</v>
      </c>
      <c r="E46" s="19">
        <v>945</v>
      </c>
      <c r="F46" s="19">
        <v>895</v>
      </c>
      <c r="G46" s="16">
        <f t="shared" si="15"/>
        <v>81.747404844290656</v>
      </c>
      <c r="H46" s="16">
        <f t="shared" si="16"/>
        <v>77.422145328719722</v>
      </c>
      <c r="I46" s="16">
        <f t="shared" si="17"/>
        <v>94.708994708994709</v>
      </c>
      <c r="J46" s="21"/>
      <c r="K46" s="13"/>
      <c r="L46" s="13"/>
      <c r="M46" s="13"/>
      <c r="N46" s="13"/>
      <c r="O46" s="13"/>
      <c r="P46" s="13"/>
      <c r="Q46" s="21"/>
      <c r="R46" s="13"/>
      <c r="S46" s="13"/>
      <c r="T46" s="13"/>
      <c r="U46" s="13"/>
      <c r="V46" s="13"/>
      <c r="W46" s="13"/>
      <c r="X46" s="21"/>
      <c r="Y46" s="13"/>
      <c r="Z46" s="13"/>
      <c r="AA46" s="13"/>
      <c r="AB46" s="13"/>
      <c r="AC46" s="13"/>
      <c r="AD46" s="13"/>
      <c r="AE46" s="21"/>
      <c r="AF46" s="13"/>
      <c r="AG46" s="13"/>
      <c r="AH46" s="13"/>
      <c r="AI46" s="13"/>
      <c r="AJ46" s="13"/>
      <c r="AK46" s="13"/>
    </row>
    <row r="47" spans="2:37" x14ac:dyDescent="0.25">
      <c r="B47" s="2" t="s">
        <v>44</v>
      </c>
      <c r="C47" s="21"/>
      <c r="D47" s="19">
        <v>701</v>
      </c>
      <c r="E47" s="19">
        <v>386</v>
      </c>
      <c r="F47" s="19">
        <v>361</v>
      </c>
      <c r="G47" s="16">
        <f t="shared" si="15"/>
        <v>55.064194008559198</v>
      </c>
      <c r="H47" s="16">
        <f t="shared" si="16"/>
        <v>51.497860199714694</v>
      </c>
      <c r="I47" s="16">
        <f t="shared" si="17"/>
        <v>93.523316062176164</v>
      </c>
      <c r="J47" s="21"/>
      <c r="K47" s="13"/>
      <c r="L47" s="13"/>
      <c r="M47" s="13"/>
      <c r="N47" s="13"/>
      <c r="O47" s="13"/>
      <c r="P47" s="13"/>
      <c r="Q47" s="21"/>
      <c r="R47" s="13"/>
      <c r="S47" s="13"/>
      <c r="T47" s="13"/>
      <c r="U47" s="13"/>
      <c r="V47" s="13"/>
      <c r="W47" s="13"/>
      <c r="X47" s="21"/>
      <c r="Y47" s="13"/>
      <c r="Z47" s="13"/>
      <c r="AA47" s="13"/>
      <c r="AB47" s="13"/>
      <c r="AC47" s="13"/>
      <c r="AD47" s="13"/>
      <c r="AE47" s="21"/>
      <c r="AF47" s="13"/>
      <c r="AG47" s="13"/>
      <c r="AH47" s="13"/>
      <c r="AI47" s="13"/>
      <c r="AJ47" s="13"/>
      <c r="AK47" s="13"/>
    </row>
    <row r="48" spans="2:37" x14ac:dyDescent="0.25">
      <c r="B48" s="3" t="s">
        <v>45</v>
      </c>
      <c r="C48" s="21"/>
      <c r="D48" s="19"/>
      <c r="E48" s="19"/>
      <c r="F48" s="19"/>
      <c r="G48" s="8"/>
      <c r="H48" s="8"/>
      <c r="I48" s="8"/>
      <c r="K48" s="8">
        <v>1112</v>
      </c>
      <c r="L48" s="8">
        <v>703</v>
      </c>
      <c r="M48" s="8">
        <v>651</v>
      </c>
      <c r="N48" s="16">
        <f t="shared" ref="N48:N52" si="18">L48/K48*100</f>
        <v>63.219424460431654</v>
      </c>
      <c r="O48" s="16">
        <f t="shared" ref="O48:O52" si="19">M48/K48*100</f>
        <v>58.543165467625904</v>
      </c>
      <c r="P48" s="16">
        <f t="shared" ref="P48:P52" si="20">M48/L48*100</f>
        <v>92.603129445234714</v>
      </c>
      <c r="R48" s="8"/>
      <c r="S48" s="8"/>
      <c r="T48" s="8"/>
      <c r="U48" s="8"/>
      <c r="V48" s="8"/>
      <c r="W48" s="8"/>
      <c r="Y48" s="8"/>
      <c r="Z48" s="8"/>
      <c r="AA48" s="8"/>
      <c r="AB48" s="8"/>
      <c r="AC48" s="8"/>
      <c r="AD48" s="8"/>
      <c r="AF48" s="8">
        <v>1112</v>
      </c>
      <c r="AG48" s="8">
        <v>712</v>
      </c>
      <c r="AH48" s="8">
        <v>667</v>
      </c>
      <c r="AI48" s="16">
        <f t="shared" ref="AI48:AI52" si="21">AG48/AF48*100</f>
        <v>64.02877697841727</v>
      </c>
      <c r="AJ48" s="16">
        <f t="shared" ref="AJ48:AJ52" si="22">AH48/AF48*100</f>
        <v>59.982014388489212</v>
      </c>
      <c r="AK48" s="16">
        <f t="shared" ref="AK48:AK52" si="23">AH48/AG48*100</f>
        <v>93.67977528089888</v>
      </c>
    </row>
    <row r="49" spans="2:37" x14ac:dyDescent="0.25">
      <c r="B49" s="3" t="s">
        <v>46</v>
      </c>
      <c r="C49" s="21"/>
      <c r="D49" s="19"/>
      <c r="E49" s="19"/>
      <c r="F49" s="19"/>
      <c r="G49" s="8"/>
      <c r="H49" s="8"/>
      <c r="I49" s="8"/>
      <c r="K49" s="8">
        <v>1257</v>
      </c>
      <c r="L49" s="8">
        <v>823</v>
      </c>
      <c r="M49" s="8">
        <v>774</v>
      </c>
      <c r="N49" s="16">
        <f t="shared" si="18"/>
        <v>65.47334924423231</v>
      </c>
      <c r="O49" s="16">
        <f t="shared" si="19"/>
        <v>61.575178997613364</v>
      </c>
      <c r="P49" s="16">
        <f t="shared" si="20"/>
        <v>94.046172539489675</v>
      </c>
      <c r="R49" s="8"/>
      <c r="S49" s="8"/>
      <c r="T49" s="8"/>
      <c r="U49" s="8"/>
      <c r="V49" s="8"/>
      <c r="W49" s="8"/>
      <c r="Y49" s="8"/>
      <c r="Z49" s="8"/>
      <c r="AA49" s="8"/>
      <c r="AB49" s="8"/>
      <c r="AC49" s="8"/>
      <c r="AD49" s="8"/>
      <c r="AF49" s="8">
        <v>1257</v>
      </c>
      <c r="AG49" s="8">
        <v>820</v>
      </c>
      <c r="AH49" s="8">
        <v>790</v>
      </c>
      <c r="AI49" s="16">
        <f t="shared" si="21"/>
        <v>65.234685759745432</v>
      </c>
      <c r="AJ49" s="16">
        <f t="shared" si="22"/>
        <v>62.848050914876687</v>
      </c>
      <c r="AK49" s="16">
        <f t="shared" si="23"/>
        <v>96.341463414634148</v>
      </c>
    </row>
    <row r="50" spans="2:37" x14ac:dyDescent="0.25">
      <c r="B50" s="3" t="s">
        <v>47</v>
      </c>
      <c r="C50" s="21"/>
      <c r="D50" s="19"/>
      <c r="E50" s="19"/>
      <c r="F50" s="19"/>
      <c r="G50" s="8"/>
      <c r="H50" s="8"/>
      <c r="I50" s="8"/>
      <c r="K50" s="8">
        <v>530</v>
      </c>
      <c r="L50" s="8">
        <v>189</v>
      </c>
      <c r="M50" s="8">
        <v>169</v>
      </c>
      <c r="N50" s="16">
        <f t="shared" si="18"/>
        <v>35.660377358490564</v>
      </c>
      <c r="O50" s="16">
        <f t="shared" si="19"/>
        <v>31.886792452830186</v>
      </c>
      <c r="P50" s="16">
        <f t="shared" si="20"/>
        <v>89.417989417989418</v>
      </c>
      <c r="R50" s="8"/>
      <c r="S50" s="8"/>
      <c r="T50" s="8"/>
      <c r="U50" s="8"/>
      <c r="V50" s="8"/>
      <c r="W50" s="8"/>
      <c r="Y50" s="8"/>
      <c r="Z50" s="8"/>
      <c r="AA50" s="8"/>
      <c r="AB50" s="8"/>
      <c r="AC50" s="8"/>
      <c r="AD50" s="8"/>
      <c r="AF50" s="8">
        <v>530</v>
      </c>
      <c r="AG50" s="8">
        <v>184</v>
      </c>
      <c r="AH50" s="8">
        <v>172</v>
      </c>
      <c r="AI50" s="16">
        <f t="shared" si="21"/>
        <v>34.716981132075468</v>
      </c>
      <c r="AJ50" s="16">
        <f t="shared" si="22"/>
        <v>32.452830188679243</v>
      </c>
      <c r="AK50" s="16">
        <f t="shared" si="23"/>
        <v>93.478260869565219</v>
      </c>
    </row>
    <row r="51" spans="2:37" x14ac:dyDescent="0.25">
      <c r="B51" s="3" t="s">
        <v>48</v>
      </c>
      <c r="C51" s="21"/>
      <c r="D51" s="19"/>
      <c r="E51" s="19"/>
      <c r="F51" s="19"/>
      <c r="G51" s="8"/>
      <c r="H51" s="8"/>
      <c r="I51" s="8"/>
      <c r="K51" s="8">
        <v>1020</v>
      </c>
      <c r="L51" s="8">
        <v>454</v>
      </c>
      <c r="M51" s="8">
        <v>436</v>
      </c>
      <c r="N51" s="16">
        <f t="shared" si="18"/>
        <v>44.509803921568626</v>
      </c>
      <c r="O51" s="16">
        <f t="shared" si="19"/>
        <v>42.745098039215684</v>
      </c>
      <c r="P51" s="16">
        <f t="shared" si="20"/>
        <v>96.035242290748897</v>
      </c>
      <c r="R51" s="8"/>
      <c r="S51" s="8"/>
      <c r="T51" s="8"/>
      <c r="U51" s="8"/>
      <c r="V51" s="8"/>
      <c r="W51" s="8"/>
      <c r="Y51" s="8"/>
      <c r="Z51" s="8"/>
      <c r="AA51" s="8"/>
      <c r="AB51" s="8"/>
      <c r="AC51" s="8"/>
      <c r="AD51" s="8"/>
      <c r="AF51" s="8">
        <v>1020</v>
      </c>
      <c r="AG51" s="8">
        <v>459</v>
      </c>
      <c r="AH51" s="8">
        <v>446</v>
      </c>
      <c r="AI51" s="16">
        <f t="shared" si="21"/>
        <v>45</v>
      </c>
      <c r="AJ51" s="16">
        <f t="shared" si="22"/>
        <v>43.725490196078432</v>
      </c>
      <c r="AK51" s="16">
        <f t="shared" si="23"/>
        <v>97.167755991285404</v>
      </c>
    </row>
    <row r="52" spans="2:37" x14ac:dyDescent="0.25">
      <c r="B52" s="3" t="s">
        <v>49</v>
      </c>
      <c r="C52" s="21"/>
      <c r="D52" s="19"/>
      <c r="E52" s="19"/>
      <c r="F52" s="19"/>
      <c r="G52" s="8"/>
      <c r="H52" s="8"/>
      <c r="I52" s="8"/>
      <c r="K52" s="8">
        <v>887</v>
      </c>
      <c r="L52" s="8">
        <v>673</v>
      </c>
      <c r="M52" s="8">
        <v>636</v>
      </c>
      <c r="N52" s="16">
        <f t="shared" si="18"/>
        <v>75.873731679819613</v>
      </c>
      <c r="O52" s="16">
        <f t="shared" si="19"/>
        <v>71.702367531003389</v>
      </c>
      <c r="P52" s="16">
        <f t="shared" si="20"/>
        <v>94.502228826151551</v>
      </c>
      <c r="R52" s="8"/>
      <c r="S52" s="8"/>
      <c r="T52" s="8"/>
      <c r="U52" s="8"/>
      <c r="V52" s="8"/>
      <c r="W52" s="8"/>
      <c r="Y52" s="8"/>
      <c r="Z52" s="8"/>
      <c r="AA52" s="8"/>
      <c r="AB52" s="8"/>
      <c r="AC52" s="8"/>
      <c r="AD52" s="8"/>
      <c r="AF52" s="8">
        <v>887</v>
      </c>
      <c r="AG52" s="8">
        <v>671</v>
      </c>
      <c r="AH52" s="8">
        <v>644</v>
      </c>
      <c r="AI52" s="16">
        <f t="shared" si="21"/>
        <v>75.648252536640356</v>
      </c>
      <c r="AJ52" s="16">
        <f t="shared" si="22"/>
        <v>72.604284103720403</v>
      </c>
      <c r="AK52" s="16">
        <f t="shared" si="23"/>
        <v>95.97615499254843</v>
      </c>
    </row>
    <row r="53" spans="2:37" x14ac:dyDescent="0.25">
      <c r="B53" s="4" t="s">
        <v>50</v>
      </c>
      <c r="C53" s="21"/>
      <c r="D53" s="19"/>
      <c r="E53" s="19"/>
      <c r="F53" s="19"/>
      <c r="G53" s="8"/>
      <c r="H53" s="8"/>
      <c r="I53" s="8"/>
      <c r="K53" s="8"/>
      <c r="L53" s="8"/>
      <c r="M53" s="8"/>
      <c r="N53" s="8"/>
      <c r="O53" s="8"/>
      <c r="P53" s="8"/>
      <c r="R53" s="8">
        <v>2856</v>
      </c>
      <c r="S53" s="8">
        <v>2131</v>
      </c>
      <c r="T53" s="8">
        <v>1882</v>
      </c>
      <c r="U53" s="16">
        <f t="shared" ref="U53:U60" si="24">S53/R53*100</f>
        <v>74.614845938375353</v>
      </c>
      <c r="V53" s="16">
        <f t="shared" ref="V53:V60" si="25">T53/R53*100</f>
        <v>65.896358543417364</v>
      </c>
      <c r="W53" s="16">
        <f t="shared" ref="W53:W60" si="26">T53/S53*100</f>
        <v>88.315344908493671</v>
      </c>
      <c r="Y53" s="8">
        <v>2856</v>
      </c>
      <c r="Z53" s="8">
        <v>2135</v>
      </c>
      <c r="AA53" s="8">
        <v>1857</v>
      </c>
      <c r="AB53" s="16">
        <f t="shared" ref="AB53:AB60" si="27">Z53/Y53*100</f>
        <v>74.754901960784309</v>
      </c>
      <c r="AC53" s="16">
        <f t="shared" ref="AC53:AC60" si="28">AA53/Y53*100</f>
        <v>65.02100840336135</v>
      </c>
      <c r="AD53" s="16">
        <f t="shared" ref="AD53:AD60" si="29">AA53/Z53*100</f>
        <v>86.978922716627636</v>
      </c>
      <c r="AF53" s="8"/>
      <c r="AG53" s="8"/>
      <c r="AH53" s="8"/>
      <c r="AI53" s="8"/>
      <c r="AJ53" s="8"/>
      <c r="AK53" s="8"/>
    </row>
    <row r="54" spans="2:37" x14ac:dyDescent="0.25">
      <c r="B54" s="4" t="s">
        <v>51</v>
      </c>
      <c r="C54" s="21"/>
      <c r="D54" s="19"/>
      <c r="E54" s="19"/>
      <c r="F54" s="19"/>
      <c r="G54" s="8"/>
      <c r="H54" s="8"/>
      <c r="I54" s="8"/>
      <c r="K54" s="8"/>
      <c r="L54" s="8"/>
      <c r="M54" s="8"/>
      <c r="N54" s="8"/>
      <c r="O54" s="8"/>
      <c r="P54" s="8"/>
      <c r="R54" s="8">
        <v>3149</v>
      </c>
      <c r="S54" s="8">
        <v>2128</v>
      </c>
      <c r="T54" s="8">
        <v>1750</v>
      </c>
      <c r="U54" s="16">
        <f t="shared" si="24"/>
        <v>67.577008574150526</v>
      </c>
      <c r="V54" s="16">
        <f t="shared" si="25"/>
        <v>55.573197840584307</v>
      </c>
      <c r="W54" s="16">
        <f t="shared" si="26"/>
        <v>82.23684210526315</v>
      </c>
      <c r="Y54" s="8">
        <v>3149</v>
      </c>
      <c r="Z54" s="8">
        <v>2109</v>
      </c>
      <c r="AA54" s="8">
        <v>1712</v>
      </c>
      <c r="AB54" s="16">
        <f t="shared" si="27"/>
        <v>66.973642426167032</v>
      </c>
      <c r="AC54" s="16">
        <f t="shared" si="28"/>
        <v>54.366465544617334</v>
      </c>
      <c r="AD54" s="16">
        <f t="shared" si="29"/>
        <v>81.175912754860121</v>
      </c>
      <c r="AF54" s="8"/>
      <c r="AG54" s="8"/>
      <c r="AH54" s="8"/>
      <c r="AI54" s="8"/>
      <c r="AJ54" s="8"/>
      <c r="AK54" s="8"/>
    </row>
    <row r="55" spans="2:37" x14ac:dyDescent="0.25">
      <c r="B55" s="4" t="s">
        <v>52</v>
      </c>
      <c r="C55" s="21"/>
      <c r="D55" s="19"/>
      <c r="E55" s="19"/>
      <c r="F55" s="19"/>
      <c r="G55" s="8"/>
      <c r="H55" s="8"/>
      <c r="I55" s="8"/>
      <c r="K55" s="8"/>
      <c r="L55" s="8"/>
      <c r="M55" s="8"/>
      <c r="N55" s="8"/>
      <c r="O55" s="8"/>
      <c r="P55" s="8"/>
      <c r="R55" s="8">
        <v>2516</v>
      </c>
      <c r="S55" s="8">
        <v>2001</v>
      </c>
      <c r="T55" s="8">
        <v>1829</v>
      </c>
      <c r="U55" s="16">
        <f t="shared" si="24"/>
        <v>79.531001589825124</v>
      </c>
      <c r="V55" s="16">
        <f t="shared" si="25"/>
        <v>72.694753577106525</v>
      </c>
      <c r="W55" s="16">
        <f t="shared" si="26"/>
        <v>91.40429785107446</v>
      </c>
      <c r="Y55" s="8">
        <v>2516</v>
      </c>
      <c r="Z55" s="8">
        <v>1998</v>
      </c>
      <c r="AA55" s="8">
        <v>1808</v>
      </c>
      <c r="AB55" s="16">
        <f t="shared" si="27"/>
        <v>79.411764705882348</v>
      </c>
      <c r="AC55" s="16">
        <f t="shared" si="28"/>
        <v>71.860095389507151</v>
      </c>
      <c r="AD55" s="16">
        <f t="shared" si="29"/>
        <v>90.490490490490487</v>
      </c>
      <c r="AF55" s="8"/>
      <c r="AG55" s="8"/>
      <c r="AH55" s="8"/>
      <c r="AI55" s="8"/>
      <c r="AJ55" s="8"/>
      <c r="AK55" s="8"/>
    </row>
    <row r="56" spans="2:37" x14ac:dyDescent="0.25">
      <c r="B56" s="4" t="s">
        <v>53</v>
      </c>
      <c r="D56" s="17"/>
      <c r="E56" s="17"/>
      <c r="F56" s="17"/>
      <c r="G56" s="8"/>
      <c r="H56" s="8"/>
      <c r="I56" s="8"/>
      <c r="K56" s="8"/>
      <c r="L56" s="8"/>
      <c r="M56" s="8"/>
      <c r="N56" s="8"/>
      <c r="O56" s="8"/>
      <c r="P56" s="8"/>
      <c r="R56" s="8">
        <v>3544</v>
      </c>
      <c r="S56" s="8">
        <v>2537</v>
      </c>
      <c r="T56" s="8">
        <v>2301</v>
      </c>
      <c r="U56" s="16">
        <f t="shared" si="24"/>
        <v>71.585778781038385</v>
      </c>
      <c r="V56" s="16">
        <f t="shared" si="25"/>
        <v>64.926636568848764</v>
      </c>
      <c r="W56" s="16">
        <f t="shared" si="26"/>
        <v>90.697674418604649</v>
      </c>
      <c r="Y56" s="8">
        <v>3544</v>
      </c>
      <c r="Z56" s="8">
        <v>2541</v>
      </c>
      <c r="AA56" s="8">
        <v>2272</v>
      </c>
      <c r="AB56" s="16">
        <f t="shared" si="27"/>
        <v>71.698645598194133</v>
      </c>
      <c r="AC56" s="16">
        <f t="shared" si="28"/>
        <v>64.108352144469521</v>
      </c>
      <c r="AD56" s="16">
        <f t="shared" si="29"/>
        <v>89.413616686343957</v>
      </c>
      <c r="AF56" s="8"/>
      <c r="AG56" s="8"/>
      <c r="AH56" s="8"/>
      <c r="AI56" s="8"/>
      <c r="AJ56" s="8"/>
      <c r="AK56" s="8"/>
    </row>
    <row r="57" spans="2:37" x14ac:dyDescent="0.25">
      <c r="B57" s="4" t="s">
        <v>54</v>
      </c>
      <c r="D57" s="17"/>
      <c r="E57" s="17"/>
      <c r="F57" s="17"/>
      <c r="G57" s="8"/>
      <c r="H57" s="8"/>
      <c r="I57" s="8"/>
      <c r="K57" s="8"/>
      <c r="L57" s="8"/>
      <c r="M57" s="8"/>
      <c r="N57" s="8"/>
      <c r="O57" s="8"/>
      <c r="P57" s="8"/>
      <c r="R57" s="8">
        <v>3224</v>
      </c>
      <c r="S57" s="8">
        <v>2502</v>
      </c>
      <c r="T57" s="8">
        <v>2374</v>
      </c>
      <c r="U57" s="16">
        <f t="shared" si="24"/>
        <v>77.605459057071954</v>
      </c>
      <c r="V57" s="16">
        <f t="shared" si="25"/>
        <v>73.635235732009932</v>
      </c>
      <c r="W57" s="16">
        <f t="shared" si="26"/>
        <v>94.884092725819343</v>
      </c>
      <c r="Y57" s="8">
        <v>3224</v>
      </c>
      <c r="Z57" s="8">
        <v>2498</v>
      </c>
      <c r="AA57" s="8">
        <v>2346</v>
      </c>
      <c r="AB57" s="16">
        <f t="shared" si="27"/>
        <v>77.481389578163771</v>
      </c>
      <c r="AC57" s="16">
        <f t="shared" si="28"/>
        <v>72.766749379652609</v>
      </c>
      <c r="AD57" s="16">
        <f t="shared" si="29"/>
        <v>93.915132105684549</v>
      </c>
      <c r="AF57" s="8"/>
      <c r="AG57" s="8"/>
      <c r="AH57" s="8"/>
      <c r="AI57" s="8"/>
      <c r="AJ57" s="8"/>
      <c r="AK57" s="8"/>
    </row>
    <row r="58" spans="2:37" x14ac:dyDescent="0.25">
      <c r="B58" s="4" t="s">
        <v>55</v>
      </c>
      <c r="D58" s="17"/>
      <c r="E58" s="17"/>
      <c r="F58" s="17"/>
      <c r="G58" s="8"/>
      <c r="H58" s="8"/>
      <c r="I58" s="8"/>
      <c r="K58" s="8"/>
      <c r="L58" s="8"/>
      <c r="M58" s="8"/>
      <c r="N58" s="8"/>
      <c r="O58" s="8"/>
      <c r="P58" s="8"/>
      <c r="R58" s="8">
        <v>3182</v>
      </c>
      <c r="S58" s="8">
        <v>2612</v>
      </c>
      <c r="T58" s="8">
        <v>2051</v>
      </c>
      <c r="U58" s="16">
        <f t="shared" si="24"/>
        <v>82.086737900691389</v>
      </c>
      <c r="V58" s="16">
        <f t="shared" si="25"/>
        <v>64.456316781898181</v>
      </c>
      <c r="W58" s="16">
        <f t="shared" si="26"/>
        <v>78.522205206738121</v>
      </c>
      <c r="Y58" s="8">
        <v>3182</v>
      </c>
      <c r="Z58" s="8">
        <v>2607</v>
      </c>
      <c r="AA58" s="8">
        <v>2023</v>
      </c>
      <c r="AB58" s="16">
        <f t="shared" si="27"/>
        <v>81.929604022627274</v>
      </c>
      <c r="AC58" s="16">
        <f t="shared" si="28"/>
        <v>63.576367064739159</v>
      </c>
      <c r="AD58" s="16">
        <f t="shared" si="29"/>
        <v>77.598772535481402</v>
      </c>
      <c r="AF58" s="8"/>
      <c r="AG58" s="8"/>
      <c r="AH58" s="8"/>
      <c r="AI58" s="8"/>
      <c r="AJ58" s="8"/>
      <c r="AK58" s="8"/>
    </row>
    <row r="59" spans="2:37" x14ac:dyDescent="0.25">
      <c r="B59" s="4" t="s">
        <v>56</v>
      </c>
      <c r="D59" s="17"/>
      <c r="E59" s="17"/>
      <c r="F59" s="17"/>
      <c r="G59" s="8"/>
      <c r="H59" s="8"/>
      <c r="I59" s="8"/>
      <c r="K59" s="8"/>
      <c r="L59" s="8"/>
      <c r="M59" s="8"/>
      <c r="N59" s="8"/>
      <c r="O59" s="8"/>
      <c r="P59" s="8"/>
      <c r="R59" s="8">
        <v>2708</v>
      </c>
      <c r="S59" s="8">
        <v>2137</v>
      </c>
      <c r="T59" s="8">
        <v>1671</v>
      </c>
      <c r="U59" s="16">
        <f t="shared" si="24"/>
        <v>78.914327917282122</v>
      </c>
      <c r="V59" s="16">
        <f t="shared" si="25"/>
        <v>61.706056129985228</v>
      </c>
      <c r="W59" s="16">
        <f t="shared" si="26"/>
        <v>78.193729527374828</v>
      </c>
      <c r="Y59" s="8">
        <v>2708</v>
      </c>
      <c r="Z59" s="8">
        <v>2138</v>
      </c>
      <c r="AA59" s="8">
        <v>1650</v>
      </c>
      <c r="AB59" s="16">
        <f t="shared" si="27"/>
        <v>78.95125553914329</v>
      </c>
      <c r="AC59" s="16">
        <f t="shared" si="28"/>
        <v>60.930576070901033</v>
      </c>
      <c r="AD59" s="16">
        <f t="shared" si="29"/>
        <v>77.174929840972879</v>
      </c>
      <c r="AF59" s="8"/>
      <c r="AG59" s="8"/>
      <c r="AH59" s="8"/>
      <c r="AI59" s="8"/>
      <c r="AJ59" s="8"/>
      <c r="AK59" s="8"/>
    </row>
    <row r="60" spans="2:37" x14ac:dyDescent="0.25">
      <c r="B60" s="4" t="s">
        <v>57</v>
      </c>
      <c r="D60" s="17"/>
      <c r="E60" s="17"/>
      <c r="F60" s="17"/>
      <c r="G60" s="8"/>
      <c r="H60" s="8"/>
      <c r="I60" s="8"/>
      <c r="K60" s="8"/>
      <c r="L60" s="8"/>
      <c r="M60" s="8"/>
      <c r="N60" s="8"/>
      <c r="O60" s="8"/>
      <c r="P60" s="8"/>
      <c r="R60" s="8">
        <v>2863</v>
      </c>
      <c r="S60" s="8">
        <v>2283</v>
      </c>
      <c r="T60" s="8">
        <v>2047</v>
      </c>
      <c r="U60" s="16">
        <f t="shared" si="24"/>
        <v>79.741529863779249</v>
      </c>
      <c r="V60" s="16">
        <f t="shared" si="25"/>
        <v>71.498428222144611</v>
      </c>
      <c r="W60" s="16">
        <f t="shared" si="26"/>
        <v>89.662724485326322</v>
      </c>
      <c r="Y60" s="8">
        <v>2863</v>
      </c>
      <c r="Z60" s="8">
        <v>2257</v>
      </c>
      <c r="AA60" s="8">
        <v>2006</v>
      </c>
      <c r="AB60" s="16">
        <f t="shared" si="27"/>
        <v>78.833391547327977</v>
      </c>
      <c r="AC60" s="16">
        <f t="shared" si="28"/>
        <v>70.066363953894523</v>
      </c>
      <c r="AD60" s="16">
        <f t="shared" si="29"/>
        <v>88.879042977403628</v>
      </c>
      <c r="AF60" s="8"/>
      <c r="AG60" s="8"/>
      <c r="AH60" s="8"/>
      <c r="AI60" s="8"/>
      <c r="AJ60" s="8"/>
      <c r="AK60" s="8"/>
    </row>
    <row r="61" spans="2:37" x14ac:dyDescent="0.25">
      <c r="B61" s="5" t="s">
        <v>58</v>
      </c>
      <c r="D61" s="8"/>
      <c r="E61" s="8"/>
      <c r="F61" s="8"/>
      <c r="G61" s="8"/>
      <c r="H61" s="8"/>
      <c r="I61" s="8"/>
      <c r="K61" s="8"/>
      <c r="L61" s="8"/>
      <c r="M61" s="8"/>
      <c r="N61" s="8"/>
      <c r="O61" s="8"/>
      <c r="P61" s="8"/>
      <c r="R61" s="8"/>
      <c r="S61" s="8"/>
      <c r="T61" s="8"/>
      <c r="U61" s="8"/>
      <c r="V61" s="8"/>
      <c r="W61" s="8"/>
      <c r="Y61" s="8"/>
      <c r="Z61" s="8"/>
      <c r="AA61" s="8"/>
      <c r="AB61" s="8"/>
      <c r="AC61" s="8"/>
      <c r="AD61" s="8"/>
      <c r="AF61" s="8"/>
      <c r="AG61" s="8"/>
      <c r="AH61" s="8"/>
      <c r="AI61" s="8"/>
      <c r="AJ61" s="8"/>
      <c r="AK61" s="8"/>
    </row>
    <row r="62" spans="2:37" x14ac:dyDescent="0.25">
      <c r="B62" s="5" t="s">
        <v>59</v>
      </c>
      <c r="D62" s="8"/>
      <c r="E62" s="8"/>
      <c r="F62" s="8"/>
      <c r="G62" s="8"/>
      <c r="H62" s="8"/>
      <c r="I62" s="8"/>
      <c r="K62" s="8"/>
      <c r="L62" s="8"/>
      <c r="M62" s="8"/>
      <c r="N62" s="8"/>
      <c r="O62" s="8"/>
      <c r="P62" s="8"/>
      <c r="R62" s="8"/>
      <c r="S62" s="8"/>
      <c r="T62" s="8"/>
      <c r="U62" s="8"/>
      <c r="V62" s="8"/>
      <c r="W62" s="8"/>
      <c r="Y62" s="8"/>
      <c r="Z62" s="8"/>
      <c r="AA62" s="8"/>
      <c r="AB62" s="8"/>
      <c r="AC62" s="8"/>
      <c r="AD62" s="8"/>
      <c r="AF62" s="8"/>
      <c r="AG62" s="8"/>
      <c r="AH62" s="8"/>
      <c r="AI62" s="8"/>
      <c r="AJ62" s="8"/>
      <c r="AK62" s="8"/>
    </row>
    <row r="63" spans="2:37" x14ac:dyDescent="0.25">
      <c r="B63" s="5" t="s">
        <v>60</v>
      </c>
      <c r="D63" s="8"/>
      <c r="E63" s="8"/>
      <c r="F63" s="8"/>
      <c r="G63" s="8"/>
      <c r="H63" s="8"/>
      <c r="I63" s="8"/>
      <c r="K63" s="8"/>
      <c r="L63" s="8"/>
      <c r="M63" s="8"/>
      <c r="N63" s="8"/>
      <c r="O63" s="8"/>
      <c r="P63" s="8"/>
      <c r="R63" s="8"/>
      <c r="S63" s="8"/>
      <c r="T63" s="8"/>
      <c r="U63" s="8"/>
      <c r="V63" s="8"/>
      <c r="W63" s="8"/>
      <c r="Y63" s="8"/>
      <c r="Z63" s="8"/>
      <c r="AA63" s="8"/>
      <c r="AB63" s="8"/>
      <c r="AC63" s="8"/>
      <c r="AD63" s="8"/>
      <c r="AF63" s="8"/>
      <c r="AG63" s="8"/>
      <c r="AH63" s="8"/>
      <c r="AI63" s="8"/>
      <c r="AJ63" s="8"/>
      <c r="AK63" s="8"/>
    </row>
    <row r="64" spans="2:37" x14ac:dyDescent="0.25">
      <c r="B64" s="5" t="s">
        <v>61</v>
      </c>
      <c r="D64" s="8"/>
      <c r="E64" s="8"/>
      <c r="F64" s="8"/>
      <c r="G64" s="8"/>
      <c r="H64" s="8"/>
      <c r="I64" s="8"/>
      <c r="K64" s="8"/>
      <c r="L64" s="8"/>
      <c r="M64" s="8"/>
      <c r="N64" s="8"/>
      <c r="O64" s="8"/>
      <c r="P64" s="8"/>
      <c r="R64" s="8"/>
      <c r="S64" s="8"/>
      <c r="T64" s="8"/>
      <c r="U64" s="8"/>
      <c r="V64" s="8"/>
      <c r="W64" s="8"/>
      <c r="Y64" s="8"/>
      <c r="Z64" s="8"/>
      <c r="AA64" s="8"/>
      <c r="AB64" s="8"/>
      <c r="AC64" s="8"/>
      <c r="AD64" s="8"/>
      <c r="AF64" s="8"/>
      <c r="AG64" s="8"/>
      <c r="AH64" s="8"/>
      <c r="AI64" s="8"/>
      <c r="AJ64" s="8"/>
      <c r="AK64" s="8"/>
    </row>
    <row r="65" spans="2:38" x14ac:dyDescent="0.25">
      <c r="B65" s="5" t="s">
        <v>62</v>
      </c>
      <c r="D65" s="8"/>
      <c r="E65" s="8"/>
      <c r="F65" s="8"/>
      <c r="G65" s="8"/>
      <c r="H65" s="8"/>
      <c r="I65" s="8"/>
      <c r="K65" s="8"/>
      <c r="L65" s="8"/>
      <c r="M65" s="8"/>
      <c r="N65" s="8"/>
      <c r="O65" s="8"/>
      <c r="P65" s="8"/>
      <c r="R65" s="8"/>
      <c r="S65" s="8"/>
      <c r="T65" s="8"/>
      <c r="U65" s="8"/>
      <c r="V65" s="8"/>
      <c r="W65" s="8"/>
      <c r="Y65" s="8"/>
      <c r="Z65" s="8"/>
      <c r="AA65" s="8"/>
      <c r="AB65" s="8"/>
      <c r="AC65" s="8"/>
      <c r="AD65" s="8"/>
      <c r="AF65" s="8"/>
      <c r="AG65" s="8"/>
      <c r="AH65" s="8"/>
      <c r="AI65" s="8"/>
      <c r="AJ65" s="8"/>
      <c r="AK65" s="8"/>
    </row>
    <row r="66" spans="2:38" x14ac:dyDescent="0.25">
      <c r="B66" s="5" t="s">
        <v>63</v>
      </c>
      <c r="D66" s="8"/>
      <c r="E66" s="8"/>
      <c r="F66" s="8"/>
      <c r="G66" s="8"/>
      <c r="H66" s="8"/>
      <c r="I66" s="8"/>
      <c r="K66" s="8"/>
      <c r="L66" s="8"/>
      <c r="M66" s="8"/>
      <c r="N66" s="8"/>
      <c r="O66" s="8"/>
      <c r="P66" s="8"/>
      <c r="R66" s="8"/>
      <c r="S66" s="8"/>
      <c r="T66" s="8"/>
      <c r="U66" s="8"/>
      <c r="V66" s="8"/>
      <c r="W66" s="8"/>
      <c r="Y66" s="8"/>
      <c r="Z66" s="8"/>
      <c r="AA66" s="8"/>
      <c r="AB66" s="8"/>
      <c r="AC66" s="8"/>
      <c r="AD66" s="8"/>
      <c r="AF66" s="8"/>
      <c r="AG66" s="8"/>
      <c r="AH66" s="8"/>
      <c r="AI66" s="8"/>
      <c r="AJ66" s="8"/>
      <c r="AK66" s="8"/>
    </row>
    <row r="67" spans="2:38" x14ac:dyDescent="0.25">
      <c r="B67" s="5" t="s">
        <v>64</v>
      </c>
      <c r="D67" s="8"/>
      <c r="E67" s="8"/>
      <c r="F67" s="8"/>
      <c r="G67" s="8"/>
      <c r="H67" s="8"/>
      <c r="I67" s="13"/>
      <c r="J67" s="21"/>
      <c r="K67" s="13"/>
      <c r="L67" s="13"/>
      <c r="M67" s="13"/>
      <c r="N67" s="13"/>
      <c r="O67" s="13"/>
      <c r="P67" s="13"/>
      <c r="R67" s="8"/>
      <c r="S67" s="8"/>
      <c r="T67" s="8"/>
      <c r="U67" s="8"/>
      <c r="V67" s="8"/>
      <c r="W67" s="8"/>
      <c r="Y67" s="8"/>
      <c r="Z67" s="8"/>
      <c r="AA67" s="8"/>
      <c r="AB67" s="8"/>
      <c r="AC67" s="8"/>
      <c r="AD67" s="8"/>
      <c r="AE67" s="21"/>
      <c r="AF67" s="13"/>
      <c r="AG67" s="13"/>
      <c r="AH67" s="13"/>
      <c r="AI67" s="13"/>
      <c r="AJ67" s="13"/>
      <c r="AK67" s="13"/>
      <c r="AL67" s="21"/>
    </row>
    <row r="68" spans="2:38" x14ac:dyDescent="0.25">
      <c r="B68" s="5" t="s">
        <v>65</v>
      </c>
      <c r="D68" s="8"/>
      <c r="E68" s="8"/>
      <c r="F68" s="8"/>
      <c r="G68" s="8"/>
      <c r="H68" s="8"/>
      <c r="I68" s="13"/>
      <c r="J68" s="21"/>
      <c r="K68" s="13"/>
      <c r="L68" s="13"/>
      <c r="M68" s="13"/>
      <c r="N68" s="13"/>
      <c r="O68" s="13"/>
      <c r="P68" s="13"/>
      <c r="R68" s="8"/>
      <c r="S68" s="8"/>
      <c r="T68" s="8"/>
      <c r="U68" s="8"/>
      <c r="V68" s="8"/>
      <c r="W68" s="8"/>
      <c r="Y68" s="8"/>
      <c r="Z68" s="8"/>
      <c r="AA68" s="8"/>
      <c r="AB68" s="8"/>
      <c r="AC68" s="8"/>
      <c r="AD68" s="8"/>
      <c r="AE68" s="21"/>
      <c r="AF68" s="13"/>
      <c r="AG68" s="13"/>
      <c r="AH68" s="13"/>
      <c r="AI68" s="13"/>
      <c r="AJ68" s="13"/>
      <c r="AK68" s="13"/>
      <c r="AL68" s="21"/>
    </row>
    <row r="69" spans="2:38" x14ac:dyDescent="0.25">
      <c r="B69" s="6" t="s">
        <v>66</v>
      </c>
      <c r="D69" s="8"/>
      <c r="E69" s="8"/>
      <c r="F69" s="8"/>
      <c r="G69" s="8"/>
      <c r="H69" s="8"/>
      <c r="I69" s="13"/>
      <c r="J69" s="21"/>
      <c r="K69" s="13"/>
      <c r="L69" s="13"/>
      <c r="M69" s="13"/>
      <c r="N69" s="13"/>
      <c r="O69" s="13"/>
      <c r="P69" s="13"/>
      <c r="R69" s="8"/>
      <c r="S69" s="8"/>
      <c r="T69" s="8"/>
      <c r="U69" s="8"/>
      <c r="V69" s="8"/>
      <c r="W69" s="8"/>
      <c r="Y69" s="8"/>
      <c r="Z69" s="8"/>
      <c r="AA69" s="8"/>
      <c r="AB69" s="8"/>
      <c r="AC69" s="8"/>
      <c r="AD69" s="8"/>
      <c r="AE69" s="21"/>
      <c r="AF69" s="13"/>
      <c r="AG69" s="13"/>
      <c r="AH69" s="13"/>
      <c r="AI69" s="13"/>
      <c r="AJ69" s="13"/>
      <c r="AK69" s="13"/>
      <c r="AL69" s="21"/>
    </row>
    <row r="70" spans="2:38" x14ac:dyDescent="0.25">
      <c r="B70" s="6" t="s">
        <v>67</v>
      </c>
      <c r="D70" s="8"/>
      <c r="E70" s="8"/>
      <c r="F70" s="8"/>
      <c r="G70" s="8"/>
      <c r="H70" s="8"/>
      <c r="I70" s="13"/>
      <c r="J70" s="21"/>
      <c r="K70" s="13"/>
      <c r="L70" s="13"/>
      <c r="M70" s="13"/>
      <c r="N70" s="13"/>
      <c r="O70" s="13"/>
      <c r="P70" s="13"/>
      <c r="R70" s="8"/>
      <c r="S70" s="8"/>
      <c r="T70" s="8"/>
      <c r="U70" s="8"/>
      <c r="V70" s="8"/>
      <c r="W70" s="8"/>
      <c r="Y70" s="8"/>
      <c r="Z70" s="8"/>
      <c r="AA70" s="8"/>
      <c r="AB70" s="8"/>
      <c r="AC70" s="8"/>
      <c r="AD70" s="8"/>
      <c r="AE70" s="21"/>
      <c r="AF70" s="13"/>
      <c r="AG70" s="13"/>
      <c r="AH70" s="13"/>
      <c r="AI70" s="13"/>
      <c r="AJ70" s="13"/>
      <c r="AK70" s="13"/>
      <c r="AL70" s="21"/>
    </row>
    <row r="71" spans="2:38" x14ac:dyDescent="0.25">
      <c r="B71" s="6" t="s">
        <v>68</v>
      </c>
      <c r="D71" s="8"/>
      <c r="E71" s="8"/>
      <c r="F71" s="8"/>
      <c r="G71" s="8"/>
      <c r="H71" s="8"/>
      <c r="I71" s="13"/>
      <c r="J71" s="21"/>
      <c r="K71" s="13"/>
      <c r="L71" s="13"/>
      <c r="M71" s="13"/>
      <c r="N71" s="13"/>
      <c r="O71" s="13"/>
      <c r="P71" s="13"/>
      <c r="R71" s="8"/>
      <c r="S71" s="8"/>
      <c r="T71" s="8"/>
      <c r="U71" s="8"/>
      <c r="V71" s="8"/>
      <c r="W71" s="8"/>
      <c r="Y71" s="8"/>
      <c r="Z71" s="8"/>
      <c r="AA71" s="8"/>
      <c r="AB71" s="8"/>
      <c r="AC71" s="8"/>
      <c r="AD71" s="8"/>
      <c r="AE71" s="21"/>
      <c r="AF71" s="13"/>
      <c r="AG71" s="13"/>
      <c r="AH71" s="13"/>
      <c r="AI71" s="13"/>
      <c r="AJ71" s="13"/>
      <c r="AK71" s="13"/>
      <c r="AL71" s="21"/>
    </row>
    <row r="72" spans="2:38" x14ac:dyDescent="0.25">
      <c r="B72" s="6" t="s">
        <v>69</v>
      </c>
      <c r="D72" s="8"/>
      <c r="E72" s="8"/>
      <c r="F72" s="8"/>
      <c r="G72" s="8"/>
      <c r="H72" s="8"/>
      <c r="I72" s="13"/>
      <c r="J72" s="21"/>
      <c r="K72" s="13"/>
      <c r="L72" s="13"/>
      <c r="M72" s="13"/>
      <c r="N72" s="13"/>
      <c r="O72" s="13"/>
      <c r="P72" s="13"/>
      <c r="R72" s="8"/>
      <c r="S72" s="8"/>
      <c r="T72" s="8"/>
      <c r="U72" s="8"/>
      <c r="V72" s="8"/>
      <c r="W72" s="8"/>
      <c r="Y72" s="8"/>
      <c r="Z72" s="8"/>
      <c r="AA72" s="8"/>
      <c r="AB72" s="8"/>
      <c r="AC72" s="8"/>
      <c r="AD72" s="8"/>
      <c r="AE72" s="21"/>
      <c r="AF72" s="13"/>
      <c r="AG72" s="13"/>
      <c r="AH72" s="13"/>
      <c r="AI72" s="13"/>
      <c r="AJ72" s="13"/>
      <c r="AK72" s="13"/>
      <c r="AL72" s="21"/>
    </row>
    <row r="73" spans="2:38" x14ac:dyDescent="0.25">
      <c r="B73" s="6" t="s">
        <v>70</v>
      </c>
      <c r="D73" s="8"/>
      <c r="E73" s="8"/>
      <c r="F73" s="8"/>
      <c r="G73" s="8"/>
      <c r="H73" s="8"/>
      <c r="I73" s="13"/>
      <c r="J73" s="21"/>
      <c r="K73" s="13"/>
      <c r="L73" s="13"/>
      <c r="M73" s="13"/>
      <c r="N73" s="13"/>
      <c r="O73" s="13"/>
      <c r="P73" s="13"/>
      <c r="R73" s="8"/>
      <c r="S73" s="8"/>
      <c r="T73" s="8"/>
      <c r="U73" s="8"/>
      <c r="V73" s="8"/>
      <c r="W73" s="8"/>
      <c r="Y73" s="8"/>
      <c r="Z73" s="8"/>
      <c r="AA73" s="8"/>
      <c r="AB73" s="8"/>
      <c r="AC73" s="8"/>
      <c r="AD73" s="8"/>
      <c r="AE73" s="21"/>
      <c r="AF73" s="13"/>
      <c r="AG73" s="13"/>
      <c r="AH73" s="13"/>
      <c r="AI73" s="13"/>
      <c r="AJ73" s="13"/>
      <c r="AK73" s="13"/>
      <c r="AL73" s="21"/>
    </row>
    <row r="74" spans="2:38" x14ac:dyDescent="0.25">
      <c r="B74" s="6" t="s">
        <v>71</v>
      </c>
      <c r="D74" s="8"/>
      <c r="E74" s="8"/>
      <c r="F74" s="8"/>
      <c r="G74" s="8"/>
      <c r="H74" s="8"/>
      <c r="I74" s="13"/>
      <c r="J74" s="21"/>
      <c r="K74" s="13"/>
      <c r="L74" s="13"/>
      <c r="M74" s="13"/>
      <c r="N74" s="13"/>
      <c r="O74" s="13"/>
      <c r="P74" s="13"/>
      <c r="R74" s="8"/>
      <c r="S74" s="8"/>
      <c r="T74" s="8"/>
      <c r="U74" s="8"/>
      <c r="V74" s="8"/>
      <c r="W74" s="8"/>
      <c r="Y74" s="8"/>
      <c r="Z74" s="8"/>
      <c r="AA74" s="8"/>
      <c r="AB74" s="8"/>
      <c r="AC74" s="8"/>
      <c r="AD74" s="8"/>
      <c r="AE74" s="21"/>
      <c r="AF74" s="13"/>
      <c r="AG74" s="13"/>
      <c r="AH74" s="13"/>
      <c r="AI74" s="13"/>
      <c r="AJ74" s="13"/>
      <c r="AK74" s="13"/>
      <c r="AL74" s="21"/>
    </row>
    <row r="75" spans="2:38" x14ac:dyDescent="0.25">
      <c r="B75" s="6" t="s">
        <v>72</v>
      </c>
      <c r="D75" s="8"/>
      <c r="E75" s="8"/>
      <c r="F75" s="8"/>
      <c r="G75" s="8"/>
      <c r="H75" s="8"/>
      <c r="I75" s="13"/>
      <c r="J75" s="21"/>
      <c r="K75" s="13"/>
      <c r="L75" s="13"/>
      <c r="M75" s="13"/>
      <c r="N75" s="13"/>
      <c r="O75" s="13"/>
      <c r="P75" s="13"/>
      <c r="R75" s="8"/>
      <c r="S75" s="8"/>
      <c r="T75" s="8"/>
      <c r="U75" s="8"/>
      <c r="V75" s="8"/>
      <c r="W75" s="8"/>
      <c r="Y75" s="8"/>
      <c r="Z75" s="8"/>
      <c r="AA75" s="8"/>
      <c r="AB75" s="8"/>
      <c r="AC75" s="8"/>
      <c r="AD75" s="8"/>
      <c r="AE75" s="21"/>
      <c r="AF75" s="13"/>
      <c r="AG75" s="13"/>
      <c r="AH75" s="13"/>
      <c r="AI75" s="13"/>
      <c r="AJ75" s="13"/>
      <c r="AK75" s="13"/>
      <c r="AL75" s="21"/>
    </row>
    <row r="76" spans="2:38" x14ac:dyDescent="0.25">
      <c r="B76" s="7" t="s">
        <v>73</v>
      </c>
      <c r="D76" s="8"/>
      <c r="E76" s="8"/>
      <c r="F76" s="8"/>
      <c r="G76" s="8"/>
      <c r="H76" s="8"/>
      <c r="I76" s="13"/>
      <c r="J76" s="21"/>
      <c r="K76" s="13"/>
      <c r="L76" s="13"/>
      <c r="M76" s="13"/>
      <c r="N76" s="13"/>
      <c r="O76" s="13"/>
      <c r="P76" s="13"/>
      <c r="R76" s="8"/>
      <c r="S76" s="8"/>
      <c r="T76" s="8"/>
      <c r="U76" s="8"/>
      <c r="V76" s="8"/>
      <c r="W76" s="8"/>
      <c r="Y76" s="8"/>
      <c r="Z76" s="8"/>
      <c r="AA76" s="8"/>
      <c r="AB76" s="8"/>
      <c r="AC76" s="8"/>
      <c r="AD76" s="8"/>
      <c r="AE76" s="21"/>
      <c r="AF76" s="13"/>
      <c r="AG76" s="13"/>
      <c r="AH76" s="13"/>
      <c r="AI76" s="13"/>
      <c r="AJ76" s="13"/>
      <c r="AK76" s="13"/>
      <c r="AL76" s="21"/>
    </row>
    <row r="77" spans="2:38" x14ac:dyDescent="0.25">
      <c r="B77" s="7" t="s">
        <v>74</v>
      </c>
      <c r="D77" s="8"/>
      <c r="E77" s="8"/>
      <c r="F77" s="8"/>
      <c r="G77" s="8"/>
      <c r="H77" s="8"/>
      <c r="I77" s="13"/>
      <c r="J77" s="21"/>
      <c r="K77" s="13"/>
      <c r="L77" s="13"/>
      <c r="M77" s="13"/>
      <c r="N77" s="13"/>
      <c r="O77" s="13"/>
      <c r="P77" s="13"/>
      <c r="R77" s="8"/>
      <c r="S77" s="8"/>
      <c r="T77" s="8"/>
      <c r="U77" s="8"/>
      <c r="V77" s="8"/>
      <c r="W77" s="8"/>
      <c r="Y77" s="8"/>
      <c r="Z77" s="8"/>
      <c r="AA77" s="8"/>
      <c r="AB77" s="8"/>
      <c r="AC77" s="8"/>
      <c r="AD77" s="8"/>
      <c r="AE77" s="21"/>
      <c r="AF77" s="13"/>
      <c r="AG77" s="13"/>
      <c r="AH77" s="13"/>
      <c r="AI77" s="13"/>
      <c r="AJ77" s="13"/>
      <c r="AK77" s="13"/>
      <c r="AL77" s="21"/>
    </row>
    <row r="78" spans="2:38" x14ac:dyDescent="0.25">
      <c r="B78" s="7" t="s">
        <v>75</v>
      </c>
      <c r="D78" s="8"/>
      <c r="E78" s="8"/>
      <c r="F78" s="8"/>
      <c r="G78" s="8"/>
      <c r="H78" s="8"/>
      <c r="I78" s="8"/>
      <c r="K78" s="8"/>
      <c r="L78" s="8"/>
      <c r="M78" s="8"/>
      <c r="N78" s="8"/>
      <c r="O78" s="8"/>
      <c r="P78" s="8"/>
      <c r="R78" s="8"/>
      <c r="S78" s="8"/>
      <c r="T78" s="8"/>
      <c r="U78" s="8"/>
      <c r="V78" s="8"/>
      <c r="W78" s="8"/>
      <c r="Y78" s="8"/>
      <c r="Z78" s="8"/>
      <c r="AA78" s="8"/>
      <c r="AB78" s="8"/>
      <c r="AC78" s="8"/>
      <c r="AD78" s="8"/>
      <c r="AF78" s="8"/>
      <c r="AG78" s="8"/>
      <c r="AH78" s="8"/>
      <c r="AI78" s="8"/>
      <c r="AJ78" s="8"/>
      <c r="AK78" s="8"/>
    </row>
    <row r="79" spans="2:38" x14ac:dyDescent="0.25">
      <c r="B79" s="7" t="s">
        <v>76</v>
      </c>
      <c r="D79" s="8"/>
      <c r="E79" s="8"/>
      <c r="F79" s="8"/>
      <c r="G79" s="8"/>
      <c r="H79" s="8"/>
      <c r="I79" s="8"/>
      <c r="K79" s="8"/>
      <c r="L79" s="8"/>
      <c r="M79" s="8"/>
      <c r="N79" s="8"/>
      <c r="O79" s="8"/>
      <c r="P79" s="8"/>
      <c r="R79" s="8"/>
      <c r="S79" s="8"/>
      <c r="T79" s="8"/>
      <c r="U79" s="8"/>
      <c r="V79" s="8"/>
      <c r="W79" s="8"/>
      <c r="Y79" s="8"/>
      <c r="Z79" s="8"/>
      <c r="AA79" s="8"/>
      <c r="AB79" s="8"/>
      <c r="AC79" s="8"/>
      <c r="AD79" s="8"/>
      <c r="AF79" s="8"/>
      <c r="AG79" s="8"/>
      <c r="AH79" s="8"/>
      <c r="AI79" s="8"/>
      <c r="AJ79" s="8"/>
      <c r="AK79" s="8"/>
    </row>
    <row r="80" spans="2:38" x14ac:dyDescent="0.25">
      <c r="B80" s="7" t="s">
        <v>77</v>
      </c>
      <c r="D80" s="8"/>
      <c r="E80" s="8"/>
      <c r="F80" s="8"/>
      <c r="G80" s="8"/>
      <c r="H80" s="8"/>
      <c r="I80" s="8"/>
      <c r="K80" s="8"/>
      <c r="L80" s="8"/>
      <c r="M80" s="8"/>
      <c r="N80" s="8"/>
      <c r="O80" s="8"/>
      <c r="P80" s="8"/>
      <c r="R80" s="8"/>
      <c r="S80" s="8"/>
      <c r="T80" s="8"/>
      <c r="U80" s="8"/>
      <c r="V80" s="8"/>
      <c r="W80" s="8"/>
      <c r="Y80" s="8"/>
      <c r="Z80" s="8"/>
      <c r="AA80" s="8"/>
      <c r="AB80" s="8"/>
      <c r="AC80" s="8"/>
      <c r="AD80" s="8"/>
      <c r="AF80" s="8"/>
      <c r="AG80" s="8"/>
      <c r="AH80" s="8"/>
      <c r="AI80" s="8"/>
      <c r="AJ80" s="8"/>
      <c r="AK80" s="8"/>
    </row>
    <row r="81" spans="2:37" x14ac:dyDescent="0.25">
      <c r="B81" s="7" t="s">
        <v>78</v>
      </c>
      <c r="D81" s="8"/>
      <c r="E81" s="8"/>
      <c r="F81" s="8"/>
      <c r="G81" s="8"/>
      <c r="H81" s="8"/>
      <c r="I81" s="8"/>
      <c r="K81" s="8"/>
      <c r="L81" s="8"/>
      <c r="M81" s="8"/>
      <c r="N81" s="8"/>
      <c r="O81" s="8"/>
      <c r="P81" s="8"/>
      <c r="R81" s="8"/>
      <c r="S81" s="8"/>
      <c r="T81" s="8"/>
      <c r="U81" s="8"/>
      <c r="V81" s="8"/>
      <c r="W81" s="8"/>
      <c r="Y81" s="8"/>
      <c r="Z81" s="8"/>
      <c r="AA81" s="8"/>
      <c r="AB81" s="8"/>
      <c r="AC81" s="8"/>
      <c r="AD81" s="8"/>
      <c r="AF81" s="8"/>
      <c r="AG81" s="8"/>
      <c r="AH81" s="8"/>
      <c r="AI81" s="8"/>
      <c r="AJ81" s="8"/>
      <c r="AK81" s="8"/>
    </row>
    <row r="82" spans="2:37" x14ac:dyDescent="0.25">
      <c r="B82" s="7" t="s">
        <v>79</v>
      </c>
      <c r="D82" s="8"/>
      <c r="E82" s="8"/>
      <c r="F82" s="8"/>
      <c r="G82" s="8"/>
      <c r="H82" s="8"/>
      <c r="I82" s="8"/>
      <c r="K82" s="8"/>
      <c r="L82" s="8"/>
      <c r="M82" s="8"/>
      <c r="N82" s="8"/>
      <c r="O82" s="8"/>
      <c r="P82" s="8"/>
      <c r="R82" s="8"/>
      <c r="S82" s="8"/>
      <c r="T82" s="8"/>
      <c r="U82" s="8"/>
      <c r="V82" s="8"/>
      <c r="W82" s="8"/>
      <c r="Y82" s="8"/>
      <c r="Z82" s="8"/>
      <c r="AA82" s="8"/>
      <c r="AB82" s="8"/>
      <c r="AC82" s="8"/>
      <c r="AD82" s="8"/>
      <c r="AF82" s="8"/>
      <c r="AG82" s="8"/>
      <c r="AH82" s="8"/>
      <c r="AI82" s="8"/>
      <c r="AJ82" s="8"/>
      <c r="AK82" s="8"/>
    </row>
    <row r="83" spans="2:37" x14ac:dyDescent="0.25">
      <c r="B83" s="7" t="s">
        <v>80</v>
      </c>
      <c r="D83" s="8"/>
      <c r="E83" s="8"/>
      <c r="F83" s="8"/>
      <c r="G83" s="8"/>
      <c r="H83" s="8"/>
      <c r="I83" s="8"/>
      <c r="K83" s="8"/>
      <c r="L83" s="8"/>
      <c r="M83" s="8"/>
      <c r="N83" s="8"/>
      <c r="O83" s="8"/>
      <c r="P83" s="8"/>
      <c r="R83" s="8"/>
      <c r="S83" s="8"/>
      <c r="T83" s="8"/>
      <c r="U83" s="8"/>
      <c r="V83" s="8"/>
      <c r="W83" s="8"/>
      <c r="Y83" s="8"/>
      <c r="Z83" s="8"/>
      <c r="AA83" s="8"/>
      <c r="AB83" s="8"/>
      <c r="AC83" s="8"/>
      <c r="AD83" s="8"/>
      <c r="AF83" s="8"/>
      <c r="AG83" s="8"/>
      <c r="AH83" s="8"/>
      <c r="AI83" s="8"/>
      <c r="AJ83" s="8"/>
      <c r="AK83" s="8"/>
    </row>
    <row r="84" spans="2:37" x14ac:dyDescent="0.25">
      <c r="B84" s="7" t="s">
        <v>81</v>
      </c>
      <c r="D84" s="8"/>
      <c r="E84" s="8"/>
      <c r="F84" s="8"/>
      <c r="G84" s="8"/>
      <c r="H84" s="8"/>
      <c r="I84" s="8"/>
      <c r="K84" s="8"/>
      <c r="L84" s="8"/>
      <c r="M84" s="8"/>
      <c r="N84" s="8"/>
      <c r="O84" s="8"/>
      <c r="P84" s="8"/>
      <c r="R84" s="8"/>
      <c r="S84" s="8"/>
      <c r="T84" s="8"/>
      <c r="U84" s="8"/>
      <c r="V84" s="8"/>
      <c r="W84" s="8"/>
      <c r="Y84" s="8"/>
      <c r="Z84" s="8"/>
      <c r="AA84" s="8"/>
      <c r="AB84" s="8"/>
      <c r="AC84" s="8"/>
      <c r="AD84" s="8"/>
      <c r="AF84" s="8"/>
      <c r="AG84" s="8"/>
      <c r="AH84" s="8"/>
      <c r="AI84" s="8"/>
      <c r="AJ84" s="8"/>
      <c r="AK84" s="8"/>
    </row>
    <row r="86" spans="2:37" x14ac:dyDescent="0.25">
      <c r="C86" s="1"/>
      <c r="D86" s="22" t="s">
        <v>105</v>
      </c>
      <c r="E86" s="22"/>
      <c r="F86" s="22"/>
      <c r="G86" s="22"/>
      <c r="H86" s="22"/>
      <c r="I86" s="22"/>
      <c r="J86" s="1"/>
      <c r="K86" s="22" t="s">
        <v>106</v>
      </c>
      <c r="L86" s="22"/>
      <c r="M86" s="22"/>
      <c r="N86" s="22"/>
      <c r="O86" s="22"/>
      <c r="P86" s="22"/>
    </row>
    <row r="87" spans="2:37" x14ac:dyDescent="0.25">
      <c r="C87" s="1"/>
      <c r="D87" s="22" t="s">
        <v>112</v>
      </c>
      <c r="E87" s="22"/>
      <c r="F87" s="22"/>
      <c r="G87" s="22" t="s">
        <v>113</v>
      </c>
      <c r="H87" s="22"/>
      <c r="I87" s="22"/>
      <c r="J87" s="1"/>
      <c r="K87" s="24" t="s">
        <v>107</v>
      </c>
      <c r="L87" s="24"/>
      <c r="M87" s="24"/>
      <c r="N87" s="25" t="s">
        <v>108</v>
      </c>
      <c r="O87" s="25"/>
      <c r="P87" s="25"/>
    </row>
    <row r="88" spans="2:37" ht="31.5" customHeight="1" x14ac:dyDescent="0.25">
      <c r="C88" s="1" t="s">
        <v>104</v>
      </c>
      <c r="D88" s="1" t="s">
        <v>109</v>
      </c>
      <c r="E88" s="1" t="s">
        <v>110</v>
      </c>
      <c r="F88" s="1" t="s">
        <v>111</v>
      </c>
      <c r="G88" s="18" t="s">
        <v>114</v>
      </c>
      <c r="H88" s="18" t="s">
        <v>115</v>
      </c>
      <c r="I88" s="18" t="s">
        <v>116</v>
      </c>
      <c r="J88" s="1"/>
      <c r="K88" s="14" t="s">
        <v>96</v>
      </c>
      <c r="L88" s="14" t="s">
        <v>97</v>
      </c>
      <c r="M88" s="14" t="s">
        <v>98</v>
      </c>
      <c r="N88" s="15" t="s">
        <v>96</v>
      </c>
      <c r="O88" s="15" t="s">
        <v>97</v>
      </c>
      <c r="P88" s="15" t="s">
        <v>98</v>
      </c>
    </row>
    <row r="89" spans="2:37" x14ac:dyDescent="0.25">
      <c r="B89" s="10" t="s">
        <v>87</v>
      </c>
      <c r="C89" s="9">
        <f>COUNT(D4:D12)</f>
        <v>9</v>
      </c>
      <c r="D89" s="11">
        <f>AVERAGE(D4:D12)</f>
        <v>899.77777777777783</v>
      </c>
      <c r="E89" s="11">
        <f t="shared" ref="E89:F89" si="30">AVERAGE(E4:E12)</f>
        <v>639.44444444444446</v>
      </c>
      <c r="F89" s="11">
        <f t="shared" si="30"/>
        <v>614.77777777777783</v>
      </c>
      <c r="G89" s="12">
        <f>AVERAGE(G4:G12)</f>
        <v>74.489311992415892</v>
      </c>
      <c r="H89" s="12">
        <f t="shared" ref="H89:I89" si="31">AVERAGE(H4:H12)</f>
        <v>71.879527477513207</v>
      </c>
      <c r="I89" s="12">
        <f t="shared" si="31"/>
        <v>96.379318448780921</v>
      </c>
      <c r="K89" s="11">
        <f>STDEV(D4:D12)/SQRT(COUNT(D4:D12))</f>
        <v>129.97497384943188</v>
      </c>
      <c r="L89" s="11">
        <f t="shared" ref="L89:M89" si="32">STDEV(E4:E12)/SQRT(COUNT(E4:E12))</f>
        <v>80.50985293585552</v>
      </c>
      <c r="M89" s="11">
        <f t="shared" si="32"/>
        <v>76.688000252425738</v>
      </c>
      <c r="N89" s="12">
        <f>STDEV(G4:G12)/SQRT(COUNT(G4:G12))</f>
        <v>3.7624120477362477</v>
      </c>
      <c r="O89" s="12">
        <f t="shared" ref="O89" si="33">STDEV(H4:H12)/SQRT(COUNT(H4:H12))</f>
        <v>3.8425252993996595</v>
      </c>
      <c r="P89" s="12">
        <f t="shared" ref="P89" si="34">STDEV(I4:I12)/SQRT(COUNT(I4:I12))</f>
        <v>0.42743770067672787</v>
      </c>
    </row>
    <row r="90" spans="2:37" x14ac:dyDescent="0.25">
      <c r="B90" s="10" t="s">
        <v>88</v>
      </c>
      <c r="C90" s="23">
        <f>COUNT(D13:D21)</f>
        <v>0</v>
      </c>
      <c r="D90" s="11">
        <f>AVERAGE(K13:K21)</f>
        <v>949</v>
      </c>
      <c r="E90" s="11">
        <f t="shared" ref="E90:F90" si="35">AVERAGE(L13:L21)</f>
        <v>713.55555555555554</v>
      </c>
      <c r="F90" s="11">
        <f t="shared" si="35"/>
        <v>678.44444444444446</v>
      </c>
      <c r="G90" s="12">
        <f>AVERAGE(N13:N21)</f>
        <v>75.16247001930293</v>
      </c>
      <c r="H90" s="12">
        <f t="shared" ref="H90" si="36">AVERAGE(O13:O21)</f>
        <v>71.471947911608211</v>
      </c>
      <c r="I90" s="12">
        <f t="shared" ref="I90" si="37">AVERAGE(P13:P21)</f>
        <v>95.041721411734159</v>
      </c>
      <c r="K90" s="11">
        <f>STDEV(K13:K21)/SQRT(COUNT(K13:K21))</f>
        <v>56.071383075504741</v>
      </c>
      <c r="L90" s="11">
        <f t="shared" ref="L90:M90" si="38">STDEV(L13:L21)/SQRT(COUNT(L13:L21))</f>
        <v>46.679495591126226</v>
      </c>
      <c r="M90" s="11">
        <f t="shared" si="38"/>
        <v>45.29781424427275</v>
      </c>
      <c r="N90" s="12">
        <f>STDEV(N13:N21)/SQRT(COUNT(N13:N21))</f>
        <v>2.0039955258248847</v>
      </c>
      <c r="O90" s="12">
        <f t="shared" ref="O90:P90" si="39">STDEV(O13:O21)/SQRT(COUNT(O13:O21))</f>
        <v>2.0720578890752663</v>
      </c>
      <c r="P90" s="12">
        <f t="shared" si="39"/>
        <v>0.51696970261263453</v>
      </c>
    </row>
    <row r="91" spans="2:37" x14ac:dyDescent="0.25">
      <c r="B91" s="10" t="s">
        <v>101</v>
      </c>
      <c r="C91" s="23"/>
      <c r="D91" s="11">
        <f>AVERAGE(AF13:AF21)</f>
        <v>949</v>
      </c>
      <c r="E91" s="11">
        <f t="shared" ref="E91:F91" si="40">AVERAGE(AG13:AG21)</f>
        <v>715.77777777777783</v>
      </c>
      <c r="F91" s="11">
        <f t="shared" si="40"/>
        <v>689.33333333333337</v>
      </c>
      <c r="G91" s="12">
        <f>AVERAGE(AI13:AI21)</f>
        <v>75.382638828765863</v>
      </c>
      <c r="H91" s="12">
        <f t="shared" ref="H91" si="41">AVERAGE(AJ13:AJ21)</f>
        <v>72.638545941445855</v>
      </c>
      <c r="I91" s="12">
        <f t="shared" ref="I91" si="42">AVERAGE(AK13:AK21)</f>
        <v>96.323534981167697</v>
      </c>
      <c r="K91" s="11">
        <f>STDEV(AF13:AF21)/SQRT(COUNT(AF13:AF21))</f>
        <v>56.071383075504741</v>
      </c>
      <c r="L91" s="11">
        <f t="shared" ref="L91:M91" si="43">STDEV(AG13:AG21)/SQRT(COUNT(AG13:AG21))</f>
        <v>46.561422329893681</v>
      </c>
      <c r="M91" s="11">
        <f t="shared" si="43"/>
        <v>45.1226723006911</v>
      </c>
      <c r="N91" s="12">
        <f>STDEV(AI13:AI21)/SQRT(COUNT(AI13:AI21))</f>
        <v>1.9109387037043941</v>
      </c>
      <c r="O91" s="12">
        <f t="shared" ref="O91" si="44">STDEV(AJ13:AJ21)/SQRT(COUNT(AJ13:AJ21))</f>
        <v>1.9784936159869215</v>
      </c>
      <c r="P91" s="12">
        <f t="shared" ref="P91" si="45">STDEV(AK13:AK21)/SQRT(COUNT(AK13:AK21))</f>
        <v>0.51767821446706586</v>
      </c>
    </row>
    <row r="92" spans="2:37" x14ac:dyDescent="0.25">
      <c r="B92" s="10" t="s">
        <v>84</v>
      </c>
      <c r="C92" s="23">
        <f>COUNT(D22:D32)</f>
        <v>0</v>
      </c>
      <c r="D92" s="11">
        <f>AVERAGE(R22:R32)</f>
        <v>1794.4545454545455</v>
      </c>
      <c r="E92" s="11">
        <f t="shared" ref="E92:F92" si="46">AVERAGE(S22:S32)</f>
        <v>1257.3636363636363</v>
      </c>
      <c r="F92" s="11">
        <f t="shared" si="46"/>
        <v>1181.090909090909</v>
      </c>
      <c r="G92" s="12">
        <f>AVERAGE(U22:U32)</f>
        <v>69.614330336587102</v>
      </c>
      <c r="H92" s="12">
        <f t="shared" ref="H92" si="47">AVERAGE(V22:V32)</f>
        <v>65.929857453720544</v>
      </c>
      <c r="I92" s="12">
        <f t="shared" ref="I92" si="48">AVERAGE(W22:W32)</f>
        <v>94.647205145948774</v>
      </c>
      <c r="K92" s="11">
        <f>STDEV(R22:R32)/SQRT(COUNT(R22:R32))</f>
        <v>229.44000458176279</v>
      </c>
      <c r="L92" s="11">
        <f t="shared" ref="L92:M92" si="49">STDEV(S22:S32)/SQRT(COUNT(S22:S32))</f>
        <v>162.8922830209234</v>
      </c>
      <c r="M92" s="11">
        <f t="shared" si="49"/>
        <v>148.63723102332398</v>
      </c>
      <c r="N92" s="12">
        <f>STDEV(U22:U32)/SQRT(COUNT(U22:U32))</f>
        <v>3.4746495656032428</v>
      </c>
      <c r="O92" s="12">
        <f t="shared" ref="O92" si="50">STDEV(V22:V32)/SQRT(COUNT(V22:V32))</f>
        <v>3.4203514320936659</v>
      </c>
      <c r="P92" s="12">
        <f t="shared" ref="P92" si="51">STDEV(W22:W32)/SQRT(COUNT(W22:W32))</f>
        <v>0.78540535322818272</v>
      </c>
    </row>
    <row r="93" spans="2:37" x14ac:dyDescent="0.25">
      <c r="B93" s="10" t="s">
        <v>85</v>
      </c>
      <c r="C93" s="23"/>
      <c r="D93" s="11">
        <f>AVERAGE(Y22:Y32)</f>
        <v>1794.3636363636363</v>
      </c>
      <c r="E93" s="11">
        <f t="shared" ref="E93:F93" si="52">AVERAGE(Z22:Z32)</f>
        <v>1254</v>
      </c>
      <c r="F93" s="11">
        <f t="shared" si="52"/>
        <v>1164</v>
      </c>
      <c r="G93" s="12">
        <f>AVERAGE(AB22:AB32)</f>
        <v>69.451707076129381</v>
      </c>
      <c r="H93" s="12">
        <f t="shared" ref="H93" si="53">AVERAGE(AC22:AC32)</f>
        <v>64.984864914411318</v>
      </c>
      <c r="I93" s="12">
        <f t="shared" ref="I93" si="54">AVERAGE(AD22:AD32)</f>
        <v>93.465796071152212</v>
      </c>
      <c r="K93" s="11">
        <f>STDEV(Y22:Y32)/SQRT(COUNT(Y22:Y32))</f>
        <v>229.4304914635872</v>
      </c>
      <c r="L93" s="11">
        <f t="shared" ref="L93:M93" si="55">STDEV(Z22:Z32)/SQRT(COUNT(Z22:Z32))</f>
        <v>162.56612640567363</v>
      </c>
      <c r="M93" s="11">
        <f t="shared" si="55"/>
        <v>146.72224842135626</v>
      </c>
      <c r="N93" s="12">
        <f>STDEV(AB22:AB32)/SQRT(COUNT(AB22:AB32))</f>
        <v>3.4482723101013186</v>
      </c>
      <c r="O93" s="12">
        <f t="shared" ref="O93" si="56">STDEV(AC22:AC32)/SQRT(COUNT(AC22:AC32))</f>
        <v>3.4167263770796197</v>
      </c>
      <c r="P93" s="12">
        <f t="shared" ref="P93" si="57">STDEV(AD22:AD32)/SQRT(COUNT(AD22:AD32))</f>
        <v>0.79464851148266014</v>
      </c>
    </row>
    <row r="94" spans="2:37" x14ac:dyDescent="0.25">
      <c r="B94" s="10" t="s">
        <v>89</v>
      </c>
      <c r="C94" s="9">
        <f>COUNT(D33:D40)</f>
        <v>8</v>
      </c>
      <c r="D94" s="11">
        <f>AVERAGE(D33:D40)</f>
        <v>1010</v>
      </c>
      <c r="E94" s="11">
        <f t="shared" ref="E94:F94" si="58">AVERAGE(E33:E40)</f>
        <v>664</v>
      </c>
      <c r="F94" s="11">
        <f t="shared" si="58"/>
        <v>614.625</v>
      </c>
      <c r="G94" s="12">
        <f>AVERAGE(G33:G40)</f>
        <v>64.025001763613389</v>
      </c>
      <c r="H94" s="12">
        <f t="shared" ref="H94:I94" si="59">AVERAGE(H33:H40)</f>
        <v>59.057437078430496</v>
      </c>
      <c r="I94" s="12">
        <f t="shared" si="59"/>
        <v>92.39439297850673</v>
      </c>
      <c r="K94" s="11">
        <f>STDEV(D33:D40)/SQRT(COUNT(D33:D40))</f>
        <v>93.290253663345936</v>
      </c>
      <c r="L94" s="11">
        <f t="shared" ref="L94:M94" si="60">STDEV(E33:E40)/SQRT(COUNT(E33:E40))</f>
        <v>87.237156238448236</v>
      </c>
      <c r="M94" s="11">
        <f t="shared" si="60"/>
        <v>83.014615214947014</v>
      </c>
      <c r="N94" s="12">
        <f>STDEV(G33:G40)/SQRT(COUNT(G33:G40))</f>
        <v>4.4200392496699976</v>
      </c>
      <c r="O94" s="12">
        <f t="shared" ref="O94" si="61">STDEV(H33:H40)/SQRT(COUNT(H33:H40))</f>
        <v>4.0460690915167685</v>
      </c>
      <c r="P94" s="12">
        <f t="shared" ref="P94" si="62">STDEV(I33:I40)/SQRT(COUNT(I33:I40))</f>
        <v>1.5705347193655232</v>
      </c>
    </row>
    <row r="95" spans="2:37" x14ac:dyDescent="0.25">
      <c r="B95" s="10" t="s">
        <v>90</v>
      </c>
      <c r="C95" s="9">
        <f>COUNT(D41:D47)</f>
        <v>7</v>
      </c>
      <c r="D95" s="11">
        <f>AVERAGE(D41:D47)</f>
        <v>985.28571428571433</v>
      </c>
      <c r="E95" s="11">
        <f t="shared" ref="E95:F95" si="63">AVERAGE(E41:E47)</f>
        <v>702.57142857142856</v>
      </c>
      <c r="F95" s="11">
        <f t="shared" si="63"/>
        <v>676.57142857142856</v>
      </c>
      <c r="G95" s="12">
        <f>AVERAGE(G41:G47)</f>
        <v>68.015879311385248</v>
      </c>
      <c r="H95" s="12">
        <f t="shared" ref="H95:I95" si="64">AVERAGE(H41:H47)</f>
        <v>65.262492100008203</v>
      </c>
      <c r="I95" s="12">
        <f t="shared" si="64"/>
        <v>95.760052644527306</v>
      </c>
      <c r="K95" s="11">
        <f>STDEV(D41:D47)/SQRT(COUNT(D41:D47))</f>
        <v>148.10528981352519</v>
      </c>
      <c r="L95" s="11">
        <f t="shared" ref="L95:M95" si="65">STDEV(E41:E47)/SQRT(COUNT(E41:E47))</f>
        <v>122.98293670704253</v>
      </c>
      <c r="M95" s="11">
        <f t="shared" si="65"/>
        <v>119.88761744369818</v>
      </c>
      <c r="N95" s="12">
        <f>STDEV(G41:G47)/SQRT(COUNT(G41:G47))</f>
        <v>4.9302433378742521</v>
      </c>
      <c r="O95" s="12">
        <f t="shared" ref="O95" si="66">STDEV(H41:H47)/SQRT(COUNT(H41:H47))</f>
        <v>4.9618301654572807</v>
      </c>
      <c r="P95" s="12">
        <f t="shared" ref="P95" si="67">STDEV(I41:I47)/SQRT(COUNT(I41:I47))</f>
        <v>0.70152669229302533</v>
      </c>
    </row>
    <row r="96" spans="2:37" x14ac:dyDescent="0.25">
      <c r="B96" s="10" t="s">
        <v>91</v>
      </c>
      <c r="C96" s="23">
        <f>COUNT(D48:D52)</f>
        <v>0</v>
      </c>
      <c r="D96" s="11">
        <f>AVERAGE(K48:K52)</f>
        <v>961.2</v>
      </c>
      <c r="E96" s="11">
        <f t="shared" ref="E96:F96" si="68">AVERAGE(L48:L52)</f>
        <v>568.4</v>
      </c>
      <c r="F96" s="11">
        <f t="shared" si="68"/>
        <v>533.20000000000005</v>
      </c>
      <c r="G96" s="12">
        <f>AVERAGE(N48:N52)</f>
        <v>56.94733733290856</v>
      </c>
      <c r="H96" s="12">
        <f t="shared" ref="H96" si="69">AVERAGE(O48:O52)</f>
        <v>53.290520497657702</v>
      </c>
      <c r="I96" s="12">
        <f t="shared" ref="I96" si="70">AVERAGE(P48:P52)</f>
        <v>93.320952503922854</v>
      </c>
      <c r="K96" s="11">
        <f>STDEV(K48:K52)/SQRT(COUNT(K48:K52))</f>
        <v>123.51817680001591</v>
      </c>
      <c r="L96" s="11">
        <f t="shared" ref="L96:M96" si="71">STDEV(L48:L52)/SQRT(COUNT(L48:L52))</f>
        <v>112.00696406920419</v>
      </c>
      <c r="M96" s="11">
        <f t="shared" si="71"/>
        <v>105.95253654349197</v>
      </c>
      <c r="N96" s="12">
        <f>STDEV(N48:N52)/SQRT(COUNT(N48:N52))</f>
        <v>7.3418909734915347</v>
      </c>
      <c r="O96" s="12">
        <f t="shared" ref="O96:P96" si="72">STDEV(O48:O52)/SQRT(COUNT(O48:O52))</f>
        <v>7.087127294837777</v>
      </c>
      <c r="P96" s="12">
        <f t="shared" si="72"/>
        <v>1.1188636576915283</v>
      </c>
    </row>
    <row r="97" spans="2:16" x14ac:dyDescent="0.25">
      <c r="B97" s="10" t="s">
        <v>102</v>
      </c>
      <c r="C97" s="23"/>
      <c r="D97" s="11">
        <f>AVERAGE(AF48:AF52)</f>
        <v>961.2</v>
      </c>
      <c r="E97" s="11">
        <f t="shared" ref="E97:F97" si="73">AVERAGE(AG48:AG52)</f>
        <v>569.20000000000005</v>
      </c>
      <c r="F97" s="11">
        <f t="shared" si="73"/>
        <v>543.79999999999995</v>
      </c>
      <c r="G97" s="12">
        <f>AVERAGE(AI48:AI52)</f>
        <v>56.925739281375705</v>
      </c>
      <c r="H97" s="12">
        <f t="shared" ref="H97" si="74">AVERAGE(AJ48:AJ52)</f>
        <v>54.322533958368794</v>
      </c>
      <c r="I97" s="12">
        <f t="shared" ref="I97" si="75">AVERAGE(AK48:AK52)</f>
        <v>95.328682109786428</v>
      </c>
      <c r="K97" s="11">
        <f>STDEV(AF48:AF52)/SQRT(COUNT(AF48:AF52))</f>
        <v>123.51817680001591</v>
      </c>
      <c r="L97" s="11">
        <f t="shared" ref="L97:M97" si="76">STDEV(AG48:AG52)/SQRT(COUNT(AG48:AG52))</f>
        <v>112.73393455388666</v>
      </c>
      <c r="M97" s="11">
        <f t="shared" si="76"/>
        <v>108.0816358129354</v>
      </c>
      <c r="N97" s="12">
        <f>STDEV(AI48:AI52)/SQRT(COUNT(AI48:AI52))</f>
        <v>7.4346366240759361</v>
      </c>
      <c r="O97" s="12">
        <f t="shared" ref="O97" si="77">STDEV(AJ48:AJ52)/SQRT(COUNT(AJ48:AJ52))</f>
        <v>7.17467011773208</v>
      </c>
      <c r="P97" s="12">
        <f t="shared" ref="P97" si="78">STDEV(AK48:AK52)/SQRT(COUNT(AK48:AK52))</f>
        <v>0.74061097560010158</v>
      </c>
    </row>
    <row r="98" spans="2:16" x14ac:dyDescent="0.25">
      <c r="B98" s="10" t="s">
        <v>92</v>
      </c>
      <c r="C98" s="23">
        <f>COUNT(D53:D60)</f>
        <v>0</v>
      </c>
      <c r="D98" s="11">
        <f>AVERAGE(R53:R60)</f>
        <v>3005.25</v>
      </c>
      <c r="E98" s="11">
        <f t="shared" ref="E98:F98" si="79">AVERAGE(S53:S60)</f>
        <v>2291.375</v>
      </c>
      <c r="F98" s="11">
        <f t="shared" si="79"/>
        <v>1988.125</v>
      </c>
      <c r="G98" s="12">
        <f>AVERAGE(U53:U60)</f>
        <v>76.457086202776765</v>
      </c>
      <c r="H98" s="12">
        <f t="shared" ref="H98" si="80">AVERAGE(V53:V60)</f>
        <v>66.298372924499361</v>
      </c>
      <c r="I98" s="12">
        <f t="shared" ref="I98" si="81">AVERAGE(W53:W60)</f>
        <v>86.739613903586815</v>
      </c>
      <c r="K98" s="11">
        <f>STDEV(R53:R60)/SQRT(COUNT(R53:R60))</f>
        <v>116.51498217580676</v>
      </c>
      <c r="L98" s="11">
        <f t="shared" ref="L98:M98" si="82">STDEV(S53:S60)/SQRT(COUNT(S53:S60))</f>
        <v>81.07821124868083</v>
      </c>
      <c r="M98" s="11">
        <f t="shared" si="82"/>
        <v>89.449194977612038</v>
      </c>
      <c r="N98" s="12">
        <f>STDEV(U53:U60)/SQRT(COUNT(U53:U60))</f>
        <v>1.7178972047667636</v>
      </c>
      <c r="O98" s="12">
        <f t="shared" ref="O98" si="83">STDEV(V53:V60)/SQRT(COUNT(V53:V60))</f>
        <v>2.1685207991449635</v>
      </c>
      <c r="P98" s="12">
        <f t="shared" ref="P98" si="84">STDEV(W53:W60)/SQRT(COUNT(W53:W60))</f>
        <v>2.2185035885688325</v>
      </c>
    </row>
    <row r="99" spans="2:16" x14ac:dyDescent="0.25">
      <c r="B99" s="10" t="s">
        <v>93</v>
      </c>
      <c r="C99" s="23"/>
      <c r="D99" s="11">
        <f>AVERAGE(Y53:Y60)</f>
        <v>3005.25</v>
      </c>
      <c r="E99" s="11">
        <f t="shared" ref="E99:F99" si="85">AVERAGE(Z53:Z60)</f>
        <v>2285.375</v>
      </c>
      <c r="F99" s="11">
        <f t="shared" si="85"/>
        <v>1959.25</v>
      </c>
      <c r="G99" s="12">
        <f>AVERAGE(AB53:AB60)</f>
        <v>76.254324422286274</v>
      </c>
      <c r="H99" s="12">
        <f t="shared" ref="H99" si="86">AVERAGE(AC53:AC60)</f>
        <v>65.336997243892839</v>
      </c>
      <c r="I99" s="12">
        <f t="shared" ref="I99" si="87">AVERAGE(AD53:AD60)</f>
        <v>85.703352513483097</v>
      </c>
      <c r="K99" s="11">
        <f>STDEV(Y53:Y60)/SQRT(COUNT(Y53:Y60))</f>
        <v>116.51498217580676</v>
      </c>
      <c r="L99" s="11">
        <f t="shared" ref="L99:M99" si="88">STDEV(Z53:Z60)/SQRT(COUNT(Z53:Z60))</f>
        <v>81.594147527345882</v>
      </c>
      <c r="M99" s="11">
        <f t="shared" si="88"/>
        <v>89.016200371457259</v>
      </c>
      <c r="N99" s="12">
        <f>STDEV(AB53:AB60)/SQRT(COUNT(AB53:AB60))</f>
        <v>1.7255562087093577</v>
      </c>
      <c r="O99" s="12">
        <f t="shared" ref="O99" si="89">STDEV(AC53:AC60)/SQRT(COUNT(AC53:AC60))</f>
        <v>2.1736953614583849</v>
      </c>
      <c r="P99" s="12">
        <f t="shared" ref="P99" si="90">STDEV(AD53:AD60)/SQRT(COUNT(AD53:AD60))</f>
        <v>2.214981797122785</v>
      </c>
    </row>
    <row r="100" spans="2:16" x14ac:dyDescent="0.25">
      <c r="B100" s="10"/>
      <c r="D100" s="11"/>
      <c r="E100" s="11"/>
      <c r="F100" s="11"/>
      <c r="G100" s="12"/>
      <c r="H100" s="12"/>
      <c r="I100" s="12"/>
      <c r="K100" s="11"/>
      <c r="L100" s="11"/>
      <c r="M100" s="11"/>
      <c r="N100" s="12"/>
      <c r="O100" s="12"/>
      <c r="P100" s="12"/>
    </row>
    <row r="101" spans="2:16" x14ac:dyDescent="0.25">
      <c r="B101" s="10" t="s">
        <v>94</v>
      </c>
      <c r="D101" s="11"/>
      <c r="E101" s="11"/>
      <c r="F101" s="11"/>
      <c r="G101" s="12"/>
      <c r="H101" s="12"/>
      <c r="I101" s="12"/>
      <c r="K101" s="11"/>
      <c r="L101" s="11"/>
      <c r="M101" s="11"/>
      <c r="N101" s="12"/>
      <c r="O101" s="12"/>
      <c r="P101" s="12"/>
    </row>
    <row r="102" spans="2:16" x14ac:dyDescent="0.25">
      <c r="B102" s="10" t="s">
        <v>95</v>
      </c>
      <c r="D102" s="11"/>
      <c r="E102" s="11"/>
      <c r="F102" s="11"/>
      <c r="G102" s="12"/>
      <c r="H102" s="12"/>
      <c r="I102" s="12"/>
      <c r="K102" s="11"/>
      <c r="L102" s="11"/>
      <c r="M102" s="11"/>
      <c r="N102" s="12"/>
      <c r="O102" s="12"/>
      <c r="P102" s="12"/>
    </row>
    <row r="103" spans="2:16" x14ac:dyDescent="0.25">
      <c r="B103" s="10" t="s">
        <v>103</v>
      </c>
      <c r="D103" s="11"/>
      <c r="E103" s="11"/>
      <c r="F103" s="11"/>
      <c r="G103" s="12"/>
      <c r="H103" s="12"/>
      <c r="I103" s="12"/>
      <c r="K103" s="11"/>
      <c r="L103" s="11"/>
      <c r="M103" s="11"/>
      <c r="N103" s="12"/>
      <c r="O103" s="12"/>
      <c r="P103" s="12"/>
    </row>
    <row r="104" spans="2:16" x14ac:dyDescent="0.25">
      <c r="B104" s="10" t="s">
        <v>99</v>
      </c>
      <c r="D104" s="11"/>
      <c r="E104" s="11"/>
      <c r="F104" s="11"/>
      <c r="G104" s="12"/>
      <c r="H104" s="12"/>
      <c r="I104" s="12"/>
      <c r="K104" s="11"/>
      <c r="L104" s="11"/>
      <c r="M104" s="11"/>
      <c r="N104" s="12"/>
      <c r="O104" s="12"/>
      <c r="P104" s="12"/>
    </row>
    <row r="105" spans="2:16" x14ac:dyDescent="0.25">
      <c r="B105" s="10" t="s">
        <v>100</v>
      </c>
      <c r="D105" s="11"/>
      <c r="E105" s="11"/>
      <c r="F105" s="11"/>
      <c r="G105" s="12"/>
      <c r="H105" s="12"/>
      <c r="I105" s="12"/>
      <c r="K105" s="11"/>
      <c r="L105" s="11"/>
      <c r="M105" s="11"/>
      <c r="N105" s="12"/>
      <c r="O105" s="12"/>
      <c r="P105" s="12"/>
    </row>
    <row r="108" spans="2:16" x14ac:dyDescent="0.25">
      <c r="C108" t="s">
        <v>112</v>
      </c>
    </row>
    <row r="124" spans="3:3" x14ac:dyDescent="0.25">
      <c r="C124" t="s">
        <v>117</v>
      </c>
    </row>
  </sheetData>
  <mergeCells count="25">
    <mergeCell ref="AB2:AD2"/>
    <mergeCell ref="AF2:AH2"/>
    <mergeCell ref="AI2:AK2"/>
    <mergeCell ref="D87:F87"/>
    <mergeCell ref="G87:I87"/>
    <mergeCell ref="K87:M87"/>
    <mergeCell ref="N87:P87"/>
    <mergeCell ref="D2:F2"/>
    <mergeCell ref="G2:I2"/>
    <mergeCell ref="K2:M2"/>
    <mergeCell ref="N2:P2"/>
    <mergeCell ref="R2:T2"/>
    <mergeCell ref="U2:W2"/>
    <mergeCell ref="C90:C91"/>
    <mergeCell ref="C92:C93"/>
    <mergeCell ref="C96:C97"/>
    <mergeCell ref="C98:C99"/>
    <mergeCell ref="Y2:AA2"/>
    <mergeCell ref="D86:I86"/>
    <mergeCell ref="K86:P86"/>
    <mergeCell ref="D1:I1"/>
    <mergeCell ref="K1:P1"/>
    <mergeCell ref="R1:W1"/>
    <mergeCell ref="Y1:AD1"/>
    <mergeCell ref="AF1:AK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StimFalsePos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2017-03-20T13:53:48Z</dcterms:modified>
</cp:coreProperties>
</file>