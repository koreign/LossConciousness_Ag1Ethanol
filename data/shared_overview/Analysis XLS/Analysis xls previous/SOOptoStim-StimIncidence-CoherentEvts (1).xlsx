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240" yWindow="105" windowWidth="14805" windowHeight="8010" activeTab="1"/>
  </bookViews>
  <sheets>
    <sheet name="SlowSpi" sheetId="41" r:id="rId1"/>
    <sheet name="BroadBdSpi" sheetId="43" r:id="rId2"/>
  </sheets>
  <calcPr calcId="162913"/>
</workbook>
</file>

<file path=xl/calcChain.xml><?xml version="1.0" encoding="utf-8"?>
<calcChain xmlns="http://schemas.openxmlformats.org/spreadsheetml/2006/main">
  <c r="AI102" i="43" l="1"/>
  <c r="X98" i="43"/>
  <c r="X96" i="43"/>
  <c r="S88" i="43"/>
  <c r="R88" i="43"/>
  <c r="Q88" i="43"/>
  <c r="P88" i="43"/>
  <c r="O88" i="43"/>
  <c r="N88" i="43"/>
  <c r="M88" i="43"/>
  <c r="L88" i="43"/>
  <c r="K88" i="43"/>
  <c r="J88" i="43"/>
  <c r="I88" i="43"/>
  <c r="H88" i="43"/>
  <c r="G88" i="43"/>
  <c r="F88" i="43"/>
  <c r="E88" i="43"/>
  <c r="D88" i="43"/>
  <c r="C110" i="43" s="1"/>
  <c r="C88" i="43"/>
  <c r="AJ87" i="43"/>
  <c r="S87" i="43"/>
  <c r="R87" i="43"/>
  <c r="Q87" i="43"/>
  <c r="P87" i="43"/>
  <c r="O87" i="43"/>
  <c r="N87" i="43"/>
  <c r="M87" i="43"/>
  <c r="L87" i="43"/>
  <c r="K87" i="43"/>
  <c r="J87" i="43"/>
  <c r="I87" i="43"/>
  <c r="H87" i="43"/>
  <c r="G87" i="43"/>
  <c r="F87" i="43"/>
  <c r="E87" i="43"/>
  <c r="D87" i="43"/>
  <c r="C87" i="43"/>
  <c r="S86" i="43"/>
  <c r="R86" i="43"/>
  <c r="Q86" i="43"/>
  <c r="P86" i="43"/>
  <c r="O86" i="43"/>
  <c r="N86" i="43"/>
  <c r="M86" i="43"/>
  <c r="L86" i="43"/>
  <c r="K86" i="43"/>
  <c r="J86" i="43"/>
  <c r="I86" i="43"/>
  <c r="H86" i="43"/>
  <c r="G86" i="43"/>
  <c r="F86" i="43"/>
  <c r="E86" i="43"/>
  <c r="D86" i="43"/>
  <c r="C86" i="43"/>
  <c r="S85" i="43"/>
  <c r="R85" i="43"/>
  <c r="Q85" i="43"/>
  <c r="P85" i="43"/>
  <c r="O85" i="43"/>
  <c r="N85" i="43"/>
  <c r="M85" i="43"/>
  <c r="L85" i="43"/>
  <c r="K85" i="43"/>
  <c r="J85" i="43"/>
  <c r="I85" i="43"/>
  <c r="H85" i="43"/>
  <c r="G85" i="43"/>
  <c r="F85" i="43"/>
  <c r="E85" i="43"/>
  <c r="D85" i="43"/>
  <c r="C85" i="43"/>
  <c r="S84" i="43"/>
  <c r="R84" i="43"/>
  <c r="Q84" i="43"/>
  <c r="P84" i="43"/>
  <c r="O84" i="43"/>
  <c r="N84" i="43"/>
  <c r="M84" i="43"/>
  <c r="L84" i="43"/>
  <c r="K84" i="43"/>
  <c r="J84" i="43"/>
  <c r="I84" i="43"/>
  <c r="H84" i="43"/>
  <c r="G84" i="43"/>
  <c r="F84" i="43"/>
  <c r="E84" i="43"/>
  <c r="D84" i="43"/>
  <c r="C84" i="43"/>
  <c r="AJ83" i="43"/>
  <c r="S83" i="43"/>
  <c r="R83" i="43"/>
  <c r="Q83" i="43"/>
  <c r="P83" i="43"/>
  <c r="O83" i="43"/>
  <c r="N83" i="43"/>
  <c r="M83" i="43"/>
  <c r="L83" i="43"/>
  <c r="K83" i="43"/>
  <c r="J83" i="43"/>
  <c r="I83" i="43"/>
  <c r="H83" i="43"/>
  <c r="G83" i="43"/>
  <c r="F83" i="43"/>
  <c r="E83" i="43"/>
  <c r="D83" i="43"/>
  <c r="C83" i="43"/>
  <c r="S82" i="43"/>
  <c r="R82" i="43"/>
  <c r="Q82" i="43"/>
  <c r="P82" i="43"/>
  <c r="O82" i="43"/>
  <c r="N82" i="43"/>
  <c r="M82" i="43"/>
  <c r="L82" i="43"/>
  <c r="K82" i="43"/>
  <c r="J82" i="43"/>
  <c r="I82" i="43"/>
  <c r="H82" i="43"/>
  <c r="G82" i="43"/>
  <c r="F82" i="43"/>
  <c r="E82" i="43"/>
  <c r="D82" i="43"/>
  <c r="C82" i="43"/>
  <c r="W81" i="43"/>
  <c r="S81" i="43"/>
  <c r="R81" i="43"/>
  <c r="Q81" i="43"/>
  <c r="P81" i="43"/>
  <c r="O81" i="43"/>
  <c r="N81" i="43"/>
  <c r="M81" i="43"/>
  <c r="L81" i="43"/>
  <c r="K81" i="43"/>
  <c r="J81" i="43"/>
  <c r="I81" i="43"/>
  <c r="H81" i="43"/>
  <c r="G81" i="43"/>
  <c r="F81" i="43"/>
  <c r="E81" i="43"/>
  <c r="D81" i="43"/>
  <c r="C103" i="43" s="1"/>
  <c r="C81" i="43"/>
  <c r="AB80" i="43"/>
  <c r="S80" i="43"/>
  <c r="R80" i="43"/>
  <c r="Q80" i="43"/>
  <c r="P80" i="43"/>
  <c r="O80" i="43"/>
  <c r="N80" i="43"/>
  <c r="M80" i="43"/>
  <c r="L80" i="43"/>
  <c r="K80" i="43"/>
  <c r="J80" i="43"/>
  <c r="I80" i="43"/>
  <c r="H80" i="43"/>
  <c r="G80" i="43"/>
  <c r="F80" i="43"/>
  <c r="E80" i="43"/>
  <c r="D80" i="43"/>
  <c r="C102" i="43" s="1"/>
  <c r="C80" i="43"/>
  <c r="S79" i="43"/>
  <c r="R79" i="43"/>
  <c r="Q79" i="43"/>
  <c r="P79" i="43"/>
  <c r="O79" i="43"/>
  <c r="N79" i="43"/>
  <c r="M79" i="43"/>
  <c r="L79" i="43"/>
  <c r="K79" i="43"/>
  <c r="J79" i="43"/>
  <c r="I79" i="43"/>
  <c r="H79" i="43"/>
  <c r="G79" i="43"/>
  <c r="F79" i="43"/>
  <c r="E79" i="43"/>
  <c r="D79" i="43"/>
  <c r="C79" i="43"/>
  <c r="AK76" i="43"/>
  <c r="AJ76" i="43"/>
  <c r="AI76" i="43"/>
  <c r="AH76" i="43"/>
  <c r="AG76" i="43"/>
  <c r="AF76" i="43"/>
  <c r="AE76" i="43"/>
  <c r="AD76" i="43"/>
  <c r="AC76" i="43"/>
  <c r="AB76" i="43"/>
  <c r="AA76" i="43"/>
  <c r="Z76" i="43"/>
  <c r="Y76" i="43"/>
  <c r="X76" i="43"/>
  <c r="W76" i="43"/>
  <c r="V76" i="43"/>
  <c r="AK75" i="43"/>
  <c r="AJ75" i="43"/>
  <c r="AI75" i="43"/>
  <c r="AH75" i="43"/>
  <c r="AG75" i="43"/>
  <c r="AF75" i="43"/>
  <c r="AE75" i="43"/>
  <c r="AD75" i="43"/>
  <c r="AC75" i="43"/>
  <c r="AB75" i="43"/>
  <c r="AA75" i="43"/>
  <c r="Z75" i="43"/>
  <c r="Y75" i="43"/>
  <c r="X75" i="43"/>
  <c r="W75" i="43"/>
  <c r="V75" i="43"/>
  <c r="AK74" i="43"/>
  <c r="AJ74" i="43"/>
  <c r="AI74" i="43"/>
  <c r="AH74" i="43"/>
  <c r="AG74" i="43"/>
  <c r="AF74" i="43"/>
  <c r="AE74" i="43"/>
  <c r="AD74" i="43"/>
  <c r="AC74" i="43"/>
  <c r="AB74" i="43"/>
  <c r="AA74" i="43"/>
  <c r="Z74" i="43"/>
  <c r="Y74" i="43"/>
  <c r="X74" i="43"/>
  <c r="W74" i="43"/>
  <c r="V74" i="43"/>
  <c r="AK73" i="43"/>
  <c r="AJ73" i="43"/>
  <c r="AI73" i="43"/>
  <c r="AH73" i="43"/>
  <c r="AG73" i="43"/>
  <c r="AF73" i="43"/>
  <c r="AE73" i="43"/>
  <c r="AD73" i="43"/>
  <c r="AC73" i="43"/>
  <c r="AB73" i="43"/>
  <c r="AA73" i="43"/>
  <c r="Z73" i="43"/>
  <c r="Y73" i="43"/>
  <c r="X73" i="43"/>
  <c r="W73" i="43"/>
  <c r="V73" i="43"/>
  <c r="AK72" i="43"/>
  <c r="AJ72" i="43"/>
  <c r="AI72" i="43"/>
  <c r="AH72" i="43"/>
  <c r="AG72" i="43"/>
  <c r="AF72" i="43"/>
  <c r="AE72" i="43"/>
  <c r="AD72" i="43"/>
  <c r="AC72" i="43"/>
  <c r="AB72" i="43"/>
  <c r="AA72" i="43"/>
  <c r="Z72" i="43"/>
  <c r="Y72" i="43"/>
  <c r="X72" i="43"/>
  <c r="W72" i="43"/>
  <c r="V72" i="43"/>
  <c r="AK71" i="43"/>
  <c r="AJ71" i="43"/>
  <c r="AI71" i="43"/>
  <c r="AH71" i="43"/>
  <c r="AG71" i="43"/>
  <c r="AF71" i="43"/>
  <c r="AE71" i="43"/>
  <c r="AD71" i="43"/>
  <c r="AC71" i="43"/>
  <c r="AB71" i="43"/>
  <c r="AA71" i="43"/>
  <c r="Z71" i="43"/>
  <c r="Y71" i="43"/>
  <c r="X71" i="43"/>
  <c r="W71" i="43"/>
  <c r="V71" i="43"/>
  <c r="AK70" i="43"/>
  <c r="AJ70" i="43"/>
  <c r="AJ99" i="43" s="1"/>
  <c r="AI70" i="43"/>
  <c r="AI99" i="43" s="1"/>
  <c r="AH70" i="43"/>
  <c r="AG70" i="43"/>
  <c r="AF70" i="43"/>
  <c r="AF99" i="43" s="1"/>
  <c r="AE70" i="43"/>
  <c r="AE99" i="43" s="1"/>
  <c r="AD70" i="43"/>
  <c r="AC70" i="43"/>
  <c r="AB70" i="43"/>
  <c r="AB99" i="43" s="1"/>
  <c r="AA70" i="43"/>
  <c r="AA99" i="43" s="1"/>
  <c r="Z70" i="43"/>
  <c r="Y70" i="43"/>
  <c r="X70" i="43"/>
  <c r="X99" i="43" s="1"/>
  <c r="W70" i="43"/>
  <c r="W99" i="43" s="1"/>
  <c r="V70" i="43"/>
  <c r="AK69" i="43"/>
  <c r="AJ69" i="43"/>
  <c r="AI69" i="43"/>
  <c r="AH69" i="43"/>
  <c r="AG69" i="43"/>
  <c r="AF69" i="43"/>
  <c r="AE69" i="43"/>
  <c r="AD69" i="43"/>
  <c r="AC69" i="43"/>
  <c r="AB69" i="43"/>
  <c r="AA69" i="43"/>
  <c r="Z69" i="43"/>
  <c r="Y69" i="43"/>
  <c r="X69" i="43"/>
  <c r="W69" i="43"/>
  <c r="V69" i="43"/>
  <c r="AK68" i="43"/>
  <c r="AJ68" i="43"/>
  <c r="AI68" i="43"/>
  <c r="AH68" i="43"/>
  <c r="AG68" i="43"/>
  <c r="AF68" i="43"/>
  <c r="AE68" i="43"/>
  <c r="AD68" i="43"/>
  <c r="AC68" i="43"/>
  <c r="AB68" i="43"/>
  <c r="AA68" i="43"/>
  <c r="Z68" i="43"/>
  <c r="Y68" i="43"/>
  <c r="X68" i="43"/>
  <c r="W68" i="43"/>
  <c r="V68" i="43"/>
  <c r="AK67" i="43"/>
  <c r="AJ67" i="43"/>
  <c r="AI67" i="43"/>
  <c r="AH67" i="43"/>
  <c r="AG67" i="43"/>
  <c r="AF67" i="43"/>
  <c r="AE67" i="43"/>
  <c r="AD67" i="43"/>
  <c r="AC67" i="43"/>
  <c r="AB67" i="43"/>
  <c r="AA67" i="43"/>
  <c r="Z67" i="43"/>
  <c r="Y67" i="43"/>
  <c r="X67" i="43"/>
  <c r="W67" i="43"/>
  <c r="V67" i="43"/>
  <c r="AK66" i="43"/>
  <c r="AJ66" i="43"/>
  <c r="AI66" i="43"/>
  <c r="AH66" i="43"/>
  <c r="AG66" i="43"/>
  <c r="AF66" i="43"/>
  <c r="AE66" i="43"/>
  <c r="AD66" i="43"/>
  <c r="AC66" i="43"/>
  <c r="AB66" i="43"/>
  <c r="AA66" i="43"/>
  <c r="Z66" i="43"/>
  <c r="Y66" i="43"/>
  <c r="X66" i="43"/>
  <c r="W66" i="43"/>
  <c r="V66" i="43"/>
  <c r="AK65" i="43"/>
  <c r="AJ65" i="43"/>
  <c r="AI65" i="43"/>
  <c r="AH65" i="43"/>
  <c r="AG65" i="43"/>
  <c r="AF65" i="43"/>
  <c r="AE65" i="43"/>
  <c r="AD65" i="43"/>
  <c r="AC65" i="43"/>
  <c r="AB65" i="43"/>
  <c r="AA65" i="43"/>
  <c r="Z65" i="43"/>
  <c r="Y65" i="43"/>
  <c r="X65" i="43"/>
  <c r="W65" i="43"/>
  <c r="V65" i="43"/>
  <c r="AK64" i="43"/>
  <c r="AJ64" i="43"/>
  <c r="AI64" i="43"/>
  <c r="AH64" i="43"/>
  <c r="AG64" i="43"/>
  <c r="AF64" i="43"/>
  <c r="AE64" i="43"/>
  <c r="AD64" i="43"/>
  <c r="AC64" i="43"/>
  <c r="AB64" i="43"/>
  <c r="AA64" i="43"/>
  <c r="Z64" i="43"/>
  <c r="Y64" i="43"/>
  <c r="X64" i="43"/>
  <c r="W64" i="43"/>
  <c r="V64" i="43"/>
  <c r="AK63" i="43"/>
  <c r="AK98" i="43" s="1"/>
  <c r="AJ63" i="43"/>
  <c r="AJ98" i="43" s="1"/>
  <c r="AI63" i="43"/>
  <c r="AI87" i="43" s="1"/>
  <c r="AH63" i="43"/>
  <c r="AG63" i="43"/>
  <c r="AG98" i="43" s="1"/>
  <c r="AF63" i="43"/>
  <c r="AF87" i="43" s="1"/>
  <c r="AE63" i="43"/>
  <c r="AE87" i="43" s="1"/>
  <c r="AD63" i="43"/>
  <c r="AC63" i="43"/>
  <c r="AC98" i="43" s="1"/>
  <c r="AB63" i="43"/>
  <c r="AB98" i="43" s="1"/>
  <c r="AA63" i="43"/>
  <c r="AA87" i="43" s="1"/>
  <c r="Z63" i="43"/>
  <c r="Y63" i="43"/>
  <c r="Y98" i="43" s="1"/>
  <c r="X63" i="43"/>
  <c r="X87" i="43" s="1"/>
  <c r="W63" i="43"/>
  <c r="W87" i="43" s="1"/>
  <c r="V63" i="43"/>
  <c r="AK62" i="43"/>
  <c r="AJ62" i="43"/>
  <c r="AI62" i="43"/>
  <c r="AH62" i="43"/>
  <c r="AG62" i="43"/>
  <c r="AF62" i="43"/>
  <c r="AE62" i="43"/>
  <c r="AD62" i="43"/>
  <c r="AC62" i="43"/>
  <c r="AB62" i="43"/>
  <c r="AA62" i="43"/>
  <c r="Z62" i="43"/>
  <c r="Y62" i="43"/>
  <c r="X62" i="43"/>
  <c r="W62" i="43"/>
  <c r="V62" i="43"/>
  <c r="AK61" i="43"/>
  <c r="AJ61" i="43"/>
  <c r="AI61" i="43"/>
  <c r="AH61" i="43"/>
  <c r="AG61" i="43"/>
  <c r="AF61" i="43"/>
  <c r="AE61" i="43"/>
  <c r="AD61" i="43"/>
  <c r="AC61" i="43"/>
  <c r="AB61" i="43"/>
  <c r="AA61" i="43"/>
  <c r="Z61" i="43"/>
  <c r="Y61" i="43"/>
  <c r="X61" i="43"/>
  <c r="W61" i="43"/>
  <c r="V61" i="43"/>
  <c r="AK60" i="43"/>
  <c r="AJ60" i="43"/>
  <c r="AI60" i="43"/>
  <c r="AH60" i="43"/>
  <c r="AG60" i="43"/>
  <c r="AF60" i="43"/>
  <c r="AE60" i="43"/>
  <c r="AD60" i="43"/>
  <c r="AC60" i="43"/>
  <c r="AB60" i="43"/>
  <c r="AA60" i="43"/>
  <c r="Z60" i="43"/>
  <c r="Y60" i="43"/>
  <c r="X60" i="43"/>
  <c r="W60" i="43"/>
  <c r="V60" i="43"/>
  <c r="AK59" i="43"/>
  <c r="AJ59" i="43"/>
  <c r="AI59" i="43"/>
  <c r="AH59" i="43"/>
  <c r="AG59" i="43"/>
  <c r="AF59" i="43"/>
  <c r="AE59" i="43"/>
  <c r="AD59" i="43"/>
  <c r="AC59" i="43"/>
  <c r="AB59" i="43"/>
  <c r="AA59" i="43"/>
  <c r="Z59" i="43"/>
  <c r="Y59" i="43"/>
  <c r="X59" i="43"/>
  <c r="W59" i="43"/>
  <c r="V59" i="43"/>
  <c r="AK58" i="43"/>
  <c r="AK97" i="43" s="1"/>
  <c r="AJ58" i="43"/>
  <c r="AJ86" i="43" s="1"/>
  <c r="AI58" i="43"/>
  <c r="AI86" i="43" s="1"/>
  <c r="AH58" i="43"/>
  <c r="AH97" i="43" s="1"/>
  <c r="AG58" i="43"/>
  <c r="AG97" i="43" s="1"/>
  <c r="AF58" i="43"/>
  <c r="AF86" i="43" s="1"/>
  <c r="AE58" i="43"/>
  <c r="AE86" i="43" s="1"/>
  <c r="AD58" i="43"/>
  <c r="AD97" i="43" s="1"/>
  <c r="AC58" i="43"/>
  <c r="AC97" i="43" s="1"/>
  <c r="AB58" i="43"/>
  <c r="AB86" i="43" s="1"/>
  <c r="AA58" i="43"/>
  <c r="AA86" i="43" s="1"/>
  <c r="Z58" i="43"/>
  <c r="Z97" i="43" s="1"/>
  <c r="Y58" i="43"/>
  <c r="Y97" i="43" s="1"/>
  <c r="X58" i="43"/>
  <c r="X86" i="43" s="1"/>
  <c r="W58" i="43"/>
  <c r="W86" i="43" s="1"/>
  <c r="V58" i="43"/>
  <c r="V97" i="43" s="1"/>
  <c r="AK57" i="43"/>
  <c r="AJ57" i="43"/>
  <c r="AI57" i="43"/>
  <c r="AH57" i="43"/>
  <c r="AG57" i="43"/>
  <c r="AF57" i="43"/>
  <c r="AE57" i="43"/>
  <c r="AD57" i="43"/>
  <c r="AC57" i="43"/>
  <c r="AB57" i="43"/>
  <c r="AA57" i="43"/>
  <c r="Z57" i="43"/>
  <c r="Y57" i="43"/>
  <c r="X57" i="43"/>
  <c r="W57" i="43"/>
  <c r="V57" i="43"/>
  <c r="AK56" i="43"/>
  <c r="AJ56" i="43"/>
  <c r="AI56" i="43"/>
  <c r="AH56" i="43"/>
  <c r="AG56" i="43"/>
  <c r="AF56" i="43"/>
  <c r="AE56" i="43"/>
  <c r="AD56" i="43"/>
  <c r="AC56" i="43"/>
  <c r="AB56" i="43"/>
  <c r="AA56" i="43"/>
  <c r="Z56" i="43"/>
  <c r="Y56" i="43"/>
  <c r="X56" i="43"/>
  <c r="W56" i="43"/>
  <c r="V56" i="43"/>
  <c r="AK55" i="43"/>
  <c r="AJ55" i="43"/>
  <c r="AI55" i="43"/>
  <c r="AH55" i="43"/>
  <c r="AG55" i="43"/>
  <c r="AF55" i="43"/>
  <c r="AE55" i="43"/>
  <c r="AD55" i="43"/>
  <c r="AC55" i="43"/>
  <c r="AB55" i="43"/>
  <c r="AA55" i="43"/>
  <c r="Z55" i="43"/>
  <c r="Y55" i="43"/>
  <c r="X55" i="43"/>
  <c r="W55" i="43"/>
  <c r="V55" i="43"/>
  <c r="AK54" i="43"/>
  <c r="AJ54" i="43"/>
  <c r="AI54" i="43"/>
  <c r="AH54" i="43"/>
  <c r="AG54" i="43"/>
  <c r="AF54" i="43"/>
  <c r="AE54" i="43"/>
  <c r="AD54" i="43"/>
  <c r="AC54" i="43"/>
  <c r="AB54" i="43"/>
  <c r="AA54" i="43"/>
  <c r="Z54" i="43"/>
  <c r="Y54" i="43"/>
  <c r="X54" i="43"/>
  <c r="W54" i="43"/>
  <c r="V54" i="43"/>
  <c r="AK53" i="43"/>
  <c r="AK96" i="43" s="1"/>
  <c r="AJ53" i="43"/>
  <c r="AJ85" i="43" s="1"/>
  <c r="AI53" i="43"/>
  <c r="AI85" i="43" s="1"/>
  <c r="AH53" i="43"/>
  <c r="AH96" i="43" s="1"/>
  <c r="AG53" i="43"/>
  <c r="AG96" i="43" s="1"/>
  <c r="AF53" i="43"/>
  <c r="AF85" i="43" s="1"/>
  <c r="AE53" i="43"/>
  <c r="AE96" i="43" s="1"/>
  <c r="AD53" i="43"/>
  <c r="AD96" i="43" s="1"/>
  <c r="AC53" i="43"/>
  <c r="AC96" i="43" s="1"/>
  <c r="AB53" i="43"/>
  <c r="AB85" i="43" s="1"/>
  <c r="AA53" i="43"/>
  <c r="AA96" i="43" s="1"/>
  <c r="Z53" i="43"/>
  <c r="Z96" i="43" s="1"/>
  <c r="Y53" i="43"/>
  <c r="Y96" i="43" s="1"/>
  <c r="X53" i="43"/>
  <c r="X85" i="43" s="1"/>
  <c r="W53" i="43"/>
  <c r="W96" i="43" s="1"/>
  <c r="V53" i="43"/>
  <c r="V96" i="43" s="1"/>
  <c r="AK52" i="43"/>
  <c r="AJ52" i="43"/>
  <c r="AI52" i="43"/>
  <c r="AH52" i="43"/>
  <c r="AG52" i="43"/>
  <c r="AF52" i="43"/>
  <c r="AE52" i="43"/>
  <c r="AD52" i="43"/>
  <c r="AC52" i="43"/>
  <c r="AB52" i="43"/>
  <c r="AA52" i="43"/>
  <c r="Z52" i="43"/>
  <c r="Y52" i="43"/>
  <c r="X52" i="43"/>
  <c r="W52" i="43"/>
  <c r="V52" i="43"/>
  <c r="AK51" i="43"/>
  <c r="AJ51" i="43"/>
  <c r="AI51" i="43"/>
  <c r="AH51" i="43"/>
  <c r="AG51" i="43"/>
  <c r="AF51" i="43"/>
  <c r="AE51" i="43"/>
  <c r="AD51" i="43"/>
  <c r="AC51" i="43"/>
  <c r="AB51" i="43"/>
  <c r="AA51" i="43"/>
  <c r="Z51" i="43"/>
  <c r="Y51" i="43"/>
  <c r="X51" i="43"/>
  <c r="W51" i="43"/>
  <c r="V51" i="43"/>
  <c r="AK50" i="43"/>
  <c r="AJ50" i="43"/>
  <c r="AI50" i="43"/>
  <c r="AH50" i="43"/>
  <c r="AG50" i="43"/>
  <c r="AF50" i="43"/>
  <c r="AE50" i="43"/>
  <c r="AD50" i="43"/>
  <c r="AC50" i="43"/>
  <c r="AB50" i="43"/>
  <c r="AA50" i="43"/>
  <c r="Z50" i="43"/>
  <c r="Y50" i="43"/>
  <c r="X50" i="43"/>
  <c r="W50" i="43"/>
  <c r="V50" i="43"/>
  <c r="AK49" i="43"/>
  <c r="AJ49" i="43"/>
  <c r="AI49" i="43"/>
  <c r="AH49" i="43"/>
  <c r="AG49" i="43"/>
  <c r="AF49" i="43"/>
  <c r="AE49" i="43"/>
  <c r="AD49" i="43"/>
  <c r="AC49" i="43"/>
  <c r="AB49" i="43"/>
  <c r="AA49" i="43"/>
  <c r="Z49" i="43"/>
  <c r="Y49" i="43"/>
  <c r="X49" i="43"/>
  <c r="W49" i="43"/>
  <c r="V49" i="43"/>
  <c r="AK48" i="43"/>
  <c r="AJ48" i="43"/>
  <c r="AI48" i="43"/>
  <c r="AH48" i="43"/>
  <c r="AG48" i="43"/>
  <c r="AF48" i="43"/>
  <c r="AE48" i="43"/>
  <c r="AD48" i="43"/>
  <c r="AC48" i="43"/>
  <c r="AB48" i="43"/>
  <c r="AA48" i="43"/>
  <c r="Z48" i="43"/>
  <c r="Y48" i="43"/>
  <c r="X48" i="43"/>
  <c r="W48" i="43"/>
  <c r="V48" i="43"/>
  <c r="AK47" i="43"/>
  <c r="AJ47" i="43"/>
  <c r="AI47" i="43"/>
  <c r="AH47" i="43"/>
  <c r="AG47" i="43"/>
  <c r="AF47" i="43"/>
  <c r="AE47" i="43"/>
  <c r="AD47" i="43"/>
  <c r="AC47" i="43"/>
  <c r="AB47" i="43"/>
  <c r="AA47" i="43"/>
  <c r="Z47" i="43"/>
  <c r="Y47" i="43"/>
  <c r="X47" i="43"/>
  <c r="W47" i="43"/>
  <c r="V47" i="43"/>
  <c r="AK46" i="43"/>
  <c r="AJ46" i="43"/>
  <c r="AI46" i="43"/>
  <c r="AH46" i="43"/>
  <c r="AG46" i="43"/>
  <c r="AF46" i="43"/>
  <c r="AE46" i="43"/>
  <c r="AD46" i="43"/>
  <c r="AC46" i="43"/>
  <c r="AB46" i="43"/>
  <c r="AA46" i="43"/>
  <c r="Z46" i="43"/>
  <c r="Y46" i="43"/>
  <c r="X46" i="43"/>
  <c r="W46" i="43"/>
  <c r="V46" i="43"/>
  <c r="AK45" i="43"/>
  <c r="AK106" i="43" s="1"/>
  <c r="AJ45" i="43"/>
  <c r="AJ106" i="43" s="1"/>
  <c r="AI45" i="43"/>
  <c r="AI106" i="43" s="1"/>
  <c r="AH45" i="43"/>
  <c r="AH95" i="43" s="1"/>
  <c r="AG45" i="43"/>
  <c r="AF45" i="43"/>
  <c r="AF106" i="43" s="1"/>
  <c r="AE45" i="43"/>
  <c r="AE106" i="43" s="1"/>
  <c r="AD45" i="43"/>
  <c r="AD95" i="43" s="1"/>
  <c r="AC45" i="43"/>
  <c r="AC106" i="43" s="1"/>
  <c r="AB45" i="43"/>
  <c r="AB106" i="43" s="1"/>
  <c r="AA45" i="43"/>
  <c r="AA106" i="43" s="1"/>
  <c r="Z45" i="43"/>
  <c r="Z95" i="43" s="1"/>
  <c r="Y45" i="43"/>
  <c r="X45" i="43"/>
  <c r="X106" i="43" s="1"/>
  <c r="W45" i="43"/>
  <c r="W106" i="43" s="1"/>
  <c r="V45" i="43"/>
  <c r="V95" i="43" s="1"/>
  <c r="AK44" i="43"/>
  <c r="AJ44" i="43"/>
  <c r="AI44" i="43"/>
  <c r="AH44" i="43"/>
  <c r="AG44" i="43"/>
  <c r="AF44" i="43"/>
  <c r="AE44" i="43"/>
  <c r="AD44" i="43"/>
  <c r="AC44" i="43"/>
  <c r="AB44" i="43"/>
  <c r="AA44" i="43"/>
  <c r="Z44" i="43"/>
  <c r="Y44" i="43"/>
  <c r="X44" i="43"/>
  <c r="W44" i="43"/>
  <c r="V44" i="43"/>
  <c r="AK43" i="43"/>
  <c r="AJ43" i="43"/>
  <c r="AI43" i="43"/>
  <c r="AH43" i="43"/>
  <c r="AG43" i="43"/>
  <c r="AF43" i="43"/>
  <c r="AE43" i="43"/>
  <c r="AD43" i="43"/>
  <c r="AC43" i="43"/>
  <c r="AB43" i="43"/>
  <c r="AA43" i="43"/>
  <c r="Z43" i="43"/>
  <c r="Y43" i="43"/>
  <c r="X43" i="43"/>
  <c r="W43" i="43"/>
  <c r="V43" i="43"/>
  <c r="AK42" i="43"/>
  <c r="AJ42" i="43"/>
  <c r="AI42" i="43"/>
  <c r="AH42" i="43"/>
  <c r="AG42" i="43"/>
  <c r="AF42" i="43"/>
  <c r="AE42" i="43"/>
  <c r="AD42" i="43"/>
  <c r="AC42" i="43"/>
  <c r="AB42" i="43"/>
  <c r="AA42" i="43"/>
  <c r="Z42" i="43"/>
  <c r="Y42" i="43"/>
  <c r="X42" i="43"/>
  <c r="W42" i="43"/>
  <c r="V42" i="43"/>
  <c r="AK41" i="43"/>
  <c r="AJ41" i="43"/>
  <c r="AI41" i="43"/>
  <c r="AH41" i="43"/>
  <c r="AG41" i="43"/>
  <c r="AF41" i="43"/>
  <c r="AE41" i="43"/>
  <c r="AD41" i="43"/>
  <c r="AC41" i="43"/>
  <c r="AB41" i="43"/>
  <c r="AA41" i="43"/>
  <c r="Z41" i="43"/>
  <c r="Y41" i="43"/>
  <c r="X41" i="43"/>
  <c r="W41" i="43"/>
  <c r="V41" i="43"/>
  <c r="AK40" i="43"/>
  <c r="AJ40" i="43"/>
  <c r="AI40" i="43"/>
  <c r="AH40" i="43"/>
  <c r="AG40" i="43"/>
  <c r="AF40" i="43"/>
  <c r="AE40" i="43"/>
  <c r="AD40" i="43"/>
  <c r="AC40" i="43"/>
  <c r="AB40" i="43"/>
  <c r="AA40" i="43"/>
  <c r="Z40" i="43"/>
  <c r="Y40" i="43"/>
  <c r="X40" i="43"/>
  <c r="W40" i="43"/>
  <c r="V40" i="43"/>
  <c r="AK39" i="43"/>
  <c r="AJ39" i="43"/>
  <c r="AI39" i="43"/>
  <c r="AH39" i="43"/>
  <c r="AG39" i="43"/>
  <c r="AF39" i="43"/>
  <c r="AE39" i="43"/>
  <c r="AD39" i="43"/>
  <c r="AC39" i="43"/>
  <c r="AB39" i="43"/>
  <c r="AA39" i="43"/>
  <c r="Z39" i="43"/>
  <c r="Y39" i="43"/>
  <c r="X39" i="43"/>
  <c r="W39" i="43"/>
  <c r="V39" i="43"/>
  <c r="AK38" i="43"/>
  <c r="AJ38" i="43"/>
  <c r="AI38" i="43"/>
  <c r="AH38" i="43"/>
  <c r="AG38" i="43"/>
  <c r="AF38" i="43"/>
  <c r="AE38" i="43"/>
  <c r="AD38" i="43"/>
  <c r="AC38" i="43"/>
  <c r="AB38" i="43"/>
  <c r="AA38" i="43"/>
  <c r="Z38" i="43"/>
  <c r="Y38" i="43"/>
  <c r="X38" i="43"/>
  <c r="W38" i="43"/>
  <c r="V38" i="43"/>
  <c r="AK37" i="43"/>
  <c r="AJ37" i="43"/>
  <c r="AI37" i="43"/>
  <c r="AH37" i="43"/>
  <c r="AG37" i="43"/>
  <c r="AF37" i="43"/>
  <c r="AE37" i="43"/>
  <c r="AD37" i="43"/>
  <c r="AC37" i="43"/>
  <c r="AB37" i="43"/>
  <c r="AA37" i="43"/>
  <c r="Z37" i="43"/>
  <c r="Y37" i="43"/>
  <c r="X37" i="43"/>
  <c r="W37" i="43"/>
  <c r="V37" i="43"/>
  <c r="AK36" i="43"/>
  <c r="AK94" i="43" s="1"/>
  <c r="AJ36" i="43"/>
  <c r="AJ94" i="43" s="1"/>
  <c r="AI36" i="43"/>
  <c r="AI83" i="43" s="1"/>
  <c r="AH36" i="43"/>
  <c r="AG36" i="43"/>
  <c r="AG94" i="43" s="1"/>
  <c r="AF36" i="43"/>
  <c r="AF83" i="43" s="1"/>
  <c r="AE36" i="43"/>
  <c r="AE94" i="43" s="1"/>
  <c r="AD36" i="43"/>
  <c r="AC36" i="43"/>
  <c r="AC94" i="43" s="1"/>
  <c r="AB36" i="43"/>
  <c r="AB94" i="43" s="1"/>
  <c r="AA36" i="43"/>
  <c r="AA94" i="43" s="1"/>
  <c r="Z36" i="43"/>
  <c r="Y36" i="43"/>
  <c r="Y94" i="43" s="1"/>
  <c r="X36" i="43"/>
  <c r="X83" i="43" s="1"/>
  <c r="W36" i="43"/>
  <c r="W94" i="43" s="1"/>
  <c r="V36" i="43"/>
  <c r="V94" i="43" s="1"/>
  <c r="AK35" i="43"/>
  <c r="AJ35" i="43"/>
  <c r="AI35" i="43"/>
  <c r="AH35" i="43"/>
  <c r="AG35" i="43"/>
  <c r="AF35" i="43"/>
  <c r="AE35" i="43"/>
  <c r="AD35" i="43"/>
  <c r="AC35" i="43"/>
  <c r="AB35" i="43"/>
  <c r="AA35" i="43"/>
  <c r="Z35" i="43"/>
  <c r="Y35" i="43"/>
  <c r="X35" i="43"/>
  <c r="W35" i="43"/>
  <c r="V35" i="43"/>
  <c r="AK34" i="43"/>
  <c r="AJ34" i="43"/>
  <c r="AI34" i="43"/>
  <c r="AH34" i="43"/>
  <c r="AG34" i="43"/>
  <c r="AF34" i="43"/>
  <c r="AE34" i="43"/>
  <c r="AD34" i="43"/>
  <c r="AC34" i="43"/>
  <c r="AB34" i="43"/>
  <c r="AA34" i="43"/>
  <c r="Z34" i="43"/>
  <c r="Y34" i="43"/>
  <c r="X34" i="43"/>
  <c r="W34" i="43"/>
  <c r="V34" i="43"/>
  <c r="AK33" i="43"/>
  <c r="AJ33" i="43"/>
  <c r="AI33" i="43"/>
  <c r="AH33" i="43"/>
  <c r="AG33" i="43"/>
  <c r="AF33" i="43"/>
  <c r="AE33" i="43"/>
  <c r="AD33" i="43"/>
  <c r="AC33" i="43"/>
  <c r="AB33" i="43"/>
  <c r="AA33" i="43"/>
  <c r="Z33" i="43"/>
  <c r="Y33" i="43"/>
  <c r="X33" i="43"/>
  <c r="W33" i="43"/>
  <c r="V33" i="43"/>
  <c r="AK32" i="43"/>
  <c r="AJ32" i="43"/>
  <c r="AI32" i="43"/>
  <c r="AH32" i="43"/>
  <c r="AG32" i="43"/>
  <c r="AF32" i="43"/>
  <c r="AE32" i="43"/>
  <c r="AD32" i="43"/>
  <c r="AC32" i="43"/>
  <c r="AB32" i="43"/>
  <c r="AA32" i="43"/>
  <c r="Z32" i="43"/>
  <c r="Y32" i="43"/>
  <c r="X32" i="43"/>
  <c r="W32" i="43"/>
  <c r="V32" i="43"/>
  <c r="AK31" i="43"/>
  <c r="AJ31" i="43"/>
  <c r="AI31" i="43"/>
  <c r="AH31" i="43"/>
  <c r="AG31" i="43"/>
  <c r="AF31" i="43"/>
  <c r="AE31" i="43"/>
  <c r="AD31" i="43"/>
  <c r="AC31" i="43"/>
  <c r="AB31" i="43"/>
  <c r="AA31" i="43"/>
  <c r="Z31" i="43"/>
  <c r="Y31" i="43"/>
  <c r="X31" i="43"/>
  <c r="W31" i="43"/>
  <c r="V31" i="43"/>
  <c r="AK30" i="43"/>
  <c r="AJ30" i="43"/>
  <c r="AI30" i="43"/>
  <c r="AH30" i="43"/>
  <c r="AG30" i="43"/>
  <c r="AF30" i="43"/>
  <c r="AE30" i="43"/>
  <c r="AD30" i="43"/>
  <c r="AC30" i="43"/>
  <c r="AB30" i="43"/>
  <c r="AA30" i="43"/>
  <c r="Z30" i="43"/>
  <c r="Y30" i="43"/>
  <c r="X30" i="43"/>
  <c r="W30" i="43"/>
  <c r="V30" i="43"/>
  <c r="AK29" i="43"/>
  <c r="AJ29" i="43"/>
  <c r="AI29" i="43"/>
  <c r="AH29" i="43"/>
  <c r="AG29" i="43"/>
  <c r="AF29" i="43"/>
  <c r="AE29" i="43"/>
  <c r="AD29" i="43"/>
  <c r="AC29" i="43"/>
  <c r="AB29" i="43"/>
  <c r="AA29" i="43"/>
  <c r="Z29" i="43"/>
  <c r="Y29" i="43"/>
  <c r="X29" i="43"/>
  <c r="W29" i="43"/>
  <c r="V29" i="43"/>
  <c r="AK28" i="43"/>
  <c r="AJ28" i="43"/>
  <c r="AI28" i="43"/>
  <c r="AH28" i="43"/>
  <c r="AG28" i="43"/>
  <c r="AF28" i="43"/>
  <c r="AE28" i="43"/>
  <c r="AD28" i="43"/>
  <c r="AC28" i="43"/>
  <c r="AB28" i="43"/>
  <c r="AA28" i="43"/>
  <c r="Z28" i="43"/>
  <c r="Y28" i="43"/>
  <c r="X28" i="43"/>
  <c r="W28" i="43"/>
  <c r="V28" i="43"/>
  <c r="AK27" i="43"/>
  <c r="AK93" i="43" s="1"/>
  <c r="AJ27" i="43"/>
  <c r="AJ93" i="43" s="1"/>
  <c r="AI27" i="43"/>
  <c r="AI93" i="43" s="1"/>
  <c r="AH27" i="43"/>
  <c r="AH93" i="43" s="1"/>
  <c r="AG27" i="43"/>
  <c r="AG93" i="43" s="1"/>
  <c r="AF27" i="43"/>
  <c r="AF82" i="43" s="1"/>
  <c r="AE27" i="43"/>
  <c r="AE93" i="43" s="1"/>
  <c r="AD27" i="43"/>
  <c r="AD93" i="43" s="1"/>
  <c r="AC27" i="43"/>
  <c r="AC93" i="43" s="1"/>
  <c r="AB27" i="43"/>
  <c r="AB93" i="43" s="1"/>
  <c r="AA27" i="43"/>
  <c r="AA93" i="43" s="1"/>
  <c r="Z27" i="43"/>
  <c r="Z93" i="43" s="1"/>
  <c r="Y27" i="43"/>
  <c r="Y93" i="43" s="1"/>
  <c r="X27" i="43"/>
  <c r="X82" i="43" s="1"/>
  <c r="W27" i="43"/>
  <c r="W93" i="43" s="1"/>
  <c r="V27" i="43"/>
  <c r="V93" i="43" s="1"/>
  <c r="AK26" i="43"/>
  <c r="AJ26" i="43"/>
  <c r="AI26" i="43"/>
  <c r="AH26" i="43"/>
  <c r="AG26" i="43"/>
  <c r="AF26" i="43"/>
  <c r="AE26" i="43"/>
  <c r="AD26" i="43"/>
  <c r="AC26" i="43"/>
  <c r="AB26" i="43"/>
  <c r="AA26" i="43"/>
  <c r="Z26" i="43"/>
  <c r="Y26" i="43"/>
  <c r="X26" i="43"/>
  <c r="W26" i="43"/>
  <c r="V26" i="43"/>
  <c r="AK25" i="43"/>
  <c r="AJ25" i="43"/>
  <c r="AI25" i="43"/>
  <c r="AH25" i="43"/>
  <c r="AG25" i="43"/>
  <c r="AF25" i="43"/>
  <c r="AE25" i="43"/>
  <c r="AD25" i="43"/>
  <c r="AC25" i="43"/>
  <c r="AB25" i="43"/>
  <c r="AA25" i="43"/>
  <c r="Z25" i="43"/>
  <c r="Y25" i="43"/>
  <c r="X25" i="43"/>
  <c r="W25" i="43"/>
  <c r="V25" i="43"/>
  <c r="AK24" i="43"/>
  <c r="AJ24" i="43"/>
  <c r="AI24" i="43"/>
  <c r="AH24" i="43"/>
  <c r="AG24" i="43"/>
  <c r="AF24" i="43"/>
  <c r="AE24" i="43"/>
  <c r="AD24" i="43"/>
  <c r="AC24" i="43"/>
  <c r="AB24" i="43"/>
  <c r="AA24" i="43"/>
  <c r="Z24" i="43"/>
  <c r="Y24" i="43"/>
  <c r="X24" i="43"/>
  <c r="W24" i="43"/>
  <c r="V24" i="43"/>
  <c r="AK23" i="43"/>
  <c r="AJ23" i="43"/>
  <c r="AI23" i="43"/>
  <c r="AH23" i="43"/>
  <c r="AG23" i="43"/>
  <c r="AF23" i="43"/>
  <c r="AE23" i="43"/>
  <c r="AD23" i="43"/>
  <c r="AC23" i="43"/>
  <c r="AB23" i="43"/>
  <c r="AA23" i="43"/>
  <c r="Z23" i="43"/>
  <c r="Y23" i="43"/>
  <c r="X23" i="43"/>
  <c r="W23" i="43"/>
  <c r="V23" i="43"/>
  <c r="AK22" i="43"/>
  <c r="AJ22" i="43"/>
  <c r="AI22" i="43"/>
  <c r="AH22" i="43"/>
  <c r="AG22" i="43"/>
  <c r="AF22" i="43"/>
  <c r="AE22" i="43"/>
  <c r="AD22" i="43"/>
  <c r="AC22" i="43"/>
  <c r="AB22" i="43"/>
  <c r="AA22" i="43"/>
  <c r="Z22" i="43"/>
  <c r="Y22" i="43"/>
  <c r="X22" i="43"/>
  <c r="W22" i="43"/>
  <c r="V22" i="43"/>
  <c r="AK21" i="43"/>
  <c r="AJ21" i="43"/>
  <c r="AI21" i="43"/>
  <c r="AH21" i="43"/>
  <c r="AG21" i="43"/>
  <c r="AF21" i="43"/>
  <c r="AE21" i="43"/>
  <c r="AD21" i="43"/>
  <c r="AC21" i="43"/>
  <c r="AB21" i="43"/>
  <c r="AA21" i="43"/>
  <c r="Z21" i="43"/>
  <c r="Y21" i="43"/>
  <c r="X21" i="43"/>
  <c r="W21" i="43"/>
  <c r="V21" i="43"/>
  <c r="AK20" i="43"/>
  <c r="AJ20" i="43"/>
  <c r="AI20" i="43"/>
  <c r="AH20" i="43"/>
  <c r="AG20" i="43"/>
  <c r="AF20" i="43"/>
  <c r="AE20" i="43"/>
  <c r="AD20" i="43"/>
  <c r="AC20" i="43"/>
  <c r="AB20" i="43"/>
  <c r="AA20" i="43"/>
  <c r="Z20" i="43"/>
  <c r="Y20" i="43"/>
  <c r="X20" i="43"/>
  <c r="W20" i="43"/>
  <c r="V20" i="43"/>
  <c r="AK19" i="43"/>
  <c r="AK92" i="43" s="1"/>
  <c r="AJ19" i="43"/>
  <c r="AJ92" i="43" s="1"/>
  <c r="AI19" i="43"/>
  <c r="AI92" i="43" s="1"/>
  <c r="AH19" i="43"/>
  <c r="AH92" i="43" s="1"/>
  <c r="AG19" i="43"/>
  <c r="AF19" i="43"/>
  <c r="AF81" i="43" s="1"/>
  <c r="AE19" i="43"/>
  <c r="AE92" i="43" s="1"/>
  <c r="AD19" i="43"/>
  <c r="AD92" i="43" s="1"/>
  <c r="AC19" i="43"/>
  <c r="AC92" i="43" s="1"/>
  <c r="AB19" i="43"/>
  <c r="AB92" i="43" s="1"/>
  <c r="AA19" i="43"/>
  <c r="AA92" i="43" s="1"/>
  <c r="Z19" i="43"/>
  <c r="Z92" i="43" s="1"/>
  <c r="Y19" i="43"/>
  <c r="Y92" i="43" s="1"/>
  <c r="X19" i="43"/>
  <c r="X81" i="43" s="1"/>
  <c r="W19" i="43"/>
  <c r="W92" i="43" s="1"/>
  <c r="V19" i="43"/>
  <c r="V92" i="43" s="1"/>
  <c r="AK18" i="43"/>
  <c r="AJ18" i="43"/>
  <c r="AI18" i="43"/>
  <c r="AH18" i="43"/>
  <c r="AG18" i="43"/>
  <c r="AF18" i="43"/>
  <c r="AE18" i="43"/>
  <c r="AD18" i="43"/>
  <c r="AC18" i="43"/>
  <c r="AB18" i="43"/>
  <c r="AA18" i="43"/>
  <c r="Z18" i="43"/>
  <c r="Y18" i="43"/>
  <c r="X18" i="43"/>
  <c r="W18" i="43"/>
  <c r="V18" i="43"/>
  <c r="AK17" i="43"/>
  <c r="AJ17" i="43"/>
  <c r="AI17" i="43"/>
  <c r="AH17" i="43"/>
  <c r="AG17" i="43"/>
  <c r="AF17" i="43"/>
  <c r="AE17" i="43"/>
  <c r="AD17" i="43"/>
  <c r="AC17" i="43"/>
  <c r="AB17" i="43"/>
  <c r="AA17" i="43"/>
  <c r="Z17" i="43"/>
  <c r="Y17" i="43"/>
  <c r="X17" i="43"/>
  <c r="W17" i="43"/>
  <c r="V17" i="43"/>
  <c r="AK16" i="43"/>
  <c r="AJ16" i="43"/>
  <c r="AI16" i="43"/>
  <c r="AH16" i="43"/>
  <c r="AG16" i="43"/>
  <c r="AF16" i="43"/>
  <c r="AE16" i="43"/>
  <c r="AD16" i="43"/>
  <c r="AC16" i="43"/>
  <c r="AB16" i="43"/>
  <c r="AA16" i="43"/>
  <c r="Z16" i="43"/>
  <c r="Y16" i="43"/>
  <c r="X16" i="43"/>
  <c r="W16" i="43"/>
  <c r="V16" i="43"/>
  <c r="AK15" i="43"/>
  <c r="AJ15" i="43"/>
  <c r="AI15" i="43"/>
  <c r="AH15" i="43"/>
  <c r="AG15" i="43"/>
  <c r="AF15" i="43"/>
  <c r="AE15" i="43"/>
  <c r="AD15" i="43"/>
  <c r="AC15" i="43"/>
  <c r="AB15" i="43"/>
  <c r="AA15" i="43"/>
  <c r="Z15" i="43"/>
  <c r="Y15" i="43"/>
  <c r="X15" i="43"/>
  <c r="W15" i="43"/>
  <c r="V15" i="43"/>
  <c r="AK14" i="43"/>
  <c r="AJ14" i="43"/>
  <c r="AI14" i="43"/>
  <c r="AH14" i="43"/>
  <c r="AG14" i="43"/>
  <c r="AF14" i="43"/>
  <c r="AE14" i="43"/>
  <c r="AD14" i="43"/>
  <c r="AC14" i="43"/>
  <c r="AB14" i="43"/>
  <c r="AA14" i="43"/>
  <c r="Z14" i="43"/>
  <c r="Y14" i="43"/>
  <c r="X14" i="43"/>
  <c r="W14" i="43"/>
  <c r="V14" i="43"/>
  <c r="AK13" i="43"/>
  <c r="AJ13" i="43"/>
  <c r="AI13" i="43"/>
  <c r="AH13" i="43"/>
  <c r="AG13" i="43"/>
  <c r="AF13" i="43"/>
  <c r="AE13" i="43"/>
  <c r="AD13" i="43"/>
  <c r="AC13" i="43"/>
  <c r="AB13" i="43"/>
  <c r="AA13" i="43"/>
  <c r="Z13" i="43"/>
  <c r="Y13" i="43"/>
  <c r="X13" i="43"/>
  <c r="W13" i="43"/>
  <c r="V13" i="43"/>
  <c r="AK12" i="43"/>
  <c r="AJ12" i="43"/>
  <c r="AI12" i="43"/>
  <c r="AH12" i="43"/>
  <c r="AG12" i="43"/>
  <c r="AF12" i="43"/>
  <c r="AE12" i="43"/>
  <c r="AD12" i="43"/>
  <c r="AC12" i="43"/>
  <c r="AB12" i="43"/>
  <c r="AA12" i="43"/>
  <c r="Z12" i="43"/>
  <c r="Y12" i="43"/>
  <c r="X12" i="43"/>
  <c r="W12" i="43"/>
  <c r="V12" i="43"/>
  <c r="AK11" i="43"/>
  <c r="AK80" i="43" s="1"/>
  <c r="AJ11" i="43"/>
  <c r="AJ103" i="43" s="1"/>
  <c r="AI11" i="43"/>
  <c r="AI103" i="43" s="1"/>
  <c r="AH11" i="43"/>
  <c r="AG11" i="43"/>
  <c r="AG103" i="43" s="1"/>
  <c r="AF11" i="43"/>
  <c r="AF104" i="43" s="1"/>
  <c r="AE11" i="43"/>
  <c r="AE103" i="43" s="1"/>
  <c r="AD11" i="43"/>
  <c r="AC11" i="43"/>
  <c r="AC80" i="43" s="1"/>
  <c r="AB11" i="43"/>
  <c r="AB103" i="43" s="1"/>
  <c r="AA11" i="43"/>
  <c r="AA103" i="43" s="1"/>
  <c r="Z11" i="43"/>
  <c r="Z80" i="43" s="1"/>
  <c r="Y11" i="43"/>
  <c r="Y103" i="43" s="1"/>
  <c r="X11" i="43"/>
  <c r="X104" i="43" s="1"/>
  <c r="W11" i="43"/>
  <c r="W103" i="43" s="1"/>
  <c r="V11" i="43"/>
  <c r="AK10" i="43"/>
  <c r="AJ10" i="43"/>
  <c r="AI10" i="43"/>
  <c r="AH10" i="43"/>
  <c r="AG10" i="43"/>
  <c r="AF10" i="43"/>
  <c r="AE10" i="43"/>
  <c r="AD10" i="43"/>
  <c r="AC10" i="43"/>
  <c r="AB10" i="43"/>
  <c r="AA10" i="43"/>
  <c r="Z10" i="43"/>
  <c r="Y10" i="43"/>
  <c r="X10" i="43"/>
  <c r="W10" i="43"/>
  <c r="V10" i="43"/>
  <c r="AK9" i="43"/>
  <c r="AJ9" i="43"/>
  <c r="AI9" i="43"/>
  <c r="AH9" i="43"/>
  <c r="AG9" i="43"/>
  <c r="AF9" i="43"/>
  <c r="AE9" i="43"/>
  <c r="AD9" i="43"/>
  <c r="AC9" i="43"/>
  <c r="AB9" i="43"/>
  <c r="AA9" i="43"/>
  <c r="Z9" i="43"/>
  <c r="Y9" i="43"/>
  <c r="X9" i="43"/>
  <c r="W9" i="43"/>
  <c r="V9" i="43"/>
  <c r="AK8" i="43"/>
  <c r="AJ8" i="43"/>
  <c r="AI8" i="43"/>
  <c r="AH8" i="43"/>
  <c r="AG8" i="43"/>
  <c r="AF8" i="43"/>
  <c r="AE8" i="43"/>
  <c r="AD8" i="43"/>
  <c r="AC8" i="43"/>
  <c r="AB8" i="43"/>
  <c r="AA8" i="43"/>
  <c r="Z8" i="43"/>
  <c r="Y8" i="43"/>
  <c r="X8" i="43"/>
  <c r="W8" i="43"/>
  <c r="V8" i="43"/>
  <c r="AK7" i="43"/>
  <c r="AJ7" i="43"/>
  <c r="AI7" i="43"/>
  <c r="AH7" i="43"/>
  <c r="AG7" i="43"/>
  <c r="AF7" i="43"/>
  <c r="AE7" i="43"/>
  <c r="AD7" i="43"/>
  <c r="AC7" i="43"/>
  <c r="AB7" i="43"/>
  <c r="AA7" i="43"/>
  <c r="Z7" i="43"/>
  <c r="Y7" i="43"/>
  <c r="X7" i="43"/>
  <c r="W7" i="43"/>
  <c r="V7" i="43"/>
  <c r="AK6" i="43"/>
  <c r="AJ6" i="43"/>
  <c r="AI6" i="43"/>
  <c r="AH6" i="43"/>
  <c r="AG6" i="43"/>
  <c r="AF6" i="43"/>
  <c r="AE6" i="43"/>
  <c r="AD6" i="43"/>
  <c r="AC6" i="43"/>
  <c r="AB6" i="43"/>
  <c r="AA6" i="43"/>
  <c r="Z6" i="43"/>
  <c r="Y6" i="43"/>
  <c r="X6" i="43"/>
  <c r="W6" i="43"/>
  <c r="V6" i="43"/>
  <c r="AK5" i="43"/>
  <c r="AJ5" i="43"/>
  <c r="AI5" i="43"/>
  <c r="AH5" i="43"/>
  <c r="AG5" i="43"/>
  <c r="AF5" i="43"/>
  <c r="AE5" i="43"/>
  <c r="AD5" i="43"/>
  <c r="AC5" i="43"/>
  <c r="AB5" i="43"/>
  <c r="AA5" i="43"/>
  <c r="Z5" i="43"/>
  <c r="Y5" i="43"/>
  <c r="X5" i="43"/>
  <c r="W5" i="43"/>
  <c r="V5" i="43"/>
  <c r="AK4" i="43"/>
  <c r="AJ4" i="43"/>
  <c r="AI4" i="43"/>
  <c r="AH4" i="43"/>
  <c r="AG4" i="43"/>
  <c r="AF4" i="43"/>
  <c r="AE4" i="43"/>
  <c r="AD4" i="43"/>
  <c r="AC4" i="43"/>
  <c r="AB4" i="43"/>
  <c r="AA4" i="43"/>
  <c r="Z4" i="43"/>
  <c r="Y4" i="43"/>
  <c r="X4" i="43"/>
  <c r="W4" i="43"/>
  <c r="V4" i="43"/>
  <c r="AK3" i="43"/>
  <c r="AK79" i="43" s="1"/>
  <c r="AJ3" i="43"/>
  <c r="AI3" i="43"/>
  <c r="AH3" i="43"/>
  <c r="AH90" i="43" s="1"/>
  <c r="AG3" i="43"/>
  <c r="AG102" i="43" s="1"/>
  <c r="AF3" i="43"/>
  <c r="AF90" i="43" s="1"/>
  <c r="AE3" i="43"/>
  <c r="AE102" i="43" s="1"/>
  <c r="AD3" i="43"/>
  <c r="AD90" i="43" s="1"/>
  <c r="AC3" i="43"/>
  <c r="AC79" i="43" s="1"/>
  <c r="AB3" i="43"/>
  <c r="AA3" i="43"/>
  <c r="AA102" i="43" s="1"/>
  <c r="Z3" i="43"/>
  <c r="Z90" i="43" s="1"/>
  <c r="Y3" i="43"/>
  <c r="Y102" i="43" s="1"/>
  <c r="X3" i="43"/>
  <c r="X90" i="43" s="1"/>
  <c r="W3" i="43"/>
  <c r="W102" i="43" s="1"/>
  <c r="V3" i="43"/>
  <c r="V90" i="43" s="1"/>
  <c r="X92" i="43" l="1"/>
  <c r="X94" i="43"/>
  <c r="W101" i="43"/>
  <c r="AK103" i="43"/>
  <c r="AF80" i="43"/>
  <c r="AA81" i="43"/>
  <c r="C104" i="43"/>
  <c r="C107" i="43"/>
  <c r="AA85" i="43"/>
  <c r="AK86" i="43"/>
  <c r="AF92" i="43"/>
  <c r="AF94" i="43"/>
  <c r="AF96" i="43"/>
  <c r="AF98" i="43"/>
  <c r="AE101" i="43"/>
  <c r="AB104" i="43"/>
  <c r="AC86" i="43"/>
  <c r="Y79" i="43"/>
  <c r="AJ80" i="43"/>
  <c r="AE81" i="43"/>
  <c r="Y83" i="43"/>
  <c r="C106" i="43"/>
  <c r="W84" i="43"/>
  <c r="AG85" i="43"/>
  <c r="X88" i="43"/>
  <c r="X91" i="43"/>
  <c r="X93" i="43"/>
  <c r="X95" i="43"/>
  <c r="X97" i="43"/>
  <c r="AJ104" i="43"/>
  <c r="AG92" i="43"/>
  <c r="AG79" i="43"/>
  <c r="X80" i="43"/>
  <c r="AI81" i="43"/>
  <c r="AE83" i="43"/>
  <c r="AB84" i="43"/>
  <c r="AB87" i="43"/>
  <c r="AF88" i="43"/>
  <c r="AF91" i="43"/>
  <c r="AF93" i="43"/>
  <c r="AF95" i="43"/>
  <c r="AF97" i="43"/>
  <c r="AC103" i="43"/>
  <c r="V104" i="43"/>
  <c r="V91" i="43"/>
  <c r="V103" i="43"/>
  <c r="AH104" i="43"/>
  <c r="AH91" i="43"/>
  <c r="AH103" i="43"/>
  <c r="Z94" i="43"/>
  <c r="Z83" i="43"/>
  <c r="Z98" i="43"/>
  <c r="Z87" i="43"/>
  <c r="V99" i="43"/>
  <c r="V88" i="43"/>
  <c r="AD99" i="43"/>
  <c r="AD88" i="43"/>
  <c r="V82" i="43"/>
  <c r="AH84" i="43"/>
  <c r="Z106" i="43"/>
  <c r="C101" i="43"/>
  <c r="V79" i="43"/>
  <c r="Z79" i="43"/>
  <c r="AD79" i="43"/>
  <c r="AH79" i="43"/>
  <c r="Y80" i="43"/>
  <c r="AG80" i="43"/>
  <c r="AB81" i="43"/>
  <c r="AJ81" i="43"/>
  <c r="W82" i="43"/>
  <c r="AA82" i="43"/>
  <c r="AE82" i="43"/>
  <c r="AI82" i="43"/>
  <c r="C105" i="43"/>
  <c r="V83" i="43"/>
  <c r="AA83" i="43"/>
  <c r="AK83" i="43"/>
  <c r="X84" i="43"/>
  <c r="AD84" i="43"/>
  <c r="AI84" i="43"/>
  <c r="W85" i="43"/>
  <c r="AC85" i="43"/>
  <c r="AH85" i="43"/>
  <c r="C108" i="43"/>
  <c r="V86" i="43"/>
  <c r="AD86" i="43"/>
  <c r="AC87" i="43"/>
  <c r="AK87" i="43"/>
  <c r="AA88" i="43"/>
  <c r="AI88" i="43"/>
  <c r="AA90" i="43"/>
  <c r="AI90" i="43"/>
  <c r="AA91" i="43"/>
  <c r="AI91" i="43"/>
  <c r="AI94" i="43"/>
  <c r="AA95" i="43"/>
  <c r="AI95" i="43"/>
  <c r="AI96" i="43"/>
  <c r="AA97" i="43"/>
  <c r="AI97" i="43"/>
  <c r="AA98" i="43"/>
  <c r="AI98" i="43"/>
  <c r="Z101" i="43"/>
  <c r="AH101" i="43"/>
  <c r="X103" i="43"/>
  <c r="AF103" i="43"/>
  <c r="W104" i="43"/>
  <c r="AE104" i="43"/>
  <c r="AD104" i="43"/>
  <c r="AD91" i="43"/>
  <c r="AD103" i="43"/>
  <c r="AH94" i="43"/>
  <c r="AH83" i="43"/>
  <c r="V98" i="43"/>
  <c r="V87" i="43"/>
  <c r="AH98" i="43"/>
  <c r="AH87" i="43"/>
  <c r="Z99" i="43"/>
  <c r="Z88" i="43"/>
  <c r="AH82" i="43"/>
  <c r="AB102" i="43"/>
  <c r="AB101" i="43"/>
  <c r="AJ102" i="43"/>
  <c r="AJ101" i="43"/>
  <c r="W79" i="43"/>
  <c r="AA79" i="43"/>
  <c r="AE79" i="43"/>
  <c r="AI79" i="43"/>
  <c r="V80" i="43"/>
  <c r="AD80" i="43"/>
  <c r="AH80" i="43"/>
  <c r="Y81" i="43"/>
  <c r="AC81" i="43"/>
  <c r="AG81" i="43"/>
  <c r="AK81" i="43"/>
  <c r="AB82" i="43"/>
  <c r="AJ82" i="43"/>
  <c r="W83" i="43"/>
  <c r="AB83" i="43"/>
  <c r="AG83" i="43"/>
  <c r="Z84" i="43"/>
  <c r="AE84" i="43"/>
  <c r="AJ84" i="43"/>
  <c r="Y85" i="43"/>
  <c r="AD85" i="43"/>
  <c r="Y86" i="43"/>
  <c r="AG86" i="43"/>
  <c r="C109" i="43"/>
  <c r="AB88" i="43"/>
  <c r="AJ88" i="43"/>
  <c r="AB90" i="43"/>
  <c r="AJ90" i="43"/>
  <c r="AB91" i="43"/>
  <c r="AJ91" i="43"/>
  <c r="AB95" i="43"/>
  <c r="AJ95" i="43"/>
  <c r="AB96" i="43"/>
  <c r="AJ96" i="43"/>
  <c r="AB97" i="43"/>
  <c r="AJ97" i="43"/>
  <c r="AA101" i="43"/>
  <c r="AI101" i="43"/>
  <c r="Z102" i="43"/>
  <c r="AH102" i="43"/>
  <c r="V106" i="43"/>
  <c r="AD106" i="43"/>
  <c r="Z104" i="43"/>
  <c r="Z91" i="43"/>
  <c r="Z103" i="43"/>
  <c r="AD94" i="43"/>
  <c r="AD83" i="43"/>
  <c r="AD98" i="43"/>
  <c r="AD87" i="43"/>
  <c r="AH99" i="43"/>
  <c r="AH88" i="43"/>
  <c r="Z82" i="43"/>
  <c r="AD82" i="43"/>
  <c r="V85" i="43"/>
  <c r="V102" i="43"/>
  <c r="AD102" i="43"/>
  <c r="AH106" i="43"/>
  <c r="X102" i="43"/>
  <c r="X101" i="43"/>
  <c r="AF102" i="43"/>
  <c r="AF101" i="43"/>
  <c r="Y101" i="43"/>
  <c r="Y90" i="43"/>
  <c r="AC101" i="43"/>
  <c r="AC90" i="43"/>
  <c r="AG101" i="43"/>
  <c r="AG90" i="43"/>
  <c r="AK101" i="43"/>
  <c r="AK90" i="43"/>
  <c r="Y104" i="43"/>
  <c r="Y91" i="43"/>
  <c r="AC104" i="43"/>
  <c r="AC91" i="43"/>
  <c r="AG104" i="43"/>
  <c r="AG91" i="43"/>
  <c r="AK104" i="43"/>
  <c r="AK91" i="43"/>
  <c r="Y95" i="43"/>
  <c r="Y84" i="43"/>
  <c r="AC95" i="43"/>
  <c r="AC84" i="43"/>
  <c r="AG95" i="43"/>
  <c r="AG84" i="43"/>
  <c r="AK95" i="43"/>
  <c r="AK84" i="43"/>
  <c r="Y99" i="43"/>
  <c r="Y88" i="43"/>
  <c r="AC99" i="43"/>
  <c r="AC88" i="43"/>
  <c r="AG99" i="43"/>
  <c r="AG88" i="43"/>
  <c r="AK99" i="43"/>
  <c r="AK88" i="43"/>
  <c r="X79" i="43"/>
  <c r="AB79" i="43"/>
  <c r="AF79" i="43"/>
  <c r="AJ79" i="43"/>
  <c r="W80" i="43"/>
  <c r="AA80" i="43"/>
  <c r="AE80" i="43"/>
  <c r="AI80" i="43"/>
  <c r="V81" i="43"/>
  <c r="Z81" i="43"/>
  <c r="AD81" i="43"/>
  <c r="AH81" i="43"/>
  <c r="Y82" i="43"/>
  <c r="AC82" i="43"/>
  <c r="AG82" i="43"/>
  <c r="AK82" i="43"/>
  <c r="AC83" i="43"/>
  <c r="V84" i="43"/>
  <c r="AA84" i="43"/>
  <c r="AF84" i="43"/>
  <c r="Z85" i="43"/>
  <c r="AE85" i="43"/>
  <c r="AK85" i="43"/>
  <c r="Z86" i="43"/>
  <c r="AH86" i="43"/>
  <c r="Y87" i="43"/>
  <c r="AG87" i="43"/>
  <c r="W88" i="43"/>
  <c r="AE88" i="43"/>
  <c r="W90" i="43"/>
  <c r="AE90" i="43"/>
  <c r="W91" i="43"/>
  <c r="AE91" i="43"/>
  <c r="W95" i="43"/>
  <c r="AE95" i="43"/>
  <c r="W97" i="43"/>
  <c r="AE97" i="43"/>
  <c r="W98" i="43"/>
  <c r="AE98" i="43"/>
  <c r="V101" i="43"/>
  <c r="AD101" i="43"/>
  <c r="AC102" i="43"/>
  <c r="AK102" i="43"/>
  <c r="AA104" i="43"/>
  <c r="AI104" i="43"/>
  <c r="Y106" i="43"/>
  <c r="AG106" i="43"/>
  <c r="AG3" i="41"/>
  <c r="D79" i="41"/>
  <c r="E79" i="41"/>
  <c r="F79" i="41"/>
  <c r="G79" i="41"/>
  <c r="H79" i="41"/>
  <c r="I79" i="41"/>
  <c r="J79" i="41"/>
  <c r="K79" i="41"/>
  <c r="L79" i="41"/>
  <c r="M79" i="41"/>
  <c r="N79" i="41"/>
  <c r="O79" i="41"/>
  <c r="P79" i="41"/>
  <c r="Q79" i="41"/>
  <c r="R79" i="41"/>
  <c r="S79" i="41"/>
  <c r="D80" i="41"/>
  <c r="E80" i="41"/>
  <c r="F80" i="41"/>
  <c r="G80" i="41"/>
  <c r="H80" i="41"/>
  <c r="I80" i="41"/>
  <c r="J80" i="41"/>
  <c r="K80" i="41"/>
  <c r="L80" i="41"/>
  <c r="M80" i="41"/>
  <c r="N80" i="41"/>
  <c r="O80" i="41"/>
  <c r="P80" i="41"/>
  <c r="Q80" i="41"/>
  <c r="R80" i="41"/>
  <c r="S80" i="41"/>
  <c r="D81" i="41"/>
  <c r="E81" i="41"/>
  <c r="F81" i="41"/>
  <c r="G81" i="41"/>
  <c r="H81" i="41"/>
  <c r="I81" i="41"/>
  <c r="J81" i="41"/>
  <c r="K81" i="41"/>
  <c r="L81" i="41"/>
  <c r="M81" i="41"/>
  <c r="N81" i="41"/>
  <c r="O81" i="41"/>
  <c r="P81" i="41"/>
  <c r="Q81" i="41"/>
  <c r="R81" i="41"/>
  <c r="S81" i="41"/>
  <c r="D82" i="41"/>
  <c r="E82" i="41"/>
  <c r="F82" i="41"/>
  <c r="G82" i="41"/>
  <c r="H82" i="41"/>
  <c r="I82" i="41"/>
  <c r="J82" i="41"/>
  <c r="K82" i="41"/>
  <c r="L82" i="41"/>
  <c r="M82" i="41"/>
  <c r="N82" i="41"/>
  <c r="O82" i="41"/>
  <c r="P82" i="41"/>
  <c r="Q82" i="41"/>
  <c r="R82" i="41"/>
  <c r="S82" i="41"/>
  <c r="D83" i="41"/>
  <c r="E83" i="41"/>
  <c r="F83" i="41"/>
  <c r="G83" i="41"/>
  <c r="H83" i="41"/>
  <c r="I83" i="41"/>
  <c r="J83" i="41"/>
  <c r="K83" i="41"/>
  <c r="L83" i="41"/>
  <c r="M83" i="41"/>
  <c r="N83" i="41"/>
  <c r="O83" i="41"/>
  <c r="P83" i="41"/>
  <c r="Q83" i="41"/>
  <c r="R83" i="41"/>
  <c r="S83" i="41"/>
  <c r="D84" i="41"/>
  <c r="E84" i="41"/>
  <c r="F84" i="41"/>
  <c r="G84" i="41"/>
  <c r="H84" i="41"/>
  <c r="I84" i="41"/>
  <c r="J84" i="41"/>
  <c r="K84" i="41"/>
  <c r="L84" i="41"/>
  <c r="M84" i="41"/>
  <c r="N84" i="41"/>
  <c r="O84" i="41"/>
  <c r="P84" i="41"/>
  <c r="Q84" i="41"/>
  <c r="R84" i="41"/>
  <c r="S84" i="41"/>
  <c r="D85" i="41"/>
  <c r="E85" i="41"/>
  <c r="F85" i="41"/>
  <c r="G85" i="41"/>
  <c r="H85" i="41"/>
  <c r="I85" i="41"/>
  <c r="J85" i="41"/>
  <c r="K85" i="41"/>
  <c r="L85" i="41"/>
  <c r="M85" i="41"/>
  <c r="N85" i="41"/>
  <c r="O85" i="41"/>
  <c r="P85" i="41"/>
  <c r="Q85" i="41"/>
  <c r="R85" i="41"/>
  <c r="S85" i="41"/>
  <c r="D86" i="41"/>
  <c r="E86" i="41"/>
  <c r="F86" i="41"/>
  <c r="G86" i="41"/>
  <c r="H86" i="41"/>
  <c r="I86" i="41"/>
  <c r="J86" i="41"/>
  <c r="K86" i="41"/>
  <c r="L86" i="41"/>
  <c r="M86" i="41"/>
  <c r="N86" i="41"/>
  <c r="O86" i="41"/>
  <c r="P86" i="41"/>
  <c r="Q86" i="41"/>
  <c r="R86" i="41"/>
  <c r="S86" i="41"/>
  <c r="D87" i="41"/>
  <c r="E87" i="41"/>
  <c r="F87" i="41"/>
  <c r="G87" i="41"/>
  <c r="H87" i="41"/>
  <c r="I87" i="41"/>
  <c r="J87" i="41"/>
  <c r="K87" i="41"/>
  <c r="L87" i="41"/>
  <c r="M87" i="41"/>
  <c r="N87" i="41"/>
  <c r="O87" i="41"/>
  <c r="P87" i="41"/>
  <c r="Q87" i="41"/>
  <c r="R87" i="41"/>
  <c r="S87" i="41"/>
  <c r="D88" i="41"/>
  <c r="E88" i="41"/>
  <c r="F88" i="41"/>
  <c r="G88" i="41"/>
  <c r="H88" i="41"/>
  <c r="I88" i="41"/>
  <c r="J88" i="41"/>
  <c r="K88" i="41"/>
  <c r="L88" i="41"/>
  <c r="M88" i="41"/>
  <c r="N88" i="41"/>
  <c r="O88" i="41"/>
  <c r="P88" i="41"/>
  <c r="Q88" i="41"/>
  <c r="R88" i="41"/>
  <c r="S88" i="41"/>
  <c r="AD3" i="41"/>
  <c r="V45" i="41" l="1"/>
  <c r="AH3" i="41"/>
  <c r="AI3" i="41"/>
  <c r="AJ3" i="41"/>
  <c r="AK3" i="41"/>
  <c r="AH4" i="41"/>
  <c r="AI4" i="41"/>
  <c r="AJ4" i="41"/>
  <c r="AK4" i="41"/>
  <c r="AH5" i="41"/>
  <c r="AI5" i="41"/>
  <c r="AJ5" i="41"/>
  <c r="AK5" i="41"/>
  <c r="AH6" i="41"/>
  <c r="AI6" i="41"/>
  <c r="AJ6" i="41"/>
  <c r="AK6" i="41"/>
  <c r="AH7" i="41"/>
  <c r="AI7" i="41"/>
  <c r="AJ7" i="41"/>
  <c r="AK7" i="41"/>
  <c r="AH8" i="41"/>
  <c r="AI8" i="41"/>
  <c r="AJ8" i="41"/>
  <c r="AK8" i="41"/>
  <c r="AH9" i="41"/>
  <c r="AI9" i="41"/>
  <c r="AJ9" i="41"/>
  <c r="AK9" i="41"/>
  <c r="AH10" i="41"/>
  <c r="AI10" i="41"/>
  <c r="AJ10" i="41"/>
  <c r="AK10" i="41"/>
  <c r="AH11" i="41"/>
  <c r="AI11" i="41"/>
  <c r="AJ11" i="41"/>
  <c r="AK11" i="41"/>
  <c r="AH12" i="41"/>
  <c r="AI12" i="41"/>
  <c r="AJ12" i="41"/>
  <c r="AK12" i="41"/>
  <c r="AH13" i="41"/>
  <c r="AI13" i="41"/>
  <c r="AJ13" i="41"/>
  <c r="AK13" i="41"/>
  <c r="AH14" i="41"/>
  <c r="AI14" i="41"/>
  <c r="AJ14" i="41"/>
  <c r="AK14" i="41"/>
  <c r="AH15" i="41"/>
  <c r="AI15" i="41"/>
  <c r="AJ15" i="41"/>
  <c r="AK15" i="41"/>
  <c r="AH16" i="41"/>
  <c r="AI16" i="41"/>
  <c r="AJ16" i="41"/>
  <c r="AK16" i="41"/>
  <c r="AH17" i="41"/>
  <c r="AI17" i="41"/>
  <c r="AJ17" i="41"/>
  <c r="AK17" i="41"/>
  <c r="AH18" i="41"/>
  <c r="AI18" i="41"/>
  <c r="AJ18" i="41"/>
  <c r="AK18" i="41"/>
  <c r="AH19" i="41"/>
  <c r="AI19" i="41"/>
  <c r="AJ19" i="41"/>
  <c r="AK19" i="41"/>
  <c r="AH20" i="41"/>
  <c r="AI20" i="41"/>
  <c r="AJ20" i="41"/>
  <c r="AK20" i="41"/>
  <c r="AH21" i="41"/>
  <c r="AI21" i="41"/>
  <c r="AJ21" i="41"/>
  <c r="AK21" i="41"/>
  <c r="AH22" i="41"/>
  <c r="AI22" i="41"/>
  <c r="AJ22" i="41"/>
  <c r="AK22" i="41"/>
  <c r="AH23" i="41"/>
  <c r="AI23" i="41"/>
  <c r="AJ23" i="41"/>
  <c r="AK23" i="41"/>
  <c r="AH24" i="41"/>
  <c r="AI24" i="41"/>
  <c r="AJ24" i="41"/>
  <c r="AK24" i="41"/>
  <c r="AH25" i="41"/>
  <c r="AI25" i="41"/>
  <c r="AJ25" i="41"/>
  <c r="AK25" i="41"/>
  <c r="AH26" i="41"/>
  <c r="AI26" i="41"/>
  <c r="AJ26" i="41"/>
  <c r="AK26" i="41"/>
  <c r="AH27" i="41"/>
  <c r="AI27" i="41"/>
  <c r="AJ27" i="41"/>
  <c r="AK27" i="41"/>
  <c r="AH28" i="41"/>
  <c r="AI28" i="41"/>
  <c r="AJ28" i="41"/>
  <c r="AK28" i="41"/>
  <c r="AH29" i="41"/>
  <c r="AI29" i="41"/>
  <c r="AJ29" i="41"/>
  <c r="AK29" i="41"/>
  <c r="AH30" i="41"/>
  <c r="AI30" i="41"/>
  <c r="AJ30" i="41"/>
  <c r="AK30" i="41"/>
  <c r="AH31" i="41"/>
  <c r="AI31" i="41"/>
  <c r="AJ31" i="41"/>
  <c r="AK31" i="41"/>
  <c r="AH32" i="41"/>
  <c r="AI32" i="41"/>
  <c r="AJ32" i="41"/>
  <c r="AK32" i="41"/>
  <c r="AH33" i="41"/>
  <c r="AI33" i="41"/>
  <c r="AJ33" i="41"/>
  <c r="AK33" i="41"/>
  <c r="AH34" i="41"/>
  <c r="AI34" i="41"/>
  <c r="AJ34" i="41"/>
  <c r="AK34" i="41"/>
  <c r="AH35" i="41"/>
  <c r="AI35" i="41"/>
  <c r="AJ35" i="41"/>
  <c r="AK35" i="41"/>
  <c r="AH36" i="41"/>
  <c r="AI36" i="41"/>
  <c r="AJ36" i="41"/>
  <c r="AK36" i="41"/>
  <c r="AH37" i="41"/>
  <c r="AI37" i="41"/>
  <c r="AJ37" i="41"/>
  <c r="AK37" i="41"/>
  <c r="AH38" i="41"/>
  <c r="AI38" i="41"/>
  <c r="AJ38" i="41"/>
  <c r="AK38" i="41"/>
  <c r="AH39" i="41"/>
  <c r="AI39" i="41"/>
  <c r="AJ39" i="41"/>
  <c r="AK39" i="41"/>
  <c r="AH40" i="41"/>
  <c r="AI40" i="41"/>
  <c r="AJ40" i="41"/>
  <c r="AK40" i="41"/>
  <c r="AH41" i="41"/>
  <c r="AI41" i="41"/>
  <c r="AJ41" i="41"/>
  <c r="AK41" i="41"/>
  <c r="AH42" i="41"/>
  <c r="AI42" i="41"/>
  <c r="AJ42" i="41"/>
  <c r="AK42" i="41"/>
  <c r="AH43" i="41"/>
  <c r="AI43" i="41"/>
  <c r="AJ43" i="41"/>
  <c r="AK43" i="41"/>
  <c r="AH44" i="41"/>
  <c r="AI44" i="41"/>
  <c r="AJ44" i="41"/>
  <c r="AK44" i="41"/>
  <c r="AH45" i="41"/>
  <c r="AI45" i="41"/>
  <c r="AJ45" i="41"/>
  <c r="AK45" i="41"/>
  <c r="AH46" i="41"/>
  <c r="AI46" i="41"/>
  <c r="AJ46" i="41"/>
  <c r="AK46" i="41"/>
  <c r="AH47" i="41"/>
  <c r="AI47" i="41"/>
  <c r="AJ47" i="41"/>
  <c r="AK47" i="41"/>
  <c r="AH48" i="41"/>
  <c r="AI48" i="41"/>
  <c r="AJ48" i="41"/>
  <c r="AK48" i="41"/>
  <c r="AH49" i="41"/>
  <c r="AI49" i="41"/>
  <c r="AJ49" i="41"/>
  <c r="AK49" i="41"/>
  <c r="AH50" i="41"/>
  <c r="AI50" i="41"/>
  <c r="AJ50" i="41"/>
  <c r="AK50" i="41"/>
  <c r="AH51" i="41"/>
  <c r="AI51" i="41"/>
  <c r="AJ51" i="41"/>
  <c r="AK51" i="41"/>
  <c r="AH52" i="41"/>
  <c r="AI52" i="41"/>
  <c r="AJ52" i="41"/>
  <c r="AK52" i="41"/>
  <c r="AH53" i="41"/>
  <c r="AI53" i="41"/>
  <c r="AJ53" i="41"/>
  <c r="AK53" i="41"/>
  <c r="AH54" i="41"/>
  <c r="AI54" i="41"/>
  <c r="AJ54" i="41"/>
  <c r="AK54" i="41"/>
  <c r="AH55" i="41"/>
  <c r="AI55" i="41"/>
  <c r="AJ55" i="41"/>
  <c r="AK55" i="41"/>
  <c r="AH56" i="41"/>
  <c r="AI56" i="41"/>
  <c r="AJ56" i="41"/>
  <c r="AK56" i="41"/>
  <c r="AH57" i="41"/>
  <c r="AI57" i="41"/>
  <c r="AJ57" i="41"/>
  <c r="AK57" i="41"/>
  <c r="AH58" i="41"/>
  <c r="AI58" i="41"/>
  <c r="AJ58" i="41"/>
  <c r="AK58" i="41"/>
  <c r="AH59" i="41"/>
  <c r="AI59" i="41"/>
  <c r="AJ59" i="41"/>
  <c r="AK59" i="41"/>
  <c r="AH60" i="41"/>
  <c r="AI60" i="41"/>
  <c r="AJ60" i="41"/>
  <c r="AK60" i="41"/>
  <c r="AH61" i="41"/>
  <c r="AI61" i="41"/>
  <c r="AJ61" i="41"/>
  <c r="AK61" i="41"/>
  <c r="AH62" i="41"/>
  <c r="AI62" i="41"/>
  <c r="AJ62" i="41"/>
  <c r="AK62" i="41"/>
  <c r="AH63" i="41"/>
  <c r="AI63" i="41"/>
  <c r="AJ63" i="41"/>
  <c r="AK63" i="41"/>
  <c r="AH64" i="41"/>
  <c r="AI64" i="41"/>
  <c r="AJ64" i="41"/>
  <c r="AK64" i="41"/>
  <c r="AH65" i="41"/>
  <c r="AI65" i="41"/>
  <c r="AJ65" i="41"/>
  <c r="AK65" i="41"/>
  <c r="AH66" i="41"/>
  <c r="AI66" i="41"/>
  <c r="AJ66" i="41"/>
  <c r="AK66" i="41"/>
  <c r="AH67" i="41"/>
  <c r="AI67" i="41"/>
  <c r="AJ67" i="41"/>
  <c r="AK67" i="41"/>
  <c r="AH68" i="41"/>
  <c r="AI68" i="41"/>
  <c r="AJ68" i="41"/>
  <c r="AK68" i="41"/>
  <c r="AH69" i="41"/>
  <c r="AI69" i="41"/>
  <c r="AJ69" i="41"/>
  <c r="AK69" i="41"/>
  <c r="AH70" i="41"/>
  <c r="AI70" i="41"/>
  <c r="AJ70" i="41"/>
  <c r="AK70" i="41"/>
  <c r="AH71" i="41"/>
  <c r="AI71" i="41"/>
  <c r="AJ71" i="41"/>
  <c r="AK71" i="41"/>
  <c r="AH72" i="41"/>
  <c r="AI72" i="41"/>
  <c r="AJ72" i="41"/>
  <c r="AK72" i="41"/>
  <c r="AH73" i="41"/>
  <c r="AI73" i="41"/>
  <c r="AJ73" i="41"/>
  <c r="AK73" i="41"/>
  <c r="AH74" i="41"/>
  <c r="AI74" i="41"/>
  <c r="AJ74" i="41"/>
  <c r="AK74" i="41"/>
  <c r="AH75" i="41"/>
  <c r="AI75" i="41"/>
  <c r="AJ75" i="41"/>
  <c r="AK75" i="41"/>
  <c r="AH76" i="41"/>
  <c r="AI76" i="41"/>
  <c r="AJ76" i="41"/>
  <c r="AK76" i="41"/>
  <c r="AE3" i="41"/>
  <c r="AE90" i="41" s="1"/>
  <c r="AF3" i="41"/>
  <c r="AD4" i="41"/>
  <c r="AE4" i="41"/>
  <c r="AF4" i="41"/>
  <c r="AG4" i="41"/>
  <c r="AD5" i="41"/>
  <c r="AE5" i="41"/>
  <c r="AF5" i="41"/>
  <c r="AG5" i="41"/>
  <c r="AD6" i="41"/>
  <c r="AE6" i="41"/>
  <c r="AF6" i="41"/>
  <c r="AG6" i="41"/>
  <c r="AD7" i="41"/>
  <c r="AE7" i="41"/>
  <c r="AF7" i="41"/>
  <c r="AG7" i="41"/>
  <c r="AD8" i="41"/>
  <c r="AE8" i="41"/>
  <c r="AF8" i="41"/>
  <c r="AG8" i="41"/>
  <c r="AD9" i="41"/>
  <c r="AE9" i="41"/>
  <c r="AF9" i="41"/>
  <c r="AG9" i="41"/>
  <c r="AD10" i="41"/>
  <c r="AE10" i="41"/>
  <c r="AF10" i="41"/>
  <c r="AG10" i="41"/>
  <c r="AD11" i="41"/>
  <c r="AE11" i="41"/>
  <c r="AF11" i="41"/>
  <c r="AG11" i="41"/>
  <c r="AD12" i="41"/>
  <c r="AE12" i="41"/>
  <c r="AF12" i="41"/>
  <c r="AG12" i="41"/>
  <c r="AD13" i="41"/>
  <c r="AE13" i="41"/>
  <c r="AF13" i="41"/>
  <c r="AG13" i="41"/>
  <c r="AD14" i="41"/>
  <c r="AE14" i="41"/>
  <c r="AF14" i="41"/>
  <c r="AG14" i="41"/>
  <c r="AD15" i="41"/>
  <c r="AE15" i="41"/>
  <c r="AF15" i="41"/>
  <c r="AG15" i="41"/>
  <c r="AD16" i="41"/>
  <c r="AE16" i="41"/>
  <c r="AF16" i="41"/>
  <c r="AG16" i="41"/>
  <c r="AD17" i="41"/>
  <c r="AE17" i="41"/>
  <c r="AF17" i="41"/>
  <c r="AG17" i="41"/>
  <c r="AD18" i="41"/>
  <c r="AE18" i="41"/>
  <c r="AF18" i="41"/>
  <c r="AG18" i="41"/>
  <c r="AD19" i="41"/>
  <c r="AE19" i="41"/>
  <c r="AF19" i="41"/>
  <c r="AG19" i="41"/>
  <c r="AD20" i="41"/>
  <c r="AE20" i="41"/>
  <c r="AF20" i="41"/>
  <c r="AG20" i="41"/>
  <c r="AD21" i="41"/>
  <c r="AE21" i="41"/>
  <c r="AF21" i="41"/>
  <c r="AG21" i="41"/>
  <c r="AD22" i="41"/>
  <c r="AE22" i="41"/>
  <c r="AF22" i="41"/>
  <c r="AG22" i="41"/>
  <c r="AD23" i="41"/>
  <c r="AE23" i="41"/>
  <c r="AF23" i="41"/>
  <c r="AG23" i="41"/>
  <c r="AD24" i="41"/>
  <c r="AE24" i="41"/>
  <c r="AF24" i="41"/>
  <c r="AG24" i="41"/>
  <c r="AD25" i="41"/>
  <c r="AE25" i="41"/>
  <c r="AF25" i="41"/>
  <c r="AG25" i="41"/>
  <c r="AD26" i="41"/>
  <c r="AE26" i="41"/>
  <c r="AF26" i="41"/>
  <c r="AG26" i="41"/>
  <c r="AD27" i="41"/>
  <c r="AE27" i="41"/>
  <c r="AF27" i="41"/>
  <c r="AG27" i="41"/>
  <c r="AD28" i="41"/>
  <c r="AE28" i="41"/>
  <c r="AF28" i="41"/>
  <c r="AG28" i="41"/>
  <c r="AD29" i="41"/>
  <c r="AE29" i="41"/>
  <c r="AF29" i="41"/>
  <c r="AG29" i="41"/>
  <c r="AD30" i="41"/>
  <c r="AE30" i="41"/>
  <c r="AF30" i="41"/>
  <c r="AG30" i="41"/>
  <c r="AD31" i="41"/>
  <c r="AE31" i="41"/>
  <c r="AF31" i="41"/>
  <c r="AG31" i="41"/>
  <c r="AD32" i="41"/>
  <c r="AE32" i="41"/>
  <c r="AF32" i="41"/>
  <c r="AG32" i="41"/>
  <c r="AD33" i="41"/>
  <c r="AE33" i="41"/>
  <c r="AF33" i="41"/>
  <c r="AG33" i="41"/>
  <c r="AD34" i="41"/>
  <c r="AE34" i="41"/>
  <c r="AF34" i="41"/>
  <c r="AG34" i="41"/>
  <c r="AD35" i="41"/>
  <c r="AE35" i="41"/>
  <c r="AF35" i="41"/>
  <c r="AG35" i="41"/>
  <c r="AD36" i="41"/>
  <c r="AE36" i="41"/>
  <c r="AF36" i="41"/>
  <c r="AG36" i="41"/>
  <c r="AD37" i="41"/>
  <c r="AE37" i="41"/>
  <c r="AF37" i="41"/>
  <c r="AG37" i="41"/>
  <c r="AD38" i="41"/>
  <c r="AE38" i="41"/>
  <c r="AF38" i="41"/>
  <c r="AG38" i="41"/>
  <c r="AD39" i="41"/>
  <c r="AE39" i="41"/>
  <c r="AF39" i="41"/>
  <c r="AG39" i="41"/>
  <c r="AD40" i="41"/>
  <c r="AE40" i="41"/>
  <c r="AF40" i="41"/>
  <c r="AG40" i="41"/>
  <c r="AD41" i="41"/>
  <c r="AE41" i="41"/>
  <c r="AF41" i="41"/>
  <c r="AG41" i="41"/>
  <c r="AD42" i="41"/>
  <c r="AE42" i="41"/>
  <c r="AF42" i="41"/>
  <c r="AG42" i="41"/>
  <c r="AD43" i="41"/>
  <c r="AE43" i="41"/>
  <c r="AF43" i="41"/>
  <c r="AG43" i="41"/>
  <c r="AD44" i="41"/>
  <c r="AE44" i="41"/>
  <c r="AF44" i="41"/>
  <c r="AG44" i="41"/>
  <c r="AD45" i="41"/>
  <c r="AE45" i="41"/>
  <c r="AF45" i="41"/>
  <c r="AG45" i="41"/>
  <c r="AD46" i="41"/>
  <c r="AE46" i="41"/>
  <c r="AF46" i="41"/>
  <c r="AG46" i="41"/>
  <c r="AD47" i="41"/>
  <c r="AE47" i="41"/>
  <c r="AF47" i="41"/>
  <c r="AG47" i="41"/>
  <c r="AD48" i="41"/>
  <c r="AE48" i="41"/>
  <c r="AF48" i="41"/>
  <c r="AG48" i="41"/>
  <c r="AD49" i="41"/>
  <c r="AE49" i="41"/>
  <c r="AF49" i="41"/>
  <c r="AG49" i="41"/>
  <c r="AD50" i="41"/>
  <c r="AE50" i="41"/>
  <c r="AF50" i="41"/>
  <c r="AG50" i="41"/>
  <c r="AD51" i="41"/>
  <c r="AE51" i="41"/>
  <c r="AF51" i="41"/>
  <c r="AG51" i="41"/>
  <c r="AD52" i="41"/>
  <c r="AE52" i="41"/>
  <c r="AF52" i="41"/>
  <c r="AG52" i="41"/>
  <c r="AD53" i="41"/>
  <c r="AE53" i="41"/>
  <c r="AF53" i="41"/>
  <c r="AG53" i="41"/>
  <c r="AD54" i="41"/>
  <c r="AE54" i="41"/>
  <c r="AF54" i="41"/>
  <c r="AG54" i="41"/>
  <c r="AD55" i="41"/>
  <c r="AE55" i="41"/>
  <c r="AF55" i="41"/>
  <c r="AG55" i="41"/>
  <c r="AD56" i="41"/>
  <c r="AE56" i="41"/>
  <c r="AF56" i="41"/>
  <c r="AG56" i="41"/>
  <c r="AD57" i="41"/>
  <c r="AE57" i="41"/>
  <c r="AF57" i="41"/>
  <c r="AG57" i="41"/>
  <c r="AD58" i="41"/>
  <c r="AE58" i="41"/>
  <c r="AF58" i="41"/>
  <c r="AG58" i="41"/>
  <c r="AD59" i="41"/>
  <c r="AE59" i="41"/>
  <c r="AF59" i="41"/>
  <c r="AG59" i="41"/>
  <c r="AD60" i="41"/>
  <c r="AE60" i="41"/>
  <c r="AF60" i="41"/>
  <c r="AG60" i="41"/>
  <c r="AD61" i="41"/>
  <c r="AE61" i="41"/>
  <c r="AF61" i="41"/>
  <c r="AG61" i="41"/>
  <c r="AD62" i="41"/>
  <c r="AE62" i="41"/>
  <c r="AF62" i="41"/>
  <c r="AG62" i="41"/>
  <c r="AD63" i="41"/>
  <c r="AE63" i="41"/>
  <c r="AF63" i="41"/>
  <c r="AG63" i="41"/>
  <c r="AD64" i="41"/>
  <c r="AE64" i="41"/>
  <c r="AF64" i="41"/>
  <c r="AG64" i="41"/>
  <c r="AD65" i="41"/>
  <c r="AE65" i="41"/>
  <c r="AF65" i="41"/>
  <c r="AG65" i="41"/>
  <c r="AD66" i="41"/>
  <c r="AE66" i="41"/>
  <c r="AF66" i="41"/>
  <c r="AG66" i="41"/>
  <c r="AD67" i="41"/>
  <c r="AE67" i="41"/>
  <c r="AF67" i="41"/>
  <c r="AG67" i="41"/>
  <c r="AD68" i="41"/>
  <c r="AE68" i="41"/>
  <c r="AF68" i="41"/>
  <c r="AG68" i="41"/>
  <c r="AD69" i="41"/>
  <c r="AE69" i="41"/>
  <c r="AF69" i="41"/>
  <c r="AG69" i="41"/>
  <c r="AD70" i="41"/>
  <c r="AE70" i="41"/>
  <c r="AF70" i="41"/>
  <c r="AG70" i="41"/>
  <c r="AD71" i="41"/>
  <c r="AE71" i="41"/>
  <c r="AF71" i="41"/>
  <c r="AG71" i="41"/>
  <c r="AD72" i="41"/>
  <c r="AE72" i="41"/>
  <c r="AF72" i="41"/>
  <c r="AG72" i="41"/>
  <c r="AD73" i="41"/>
  <c r="AE73" i="41"/>
  <c r="AF73" i="41"/>
  <c r="AG73" i="41"/>
  <c r="AD74" i="41"/>
  <c r="AE74" i="41"/>
  <c r="AF74" i="41"/>
  <c r="AG74" i="41"/>
  <c r="AD75" i="41"/>
  <c r="AE75" i="41"/>
  <c r="AF75" i="41"/>
  <c r="AG75" i="41"/>
  <c r="AD76" i="41"/>
  <c r="AE76" i="41"/>
  <c r="AF76" i="41"/>
  <c r="AG76" i="41"/>
  <c r="V3" i="41"/>
  <c r="AD90" i="41" l="1"/>
  <c r="AF97" i="41"/>
  <c r="AF96" i="41"/>
  <c r="AF95" i="41"/>
  <c r="AF93" i="41"/>
  <c r="AF92" i="41"/>
  <c r="AF91" i="41"/>
  <c r="AH99" i="41"/>
  <c r="AH96" i="41"/>
  <c r="AH94" i="41"/>
  <c r="AH93" i="41"/>
  <c r="AH92" i="41"/>
  <c r="AH81" i="41"/>
  <c r="AH91" i="41"/>
  <c r="AH80" i="41"/>
  <c r="AH101" i="41"/>
  <c r="AH79" i="41"/>
  <c r="AH90" i="41"/>
  <c r="AE99" i="41"/>
  <c r="AE98" i="41"/>
  <c r="AE97" i="41"/>
  <c r="AE96" i="41"/>
  <c r="AE94" i="41"/>
  <c r="AD98" i="41"/>
  <c r="AD97" i="41"/>
  <c r="AG99" i="41"/>
  <c r="AG98" i="41"/>
  <c r="AG97" i="41"/>
  <c r="AG96" i="41"/>
  <c r="AG95" i="41"/>
  <c r="AG94" i="41"/>
  <c r="AG93" i="41"/>
  <c r="AG92" i="41"/>
  <c r="AG91" i="41"/>
  <c r="AG90" i="41"/>
  <c r="AF90" i="41"/>
  <c r="AI99" i="41"/>
  <c r="AI98" i="41"/>
  <c r="AI97" i="41"/>
  <c r="AI96" i="41"/>
  <c r="AI95" i="41"/>
  <c r="AI94" i="41"/>
  <c r="AI93" i="41"/>
  <c r="AI92" i="41"/>
  <c r="AI91" i="41"/>
  <c r="AI90" i="41"/>
  <c r="AF99" i="41"/>
  <c r="AF98" i="41"/>
  <c r="AF94" i="41"/>
  <c r="AE93" i="41"/>
  <c r="AE91" i="41"/>
  <c r="AK98" i="41"/>
  <c r="AK97" i="41"/>
  <c r="AK96" i="41"/>
  <c r="AK95" i="41"/>
  <c r="AK94" i="41"/>
  <c r="AK93" i="41"/>
  <c r="AK92" i="41"/>
  <c r="AK91" i="41"/>
  <c r="AK90" i="41"/>
  <c r="AH98" i="41"/>
  <c r="AH97" i="41"/>
  <c r="AH95" i="41"/>
  <c r="AE95" i="41"/>
  <c r="AE92" i="41"/>
  <c r="AK99" i="41"/>
  <c r="AD99" i="41"/>
  <c r="AD96" i="41"/>
  <c r="AD95" i="41"/>
  <c r="AD94" i="41"/>
  <c r="AD93" i="41"/>
  <c r="AD92" i="41"/>
  <c r="AD91" i="41"/>
  <c r="AJ99" i="41"/>
  <c r="AJ98" i="41"/>
  <c r="AJ97" i="41"/>
  <c r="AJ96" i="41"/>
  <c r="AJ95" i="41"/>
  <c r="AJ94" i="41"/>
  <c r="AJ93" i="41"/>
  <c r="AJ92" i="41"/>
  <c r="AJ91" i="41"/>
  <c r="AJ90" i="41"/>
  <c r="AD88" i="41"/>
  <c r="AD87" i="41"/>
  <c r="AG88" i="41"/>
  <c r="AG87" i="41"/>
  <c r="AG86" i="41"/>
  <c r="AG85" i="41"/>
  <c r="AG84" i="41"/>
  <c r="AG106" i="41"/>
  <c r="AG83" i="41"/>
  <c r="AG82" i="41"/>
  <c r="AG81" i="41"/>
  <c r="AG104" i="41"/>
  <c r="AG103" i="41"/>
  <c r="AG80" i="41"/>
  <c r="AG102" i="41"/>
  <c r="AG79" i="41"/>
  <c r="AG101" i="41"/>
  <c r="AJ88" i="41"/>
  <c r="AJ87" i="41"/>
  <c r="AJ86" i="41"/>
  <c r="AJ85" i="41"/>
  <c r="AJ84" i="41"/>
  <c r="AJ106" i="41"/>
  <c r="AJ83" i="41"/>
  <c r="AJ82" i="41"/>
  <c r="AJ81" i="41"/>
  <c r="AJ103" i="41"/>
  <c r="AJ80" i="41"/>
  <c r="AJ104" i="41"/>
  <c r="AJ102" i="41"/>
  <c r="AJ79" i="41"/>
  <c r="AJ101" i="41"/>
  <c r="AF88" i="41"/>
  <c r="AF87" i="41"/>
  <c r="AF85" i="41"/>
  <c r="AF84" i="41"/>
  <c r="AF106" i="41"/>
  <c r="AF83" i="41"/>
  <c r="AF82" i="41"/>
  <c r="AF81" i="41"/>
  <c r="AF103" i="41"/>
  <c r="AF80" i="41"/>
  <c r="AF104" i="41"/>
  <c r="AF102" i="41"/>
  <c r="AF79" i="41"/>
  <c r="AF101" i="41"/>
  <c r="AI88" i="41"/>
  <c r="AI87" i="41"/>
  <c r="AI86" i="41"/>
  <c r="AI85" i="41"/>
  <c r="AI106" i="41"/>
  <c r="AI84" i="41"/>
  <c r="AI83" i="41"/>
  <c r="AI82" i="41"/>
  <c r="AI81" i="41"/>
  <c r="AI104" i="41"/>
  <c r="AI103" i="41"/>
  <c r="AI80" i="41"/>
  <c r="AI102" i="41"/>
  <c r="AI79" i="41"/>
  <c r="AI101" i="41"/>
  <c r="AF86" i="41"/>
  <c r="AE88" i="41"/>
  <c r="AE87" i="41"/>
  <c r="AE86" i="41"/>
  <c r="AE85" i="41"/>
  <c r="AE106" i="41"/>
  <c r="AE84" i="41"/>
  <c r="AE83" i="41"/>
  <c r="AE82" i="41"/>
  <c r="AE81" i="41"/>
  <c r="AE104" i="41"/>
  <c r="AE103" i="41"/>
  <c r="AE80" i="41"/>
  <c r="AE102" i="41"/>
  <c r="AE79" i="41"/>
  <c r="AE101" i="41"/>
  <c r="AH88" i="41"/>
  <c r="AH87" i="41"/>
  <c r="AH86" i="41"/>
  <c r="AH85" i="41"/>
  <c r="AH106" i="41"/>
  <c r="AH84" i="41"/>
  <c r="AH104" i="41"/>
  <c r="AH83" i="41"/>
  <c r="AH82" i="41"/>
  <c r="AH103" i="41"/>
  <c r="AH102" i="41"/>
  <c r="AD86" i="41"/>
  <c r="AD85" i="41"/>
  <c r="AD106" i="41"/>
  <c r="AD84" i="41"/>
  <c r="AD83" i="41"/>
  <c r="AD82" i="41"/>
  <c r="AD102" i="41"/>
  <c r="AD81" i="41"/>
  <c r="AD101" i="41"/>
  <c r="AD104" i="41"/>
  <c r="AD103" i="41"/>
  <c r="AD80" i="41"/>
  <c r="AD79" i="41"/>
  <c r="AK88" i="41"/>
  <c r="AK87" i="41"/>
  <c r="AK86" i="41"/>
  <c r="AK85" i="41"/>
  <c r="AK84" i="41"/>
  <c r="AK106" i="41"/>
  <c r="AK83" i="41"/>
  <c r="AK82" i="41"/>
  <c r="AK81" i="41"/>
  <c r="AK104" i="41"/>
  <c r="AK103" i="41"/>
  <c r="AK80" i="41"/>
  <c r="AK102" i="41"/>
  <c r="AK79" i="41"/>
  <c r="AK101" i="41"/>
  <c r="AA34" i="41"/>
  <c r="AA7" i="41"/>
  <c r="AA6" i="41"/>
  <c r="C88" i="41"/>
  <c r="C87" i="41"/>
  <c r="C86" i="41"/>
  <c r="C85" i="41"/>
  <c r="C84" i="41"/>
  <c r="C83" i="41"/>
  <c r="C82" i="41"/>
  <c r="C81" i="41"/>
  <c r="C80" i="41"/>
  <c r="C79" i="41"/>
  <c r="AC76" i="41"/>
  <c r="AB76" i="41"/>
  <c r="AA76" i="41"/>
  <c r="Z76" i="41"/>
  <c r="Y76" i="41"/>
  <c r="X76" i="41"/>
  <c r="W76" i="41"/>
  <c r="V76" i="41"/>
  <c r="AC75" i="41"/>
  <c r="AB75" i="41"/>
  <c r="AA75" i="41"/>
  <c r="Z75" i="41"/>
  <c r="Y75" i="41"/>
  <c r="X75" i="41"/>
  <c r="W75" i="41"/>
  <c r="V75" i="41"/>
  <c r="AC74" i="41"/>
  <c r="AB74" i="41"/>
  <c r="AA74" i="41"/>
  <c r="Z74" i="41"/>
  <c r="Y74" i="41"/>
  <c r="X74" i="41"/>
  <c r="W74" i="41"/>
  <c r="V74" i="41"/>
  <c r="AC73" i="41"/>
  <c r="AB73" i="41"/>
  <c r="AA73" i="41"/>
  <c r="Z73" i="41"/>
  <c r="Y73" i="41"/>
  <c r="X73" i="41"/>
  <c r="W73" i="41"/>
  <c r="V73" i="41"/>
  <c r="AC72" i="41"/>
  <c r="AB72" i="41"/>
  <c r="AA72" i="41"/>
  <c r="Z72" i="41"/>
  <c r="Y72" i="41"/>
  <c r="X72" i="41"/>
  <c r="W72" i="41"/>
  <c r="V72" i="41"/>
  <c r="AC71" i="41"/>
  <c r="AB71" i="41"/>
  <c r="AA71" i="41"/>
  <c r="Z71" i="41"/>
  <c r="Y71" i="41"/>
  <c r="X71" i="41"/>
  <c r="W71" i="41"/>
  <c r="V71" i="41"/>
  <c r="AC70" i="41"/>
  <c r="AB70" i="41"/>
  <c r="AA70" i="41"/>
  <c r="Z70" i="41"/>
  <c r="Y70" i="41"/>
  <c r="X70" i="41"/>
  <c r="W70" i="41"/>
  <c r="V70" i="41"/>
  <c r="V99" i="41" s="1"/>
  <c r="AC69" i="41"/>
  <c r="AB69" i="41"/>
  <c r="AA69" i="41"/>
  <c r="Z69" i="41"/>
  <c r="Y69" i="41"/>
  <c r="X69" i="41"/>
  <c r="W69" i="41"/>
  <c r="V69" i="41"/>
  <c r="AC68" i="41"/>
  <c r="AB68" i="41"/>
  <c r="AA68" i="41"/>
  <c r="Z68" i="41"/>
  <c r="Y68" i="41"/>
  <c r="X68" i="41"/>
  <c r="W68" i="41"/>
  <c r="V68" i="41"/>
  <c r="AC67" i="41"/>
  <c r="AB67" i="41"/>
  <c r="AA67" i="41"/>
  <c r="Z67" i="41"/>
  <c r="Y67" i="41"/>
  <c r="X67" i="41"/>
  <c r="W67" i="41"/>
  <c r="V67" i="41"/>
  <c r="AC66" i="41"/>
  <c r="AB66" i="41"/>
  <c r="AA66" i="41"/>
  <c r="Z66" i="41"/>
  <c r="Y66" i="41"/>
  <c r="X66" i="41"/>
  <c r="W66" i="41"/>
  <c r="V66" i="41"/>
  <c r="AC65" i="41"/>
  <c r="AB65" i="41"/>
  <c r="AA65" i="41"/>
  <c r="Z65" i="41"/>
  <c r="Y65" i="41"/>
  <c r="X65" i="41"/>
  <c r="W65" i="41"/>
  <c r="V65" i="41"/>
  <c r="AC64" i="41"/>
  <c r="AB64" i="41"/>
  <c r="AA64" i="41"/>
  <c r="Z64" i="41"/>
  <c r="Y64" i="41"/>
  <c r="X64" i="41"/>
  <c r="W64" i="41"/>
  <c r="V64" i="41"/>
  <c r="AC63" i="41"/>
  <c r="AB63" i="41"/>
  <c r="AA63" i="41"/>
  <c r="Z63" i="41"/>
  <c r="Y63" i="41"/>
  <c r="X63" i="41"/>
  <c r="W63" i="41"/>
  <c r="V63" i="41"/>
  <c r="AC62" i="41"/>
  <c r="AB62" i="41"/>
  <c r="AA62" i="41"/>
  <c r="Z62" i="41"/>
  <c r="Y62" i="41"/>
  <c r="X62" i="41"/>
  <c r="W62" i="41"/>
  <c r="V62" i="41"/>
  <c r="AC61" i="41"/>
  <c r="AB61" i="41"/>
  <c r="AA61" i="41"/>
  <c r="Z61" i="41"/>
  <c r="Y61" i="41"/>
  <c r="X61" i="41"/>
  <c r="W61" i="41"/>
  <c r="V61" i="41"/>
  <c r="AC60" i="41"/>
  <c r="AB60" i="41"/>
  <c r="AA60" i="41"/>
  <c r="Z60" i="41"/>
  <c r="Y60" i="41"/>
  <c r="X60" i="41"/>
  <c r="W60" i="41"/>
  <c r="V60" i="41"/>
  <c r="AC59" i="41"/>
  <c r="AB59" i="41"/>
  <c r="AA59" i="41"/>
  <c r="Z59" i="41"/>
  <c r="Y59" i="41"/>
  <c r="X59" i="41"/>
  <c r="W59" i="41"/>
  <c r="V59" i="41"/>
  <c r="AC58" i="41"/>
  <c r="AC97" i="41" s="1"/>
  <c r="AB58" i="41"/>
  <c r="AA58" i="41"/>
  <c r="Z58" i="41"/>
  <c r="Y58" i="41"/>
  <c r="X58" i="41"/>
  <c r="W58" i="41"/>
  <c r="V58" i="41"/>
  <c r="AC57" i="41"/>
  <c r="AB57" i="41"/>
  <c r="AA57" i="41"/>
  <c r="Z57" i="41"/>
  <c r="Y57" i="41"/>
  <c r="X57" i="41"/>
  <c r="W57" i="41"/>
  <c r="V57" i="41"/>
  <c r="AC56" i="41"/>
  <c r="AB56" i="41"/>
  <c r="AA56" i="41"/>
  <c r="Z56" i="41"/>
  <c r="Y56" i="41"/>
  <c r="X56" i="41"/>
  <c r="W56" i="41"/>
  <c r="V56" i="41"/>
  <c r="AC55" i="41"/>
  <c r="AB55" i="41"/>
  <c r="AA55" i="41"/>
  <c r="Z55" i="41"/>
  <c r="Y55" i="41"/>
  <c r="X55" i="41"/>
  <c r="W55" i="41"/>
  <c r="V55" i="41"/>
  <c r="AC54" i="41"/>
  <c r="AB54" i="41"/>
  <c r="AA54" i="41"/>
  <c r="Z54" i="41"/>
  <c r="Y54" i="41"/>
  <c r="X54" i="41"/>
  <c r="W54" i="41"/>
  <c r="V54" i="41"/>
  <c r="AC53" i="41"/>
  <c r="AB53" i="41"/>
  <c r="AA53" i="41"/>
  <c r="Z53" i="41"/>
  <c r="Y53" i="41"/>
  <c r="X53" i="41"/>
  <c r="W53" i="41"/>
  <c r="V53" i="41"/>
  <c r="AC52" i="41"/>
  <c r="AB52" i="41"/>
  <c r="AA52" i="41"/>
  <c r="Z52" i="41"/>
  <c r="Y52" i="41"/>
  <c r="X52" i="41"/>
  <c r="W52" i="41"/>
  <c r="V52" i="41"/>
  <c r="AC51" i="41"/>
  <c r="AB51" i="41"/>
  <c r="AA51" i="41"/>
  <c r="Z51" i="41"/>
  <c r="Y51" i="41"/>
  <c r="X51" i="41"/>
  <c r="W51" i="41"/>
  <c r="V51" i="41"/>
  <c r="AC50" i="41"/>
  <c r="AB50" i="41"/>
  <c r="AA50" i="41"/>
  <c r="Z50" i="41"/>
  <c r="Y50" i="41"/>
  <c r="X50" i="41"/>
  <c r="W50" i="41"/>
  <c r="V50" i="41"/>
  <c r="AC49" i="41"/>
  <c r="AB49" i="41"/>
  <c r="AA49" i="41"/>
  <c r="Z49" i="41"/>
  <c r="Y49" i="41"/>
  <c r="X49" i="41"/>
  <c r="W49" i="41"/>
  <c r="V49" i="41"/>
  <c r="AC48" i="41"/>
  <c r="AB48" i="41"/>
  <c r="AA48" i="41"/>
  <c r="Z48" i="41"/>
  <c r="Y48" i="41"/>
  <c r="X48" i="41"/>
  <c r="W48" i="41"/>
  <c r="V48" i="41"/>
  <c r="AC47" i="41"/>
  <c r="AB47" i="41"/>
  <c r="AA47" i="41"/>
  <c r="Z47" i="41"/>
  <c r="Y47" i="41"/>
  <c r="X47" i="41"/>
  <c r="W47" i="41"/>
  <c r="V47" i="41"/>
  <c r="AC46" i="41"/>
  <c r="AB46" i="41"/>
  <c r="AA46" i="41"/>
  <c r="Z46" i="41"/>
  <c r="Y46" i="41"/>
  <c r="X46" i="41"/>
  <c r="W46" i="41"/>
  <c r="V46" i="41"/>
  <c r="V95" i="41" s="1"/>
  <c r="AC45" i="41"/>
  <c r="AC95" i="41" s="1"/>
  <c r="AB45" i="41"/>
  <c r="AA45" i="41"/>
  <c r="Z45" i="41"/>
  <c r="Y45" i="41"/>
  <c r="X45" i="41"/>
  <c r="W45" i="41"/>
  <c r="AC44" i="41"/>
  <c r="AB44" i="41"/>
  <c r="AA44" i="41"/>
  <c r="Z44" i="41"/>
  <c r="Y44" i="41"/>
  <c r="X44" i="41"/>
  <c r="W44" i="41"/>
  <c r="V44" i="41"/>
  <c r="AC43" i="41"/>
  <c r="AB43" i="41"/>
  <c r="AA43" i="41"/>
  <c r="Z43" i="41"/>
  <c r="Y43" i="41"/>
  <c r="X43" i="41"/>
  <c r="W43" i="41"/>
  <c r="V43" i="41"/>
  <c r="AC42" i="41"/>
  <c r="AB42" i="41"/>
  <c r="AA42" i="41"/>
  <c r="Z42" i="41"/>
  <c r="Y42" i="41"/>
  <c r="X42" i="41"/>
  <c r="W42" i="41"/>
  <c r="V42" i="41"/>
  <c r="AC41" i="41"/>
  <c r="AB41" i="41"/>
  <c r="AA41" i="41"/>
  <c r="Z41" i="41"/>
  <c r="Y41" i="41"/>
  <c r="X41" i="41"/>
  <c r="W41" i="41"/>
  <c r="V41" i="41"/>
  <c r="AC40" i="41"/>
  <c r="AB40" i="41"/>
  <c r="AA40" i="41"/>
  <c r="Z40" i="41"/>
  <c r="Y40" i="41"/>
  <c r="X40" i="41"/>
  <c r="W40" i="41"/>
  <c r="V40" i="41"/>
  <c r="AC39" i="41"/>
  <c r="AB39" i="41"/>
  <c r="AA39" i="41"/>
  <c r="Z39" i="41"/>
  <c r="Y39" i="41"/>
  <c r="X39" i="41"/>
  <c r="W39" i="41"/>
  <c r="V39" i="41"/>
  <c r="AC38" i="41"/>
  <c r="AB38" i="41"/>
  <c r="AA38" i="41"/>
  <c r="Z38" i="41"/>
  <c r="Y38" i="41"/>
  <c r="X38" i="41"/>
  <c r="W38" i="41"/>
  <c r="V38" i="41"/>
  <c r="AC37" i="41"/>
  <c r="AB37" i="41"/>
  <c r="AA37" i="41"/>
  <c r="Z37" i="41"/>
  <c r="Y37" i="41"/>
  <c r="X37" i="41"/>
  <c r="W37" i="41"/>
  <c r="V37" i="41"/>
  <c r="AC36" i="41"/>
  <c r="AC94" i="41" s="1"/>
  <c r="AB36" i="41"/>
  <c r="AA36" i="41"/>
  <c r="Z36" i="41"/>
  <c r="Y36" i="41"/>
  <c r="X36" i="41"/>
  <c r="W36" i="41"/>
  <c r="V36" i="41"/>
  <c r="AC35" i="41"/>
  <c r="AB35" i="41"/>
  <c r="AA35" i="41"/>
  <c r="Z35" i="41"/>
  <c r="Y35" i="41"/>
  <c r="X35" i="41"/>
  <c r="W35" i="41"/>
  <c r="V35" i="41"/>
  <c r="AC34" i="41"/>
  <c r="AB34" i="41"/>
  <c r="Z34" i="41"/>
  <c r="Y34" i="41"/>
  <c r="X34" i="41"/>
  <c r="W34" i="41"/>
  <c r="V34" i="41"/>
  <c r="AC33" i="41"/>
  <c r="AB33" i="41"/>
  <c r="AA33" i="41"/>
  <c r="Z33" i="41"/>
  <c r="Y33" i="41"/>
  <c r="X33" i="41"/>
  <c r="W33" i="41"/>
  <c r="V33" i="41"/>
  <c r="AC32" i="41"/>
  <c r="AB32" i="41"/>
  <c r="AA32" i="41"/>
  <c r="Z32" i="41"/>
  <c r="Y32" i="41"/>
  <c r="X32" i="41"/>
  <c r="W32" i="41"/>
  <c r="V32" i="41"/>
  <c r="AC31" i="41"/>
  <c r="AB31" i="41"/>
  <c r="AA31" i="41"/>
  <c r="Z31" i="41"/>
  <c r="Y31" i="41"/>
  <c r="X31" i="41"/>
  <c r="W31" i="41"/>
  <c r="V31" i="41"/>
  <c r="AC30" i="41"/>
  <c r="AB30" i="41"/>
  <c r="AA30" i="41"/>
  <c r="Z30" i="41"/>
  <c r="Y30" i="41"/>
  <c r="X30" i="41"/>
  <c r="W30" i="41"/>
  <c r="V30" i="41"/>
  <c r="AC29" i="41"/>
  <c r="AB29" i="41"/>
  <c r="AA29" i="41"/>
  <c r="Z29" i="41"/>
  <c r="Y29" i="41"/>
  <c r="X29" i="41"/>
  <c r="W29" i="41"/>
  <c r="V29" i="41"/>
  <c r="AC28" i="41"/>
  <c r="AB28" i="41"/>
  <c r="AA28" i="41"/>
  <c r="Z28" i="41"/>
  <c r="Y28" i="41"/>
  <c r="X28" i="41"/>
  <c r="W28" i="41"/>
  <c r="V28" i="41"/>
  <c r="AC27" i="41"/>
  <c r="AB27" i="41"/>
  <c r="AA27" i="41"/>
  <c r="Z27" i="41"/>
  <c r="Y27" i="41"/>
  <c r="X27" i="41"/>
  <c r="W27" i="41"/>
  <c r="V27" i="41"/>
  <c r="AC26" i="41"/>
  <c r="AB26" i="41"/>
  <c r="AA26" i="41"/>
  <c r="Z26" i="41"/>
  <c r="Y26" i="41"/>
  <c r="X26" i="41"/>
  <c r="W26" i="41"/>
  <c r="V26" i="41"/>
  <c r="AC25" i="41"/>
  <c r="AB25" i="41"/>
  <c r="AA25" i="41"/>
  <c r="Z25" i="41"/>
  <c r="Y25" i="41"/>
  <c r="X25" i="41"/>
  <c r="W25" i="41"/>
  <c r="V25" i="41"/>
  <c r="AC24" i="41"/>
  <c r="AB24" i="41"/>
  <c r="AA24" i="41"/>
  <c r="Z24" i="41"/>
  <c r="Y24" i="41"/>
  <c r="X24" i="41"/>
  <c r="W24" i="41"/>
  <c r="V24" i="41"/>
  <c r="AC23" i="41"/>
  <c r="AB23" i="41"/>
  <c r="AA23" i="41"/>
  <c r="Z23" i="41"/>
  <c r="Y23" i="41"/>
  <c r="X23" i="41"/>
  <c r="W23" i="41"/>
  <c r="V23" i="41"/>
  <c r="AC22" i="41"/>
  <c r="AB22" i="41"/>
  <c r="AA22" i="41"/>
  <c r="Z22" i="41"/>
  <c r="Y22" i="41"/>
  <c r="X22" i="41"/>
  <c r="W22" i="41"/>
  <c r="V22" i="41"/>
  <c r="AC21" i="41"/>
  <c r="AB21" i="41"/>
  <c r="AA21" i="41"/>
  <c r="Z21" i="41"/>
  <c r="Y21" i="41"/>
  <c r="X21" i="41"/>
  <c r="W21" i="41"/>
  <c r="V21" i="41"/>
  <c r="AC20" i="41"/>
  <c r="AB20" i="41"/>
  <c r="AA20" i="41"/>
  <c r="Z20" i="41"/>
  <c r="Y20" i="41"/>
  <c r="X20" i="41"/>
  <c r="W20" i="41"/>
  <c r="V20" i="41"/>
  <c r="AC19" i="41"/>
  <c r="AB19" i="41"/>
  <c r="AA19" i="41"/>
  <c r="Z19" i="41"/>
  <c r="Y19" i="41"/>
  <c r="X19" i="41"/>
  <c r="W19" i="41"/>
  <c r="V19" i="41"/>
  <c r="AC18" i="41"/>
  <c r="AB18" i="41"/>
  <c r="AA18" i="41"/>
  <c r="Z18" i="41"/>
  <c r="Y18" i="41"/>
  <c r="X18" i="41"/>
  <c r="W18" i="41"/>
  <c r="V18" i="41"/>
  <c r="AC17" i="41"/>
  <c r="AB17" i="41"/>
  <c r="AA17" i="41"/>
  <c r="Z17" i="41"/>
  <c r="Y17" i="41"/>
  <c r="X17" i="41"/>
  <c r="W17" i="41"/>
  <c r="V17" i="41"/>
  <c r="AC16" i="41"/>
  <c r="AB16" i="41"/>
  <c r="AA16" i="41"/>
  <c r="Z16" i="41"/>
  <c r="Y16" i="41"/>
  <c r="X16" i="41"/>
  <c r="W16" i="41"/>
  <c r="V16" i="41"/>
  <c r="AC15" i="41"/>
  <c r="AB15" i="41"/>
  <c r="AA15" i="41"/>
  <c r="Z15" i="41"/>
  <c r="Y15" i="41"/>
  <c r="X15" i="41"/>
  <c r="W15" i="41"/>
  <c r="V15" i="41"/>
  <c r="AC14" i="41"/>
  <c r="AB14" i="41"/>
  <c r="AA14" i="41"/>
  <c r="Z14" i="41"/>
  <c r="Y14" i="41"/>
  <c r="X14" i="41"/>
  <c r="W14" i="41"/>
  <c r="V14" i="41"/>
  <c r="AC13" i="41"/>
  <c r="AB13" i="41"/>
  <c r="AA13" i="41"/>
  <c r="Z13" i="41"/>
  <c r="Y13" i="41"/>
  <c r="X13" i="41"/>
  <c r="W13" i="41"/>
  <c r="V13" i="41"/>
  <c r="AC12" i="41"/>
  <c r="AB12" i="41"/>
  <c r="AA12" i="41"/>
  <c r="Z12" i="41"/>
  <c r="Y12" i="41"/>
  <c r="X12" i="41"/>
  <c r="W12" i="41"/>
  <c r="V12" i="41"/>
  <c r="AC11" i="41"/>
  <c r="AB11" i="41"/>
  <c r="AA11" i="41"/>
  <c r="Z11" i="41"/>
  <c r="Y11" i="41"/>
  <c r="X11" i="41"/>
  <c r="W11" i="41"/>
  <c r="V11" i="41"/>
  <c r="AC10" i="41"/>
  <c r="AB10" i="41"/>
  <c r="AA10" i="41"/>
  <c r="Z10" i="41"/>
  <c r="Y10" i="41"/>
  <c r="X10" i="41"/>
  <c r="W10" i="41"/>
  <c r="V10" i="41"/>
  <c r="AC9" i="41"/>
  <c r="AB9" i="41"/>
  <c r="AA9" i="41"/>
  <c r="Z9" i="41"/>
  <c r="Y9" i="41"/>
  <c r="X9" i="41"/>
  <c r="W9" i="41"/>
  <c r="V9" i="41"/>
  <c r="AC8" i="41"/>
  <c r="AB8" i="41"/>
  <c r="AA8" i="41"/>
  <c r="Z8" i="41"/>
  <c r="Y8" i="41"/>
  <c r="X8" i="41"/>
  <c r="W8" i="41"/>
  <c r="V8" i="41"/>
  <c r="AC7" i="41"/>
  <c r="AB7" i="41"/>
  <c r="Z7" i="41"/>
  <c r="Y7" i="41"/>
  <c r="X7" i="41"/>
  <c r="W7" i="41"/>
  <c r="V7" i="41"/>
  <c r="AC6" i="41"/>
  <c r="AB6" i="41"/>
  <c r="Z6" i="41"/>
  <c r="Y6" i="41"/>
  <c r="X6" i="41"/>
  <c r="W6" i="41"/>
  <c r="V6" i="41"/>
  <c r="AC5" i="41"/>
  <c r="AB5" i="41"/>
  <c r="AA5" i="41"/>
  <c r="Z5" i="41"/>
  <c r="Y5" i="41"/>
  <c r="X5" i="41"/>
  <c r="W5" i="41"/>
  <c r="V5" i="41"/>
  <c r="AC4" i="41"/>
  <c r="AB4" i="41"/>
  <c r="AA4" i="41"/>
  <c r="Z4" i="41"/>
  <c r="Y4" i="41"/>
  <c r="X4" i="41"/>
  <c r="W4" i="41"/>
  <c r="V4" i="41"/>
  <c r="AC3" i="41"/>
  <c r="AB3" i="41"/>
  <c r="AA3" i="41"/>
  <c r="Z3" i="41"/>
  <c r="Y3" i="41"/>
  <c r="X3" i="41"/>
  <c r="W3" i="41"/>
  <c r="V93" i="41" l="1"/>
  <c r="V90" i="41"/>
  <c r="W82" i="41"/>
  <c r="W93" i="41"/>
  <c r="X94" i="41"/>
  <c r="X83" i="41"/>
  <c r="Y84" i="41"/>
  <c r="Y106" i="41"/>
  <c r="Y95" i="41"/>
  <c r="Y96" i="41"/>
  <c r="Y85" i="41"/>
  <c r="Y90" i="41"/>
  <c r="Y101" i="41"/>
  <c r="Y102" i="41"/>
  <c r="Y79" i="41"/>
  <c r="W103" i="41"/>
  <c r="W80" i="41"/>
  <c r="W91" i="41"/>
  <c r="W104" i="41"/>
  <c r="W92" i="41"/>
  <c r="W81" i="41"/>
  <c r="AA93" i="41"/>
  <c r="AA82" i="41"/>
  <c r="AB94" i="41"/>
  <c r="AB83" i="41"/>
  <c r="Y88" i="41"/>
  <c r="Y99" i="41"/>
  <c r="AB103" i="41"/>
  <c r="AB91" i="41"/>
  <c r="AB104" i="41"/>
  <c r="AB80" i="41"/>
  <c r="AB92" i="41"/>
  <c r="AB81" i="41"/>
  <c r="X93" i="41"/>
  <c r="X82" i="41"/>
  <c r="Y94" i="41"/>
  <c r="Y83" i="41"/>
  <c r="Z96" i="41"/>
  <c r="Z85" i="41"/>
  <c r="Z86" i="41"/>
  <c r="Z97" i="41"/>
  <c r="V87" i="41"/>
  <c r="V98" i="41"/>
  <c r="V106" i="41"/>
  <c r="Z99" i="41"/>
  <c r="Z88" i="41"/>
  <c r="AC85" i="41"/>
  <c r="AC96" i="41"/>
  <c r="Y86" i="41"/>
  <c r="Y97" i="41"/>
  <c r="Y98" i="41"/>
  <c r="Y87" i="41"/>
  <c r="AC88" i="41"/>
  <c r="AC99" i="41"/>
  <c r="Z101" i="41"/>
  <c r="Z102" i="41"/>
  <c r="Z79" i="41"/>
  <c r="Z90" i="41"/>
  <c r="X92" i="41"/>
  <c r="X81" i="41"/>
  <c r="Z95" i="41"/>
  <c r="Z84" i="41"/>
  <c r="Z106" i="41"/>
  <c r="V85" i="41"/>
  <c r="V96" i="41"/>
  <c r="V86" i="41"/>
  <c r="V97" i="41"/>
  <c r="Z98" i="41"/>
  <c r="Z87" i="41"/>
  <c r="W101" i="41"/>
  <c r="W90" i="41"/>
  <c r="W102" i="41"/>
  <c r="W79" i="41"/>
  <c r="AA102" i="41"/>
  <c r="AA101" i="41"/>
  <c r="AA90" i="41"/>
  <c r="AA79" i="41"/>
  <c r="Y104" i="41"/>
  <c r="Y80" i="41"/>
  <c r="Y91" i="41"/>
  <c r="Y103" i="41"/>
  <c r="AC80" i="41"/>
  <c r="AC91" i="41"/>
  <c r="Y81" i="41"/>
  <c r="Y92" i="41"/>
  <c r="AC81" i="41"/>
  <c r="AC92" i="41"/>
  <c r="Y82" i="41"/>
  <c r="Y93" i="41"/>
  <c r="AC93" i="41"/>
  <c r="V83" i="41"/>
  <c r="V94" i="41"/>
  <c r="Z94" i="41"/>
  <c r="Z83" i="41"/>
  <c r="W106" i="41"/>
  <c r="W84" i="41"/>
  <c r="W95" i="41"/>
  <c r="AA106" i="41"/>
  <c r="AA84" i="41"/>
  <c r="AA95" i="41"/>
  <c r="W96" i="41"/>
  <c r="W85" i="41"/>
  <c r="AA96" i="41"/>
  <c r="AA85" i="41"/>
  <c r="W86" i="41"/>
  <c r="W97" i="41"/>
  <c r="AA97" i="41"/>
  <c r="AA86" i="41"/>
  <c r="W87" i="41"/>
  <c r="W98" i="41"/>
  <c r="AA87" i="41"/>
  <c r="AA98" i="41"/>
  <c r="W88" i="41"/>
  <c r="W99" i="41"/>
  <c r="AA88" i="41"/>
  <c r="AA99" i="41"/>
  <c r="AC90" i="41"/>
  <c r="AC101" i="41"/>
  <c r="AC79" i="41"/>
  <c r="AA103" i="41"/>
  <c r="AA104" i="41"/>
  <c r="AA91" i="41"/>
  <c r="AA80" i="41"/>
  <c r="AA92" i="41"/>
  <c r="AA81" i="41"/>
  <c r="AC87" i="41"/>
  <c r="AC98" i="41"/>
  <c r="X103" i="41"/>
  <c r="X91" i="41"/>
  <c r="X104" i="41"/>
  <c r="X80" i="41"/>
  <c r="AB93" i="41"/>
  <c r="AB82" i="41"/>
  <c r="X90" i="41"/>
  <c r="X101" i="41"/>
  <c r="X102" i="41"/>
  <c r="X79" i="41"/>
  <c r="AB90" i="41"/>
  <c r="AB101" i="41"/>
  <c r="AB102" i="41"/>
  <c r="AB79" i="41"/>
  <c r="V80" i="41"/>
  <c r="V91" i="41"/>
  <c r="Z91" i="41"/>
  <c r="Z104" i="41"/>
  <c r="Z80" i="41"/>
  <c r="Z103" i="41"/>
  <c r="V81" i="41"/>
  <c r="V92" i="41"/>
  <c r="Z92" i="41"/>
  <c r="Z81" i="41"/>
  <c r="Z82" i="41"/>
  <c r="Z93" i="41"/>
  <c r="W83" i="41"/>
  <c r="W94" i="41"/>
  <c r="AA83" i="41"/>
  <c r="AA94" i="41"/>
  <c r="X106" i="41"/>
  <c r="X95" i="41"/>
  <c r="X84" i="41"/>
  <c r="AB106" i="41"/>
  <c r="AB95" i="41"/>
  <c r="AB84" i="41"/>
  <c r="X85" i="41"/>
  <c r="X96" i="41"/>
  <c r="AB85" i="41"/>
  <c r="AB96" i="41"/>
  <c r="X97" i="41"/>
  <c r="X86" i="41"/>
  <c r="AB97" i="41"/>
  <c r="AB86" i="41"/>
  <c r="X98" i="41"/>
  <c r="X87" i="41"/>
  <c r="AB98" i="41"/>
  <c r="AB87" i="41"/>
  <c r="X99" i="41"/>
  <c r="X88" i="41"/>
  <c r="AB99" i="41"/>
  <c r="AB88" i="41"/>
  <c r="AC84" i="41"/>
  <c r="AC106" i="41"/>
  <c r="AC86" i="41"/>
  <c r="AC103" i="41"/>
  <c r="AC102" i="41"/>
  <c r="AC82" i="41"/>
  <c r="AC104" i="41"/>
  <c r="AC83" i="41"/>
  <c r="C102" i="41"/>
  <c r="C103" i="41"/>
  <c r="C101" i="41"/>
  <c r="C109" i="41"/>
  <c r="C105" i="41"/>
  <c r="C108" i="41"/>
  <c r="V101" i="41"/>
  <c r="V82" i="41"/>
  <c r="V88" i="41"/>
  <c r="C110" i="41"/>
  <c r="C107" i="41"/>
  <c r="C106" i="41"/>
  <c r="C104" i="41"/>
  <c r="V102" i="41"/>
  <c r="V79" i="41"/>
  <c r="V103" i="41"/>
  <c r="V104" i="41"/>
  <c r="V84" i="41"/>
</calcChain>
</file>

<file path=xl/sharedStrings.xml><?xml version="1.0" encoding="utf-8"?>
<sst xmlns="http://schemas.openxmlformats.org/spreadsheetml/2006/main" count="364" uniqueCount="79">
  <si>
    <t>NoStim-IN</t>
  </si>
  <si>
    <t>NoStim-OUT</t>
  </si>
  <si>
    <t>IN-FC</t>
  </si>
  <si>
    <t>OUT-FC</t>
  </si>
  <si>
    <t>IN-creARC</t>
  </si>
  <si>
    <t>OUT-creARC</t>
  </si>
  <si>
    <t>NoSTIM-creARC-IN</t>
  </si>
  <si>
    <t>NoStim-creARC-OUT</t>
  </si>
  <si>
    <t>OUT-FC-Detect</t>
  </si>
  <si>
    <t>OUT-creARC-Detect</t>
  </si>
  <si>
    <t>'IN-FC-OS46'</t>
  </si>
  <si>
    <t>'IN-FC-OS47'</t>
  </si>
  <si>
    <t>'IN-FC-OS49'</t>
  </si>
  <si>
    <t>'IN-FC-OS59'</t>
  </si>
  <si>
    <t>'IN-FC-OS65'</t>
  </si>
  <si>
    <t>'IN-FC-OS83'</t>
  </si>
  <si>
    <t>'IN-FC-OS86'</t>
  </si>
  <si>
    <t>'IN-FC-OS88'</t>
  </si>
  <si>
    <t>'OUT-FC-OS45'</t>
  </si>
  <si>
    <t>'OUT-FC-OS50'</t>
  </si>
  <si>
    <t>'OUT-FC-OS54'</t>
  </si>
  <si>
    <t>'OUT-FC-OS57'</t>
  </si>
  <si>
    <t>'OUT-FC-OS58'</t>
  </si>
  <si>
    <t>'OUT-FC-OS61'</t>
  </si>
  <si>
    <t>'OUT-FC-OS64'</t>
  </si>
  <si>
    <t>'OUT-FC-OS89'</t>
  </si>
  <si>
    <t>'NOSTIM-FC-OS41'</t>
  </si>
  <si>
    <t>'NOSTIM-FC-OS44'</t>
  </si>
  <si>
    <t>'NOSTIM-FC-OS56'</t>
  </si>
  <si>
    <t>'NOSTIM-FC-OS60'</t>
  </si>
  <si>
    <t>'NOSTIM-FC-OS63'</t>
  </si>
  <si>
    <t>'NOSTIM-FC-OS66'</t>
  </si>
  <si>
    <t>'NOSTIM-FC-OS81'</t>
  </si>
  <si>
    <t>'NOSTIM-FC-OS85'</t>
  </si>
  <si>
    <t>'NOSTIM-FC-OS87'</t>
  </si>
  <si>
    <t>'IN-OIcreARC1'</t>
  </si>
  <si>
    <t>'IN-OIcreARC2'</t>
  </si>
  <si>
    <t>'IN-OIcreARC3'</t>
  </si>
  <si>
    <t>'IN-OIcreARC4'</t>
  </si>
  <si>
    <t>'IN-OIcreARC5'</t>
  </si>
  <si>
    <t>'IN-OIcreARC6'</t>
  </si>
  <si>
    <t>'IN-OIcreARC7'</t>
  </si>
  <si>
    <t>'IN-OIcreARC16'</t>
  </si>
  <si>
    <t>'OUT-OIcreARC15'</t>
  </si>
  <si>
    <t>'OUT-OIcreARC16'</t>
  </si>
  <si>
    <t>'OUT-OIcreARC17'</t>
  </si>
  <si>
    <t>'OUT-OIcreARC18'</t>
  </si>
  <si>
    <t>'OUT-OIcreARC19'</t>
  </si>
  <si>
    <t>'NOSTIM-OIcreNO1'</t>
  </si>
  <si>
    <t>'NOSTIM-OIcreNO2'</t>
  </si>
  <si>
    <t>'NOSTIM-OIcreNO4'</t>
  </si>
  <si>
    <t>'NOSTIM-OIcreNO5'</t>
  </si>
  <si>
    <t>'NOSTIM-OIcreNO6'</t>
  </si>
  <si>
    <t>'NOSTIM-OIcreNO7ARC11'</t>
  </si>
  <si>
    <t>'NOSTIM-OIcreNO8ARC12'</t>
  </si>
  <si>
    <t>IN-Stim-FC</t>
  </si>
  <si>
    <t>OUT-Stim-FC</t>
  </si>
  <si>
    <t>OUT-Detect-FC</t>
  </si>
  <si>
    <t>IN-Stim-ARC</t>
  </si>
  <si>
    <t>OUT-Stim-ARC</t>
  </si>
  <si>
    <t>OUT-Detect-ARC</t>
  </si>
  <si>
    <t>NoStim-IN-ARC</t>
  </si>
  <si>
    <t>NoStim-OUT-ARC</t>
  </si>
  <si>
    <t>Stim#</t>
  </si>
  <si>
    <t>FOR &amp; PAR</t>
  </si>
  <si>
    <t>FOR &amp; CA1</t>
  </si>
  <si>
    <t>PAR &amp; CA1</t>
  </si>
  <si>
    <t>Triple</t>
  </si>
  <si>
    <t>FOR &amp; PAR + Ripple</t>
  </si>
  <si>
    <t>FOR &amp; CA1 + Ripple</t>
  </si>
  <si>
    <t>PAR &amp; CA1 + Ripple</t>
  </si>
  <si>
    <t>Triple + Ripple</t>
  </si>
  <si>
    <t>FC: IN vs. OUT</t>
  </si>
  <si>
    <t>FC: IN vs. NoStim</t>
  </si>
  <si>
    <t>ARC: IN vs. NoStim</t>
  </si>
  <si>
    <t>OUT vs. NoStim-OUT</t>
  </si>
  <si>
    <t>OUT vs. NoStim-IN</t>
  </si>
  <si>
    <t>Any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</si>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</sst>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"/>
  </numFmts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Fill="1" applyAlignment="1">
      <alignment horizontal="right"/>
    </xf>
    <xf numFmtId="2" fontId="0" fillId="0" borderId="0" xfId="0" applyNumberFormat="1" applyFill="1"/>
    <xf numFmtId="164" fontId="0" fillId="0" borderId="0" xfId="0" applyNumberFormat="1"/>
    <xf numFmtId="0" fontId="0" fillId="2" borderId="0" xfId="0" applyFill="1"/>
    <xf numFmtId="1" fontId="0" fillId="2" borderId="0" xfId="0" applyNumberFormat="1" applyFill="1"/>
    <xf numFmtId="165" fontId="0" fillId="2" borderId="0" xfId="0" applyNumberFormat="1" applyFill="1"/>
    <xf numFmtId="0" fontId="0" fillId="3" borderId="0" xfId="0" applyFill="1"/>
    <xf numFmtId="1" fontId="0" fillId="3" borderId="0" xfId="0" applyNumberFormat="1" applyFill="1"/>
    <xf numFmtId="165" fontId="0" fillId="3" borderId="0" xfId="0" applyNumberFormat="1" applyFill="1"/>
    <xf numFmtId="0" fontId="0" fillId="4" borderId="0" xfId="0" applyFill="1"/>
    <xf numFmtId="1" fontId="0" fillId="4" borderId="0" xfId="0" applyNumberFormat="1" applyFill="1"/>
    <xf numFmtId="165" fontId="0" fillId="4" borderId="0" xfId="0" applyNumberFormat="1" applyFill="1"/>
    <xf numFmtId="0" fontId="0" fillId="5" borderId="0" xfId="0" applyFill="1"/>
    <xf numFmtId="1" fontId="0" fillId="5" borderId="0" xfId="0" applyNumberFormat="1" applyFill="1"/>
    <xf numFmtId="165" fontId="0" fillId="5" borderId="0" xfId="0" applyNumberFormat="1" applyFill="1"/>
    <xf numFmtId="0" fontId="0" fillId="6" borderId="0" xfId="0" applyFill="1"/>
    <xf numFmtId="1" fontId="0" fillId="6" borderId="0" xfId="0" applyNumberFormat="1" applyFill="1"/>
    <xf numFmtId="165" fontId="0" fillId="6" borderId="0" xfId="0" applyNumberFormat="1" applyFill="1"/>
    <xf numFmtId="0" fontId="0" fillId="0" borderId="0" xfId="0" applyAlignment="1">
      <alignment wrapText="1"/>
    </xf>
    <xf numFmtId="0" fontId="0" fillId="0" borderId="4" xfId="0" applyBorder="1" applyAlignment="1">
      <alignment wrapText="1"/>
    </xf>
    <xf numFmtId="165" fontId="0" fillId="2" borderId="4" xfId="0" applyNumberFormat="1" applyFill="1" applyBorder="1"/>
    <xf numFmtId="165" fontId="0" fillId="3" borderId="4" xfId="0" applyNumberFormat="1" applyFill="1" applyBorder="1"/>
    <xf numFmtId="165" fontId="0" fillId="4" borderId="4" xfId="0" applyNumberFormat="1" applyFill="1" applyBorder="1"/>
    <xf numFmtId="165" fontId="0" fillId="5" borderId="4" xfId="0" applyNumberFormat="1" applyFill="1" applyBorder="1"/>
    <xf numFmtId="165" fontId="0" fillId="6" borderId="4" xfId="0" applyNumberFormat="1" applyFill="1" applyBorder="1"/>
    <xf numFmtId="2" fontId="0" fillId="0" borderId="4" xfId="0" applyNumberFormat="1" applyFill="1" applyBorder="1"/>
    <xf numFmtId="0" fontId="0" fillId="0" borderId="4" xfId="0" applyBorder="1"/>
    <xf numFmtId="164" fontId="0" fillId="0" borderId="4" xfId="0" applyNumberFormat="1" applyBorder="1"/>
    <xf numFmtId="0" fontId="0" fillId="2" borderId="4" xfId="0" applyFill="1" applyBorder="1"/>
    <xf numFmtId="0" fontId="0" fillId="3" borderId="4" xfId="0" applyFill="1" applyBorder="1"/>
    <xf numFmtId="0" fontId="0" fillId="4" borderId="4" xfId="0" applyFill="1" applyBorder="1"/>
    <xf numFmtId="0" fontId="0" fillId="5" borderId="4" xfId="0" applyFill="1" applyBorder="1"/>
    <xf numFmtId="0" fontId="0" fillId="6" borderId="4" xfId="0" applyFill="1" applyBorder="1"/>
    <xf numFmtId="0" fontId="0" fillId="0" borderId="0" xfId="0" applyFill="1" applyAlignment="1">
      <alignment horizontal="center" vertical="center" textRotation="90"/>
    </xf>
    <xf numFmtId="0" fontId="0" fillId="0" borderId="0" xfId="0" applyFill="1"/>
    <xf numFmtId="1" fontId="0" fillId="0" borderId="0" xfId="0" applyNumberFormat="1" applyFill="1"/>
    <xf numFmtId="0" fontId="0" fillId="0" borderId="4" xfId="0" applyFill="1" applyBorder="1"/>
    <xf numFmtId="165" fontId="0" fillId="0" borderId="0" xfId="0" applyNumberFormat="1" applyFill="1"/>
    <xf numFmtId="165" fontId="0" fillId="0" borderId="4" xfId="0" applyNumberFormat="1" applyFill="1" applyBorder="1"/>
    <xf numFmtId="2" fontId="0" fillId="0" borderId="0" xfId="0" applyNumberFormat="1"/>
    <xf numFmtId="0" fontId="0" fillId="4" borderId="0" xfId="0" applyFill="1" applyAlignment="1">
      <alignment horizontal="center" vertical="center" textRotation="90"/>
    </xf>
    <xf numFmtId="0" fontId="0" fillId="5" borderId="0" xfId="0" applyFill="1" applyAlignment="1">
      <alignment horizontal="center" vertical="center" textRotation="90"/>
    </xf>
    <xf numFmtId="0" fontId="0" fillId="6" borderId="0" xfId="0" applyFill="1" applyAlignment="1">
      <alignment horizontal="center" vertical="center" textRotation="90"/>
    </xf>
    <xf numFmtId="0" fontId="0" fillId="2" borderId="0" xfId="0" applyFill="1" applyAlignment="1">
      <alignment horizontal="center" vertical="center" textRotation="90"/>
    </xf>
    <xf numFmtId="0" fontId="0" fillId="3" borderId="0" xfId="0" applyFill="1" applyAlignment="1">
      <alignment horizontal="center" vertical="center" textRotation="90"/>
    </xf>
    <xf numFmtId="0" fontId="0" fillId="0" borderId="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Border="1"/>
    <xf numFmtId="2" fontId="0" fillId="0" borderId="5" xfId="0" applyNumberFormat="1" applyBorder="1"/>
    <xf numFmtId="2" fontId="0" fillId="0" borderId="6" xfId="0" applyNumberFormat="1" applyBorder="1"/>
    <xf numFmtId="2" fontId="0" fillId="0" borderId="7" xfId="0" applyNumberFormat="1" applyBorder="1"/>
    <xf numFmtId="2" fontId="0" fillId="0" borderId="8" xfId="0" applyNumberFormat="1" applyBorder="1"/>
    <xf numFmtId="2" fontId="0" fillId="0" borderId="9" xfId="0" applyNumberFormat="1" applyBorder="1"/>
    <xf numFmtId="2" fontId="0" fillId="0" borderId="10" xfId="0" applyNumberFormat="1" applyBorder="1"/>
    <xf numFmtId="2" fontId="0" fillId="0" borderId="11" xfId="0" applyNumberFormat="1" applyBorder="1"/>
    <xf numFmtId="2" fontId="0" fillId="0" borderId="12" xfId="0" applyNumberFormat="1" applyBorder="1"/>
    <xf numFmtId="2" fontId="0" fillId="0" borderId="1" xfId="0" applyNumberFormat="1" applyBorder="1"/>
    <xf numFmtId="2" fontId="0" fillId="0" borderId="2" xfId="0" applyNumberFormat="1" applyBorder="1"/>
    <xf numFmtId="2" fontId="0" fillId="0" borderId="3" xfId="0" applyNumberFormat="1" applyBorder="1"/>
    <xf numFmtId="2" fontId="0" fillId="0" borderId="0" xfId="0" applyNumberFormat="1" applyFill="1" applyBorder="1"/>
    <xf numFmtId="2" fontId="0" fillId="0" borderId="5" xfId="0" applyNumberFormat="1" applyFill="1" applyBorder="1"/>
    <xf numFmtId="2" fontId="0" fillId="0" borderId="6" xfId="0" applyNumberFormat="1" applyFill="1" applyBorder="1"/>
    <xf numFmtId="2" fontId="0" fillId="0" borderId="7" xfId="0" applyNumberFormat="1" applyFill="1" applyBorder="1"/>
    <xf numFmtId="2" fontId="0" fillId="0" borderId="8" xfId="0" applyNumberFormat="1" applyFill="1" applyBorder="1"/>
    <xf numFmtId="2" fontId="0" fillId="0" borderId="9" xfId="0" applyNumberFormat="1" applyFill="1" applyBorder="1"/>
    <xf numFmtId="2" fontId="0" fillId="0" borderId="10" xfId="0" applyNumberFormat="1" applyFill="1" applyBorder="1"/>
    <xf numFmtId="2" fontId="0" fillId="0" borderId="11" xfId="0" applyNumberFormat="1" applyFill="1" applyBorder="1"/>
    <xf numFmtId="2" fontId="0" fillId="0" borderId="12" xfId="0" applyNumberFormat="1" applyFill="1" applyBorder="1"/>
    <xf numFmtId="2" fontId="0" fillId="0" borderId="1" xfId="0" applyNumberFormat="1" applyFill="1" applyBorder="1"/>
    <xf numFmtId="2" fontId="0" fillId="0" borderId="2" xfId="0" applyNumberFormat="1" applyFill="1" applyBorder="1"/>
    <xf numFmtId="2" fontId="0" fillId="0" borderId="3" xfId="0" applyNumberFormat="1" applyFill="1" applyBorder="1"/>
  </cellXfs>
  <cellStyles count="1">
    <cellStyle name="Standard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6187731481481488E-2"/>
          <c:y val="6.52787037037037E-2"/>
          <c:w val="0.87095532407407406"/>
          <c:h val="0.78742685185185191"/>
        </c:manualLayout>
      </c:layout>
      <c:barChart>
        <c:barDir val="col"/>
        <c:grouping val="clustered"/>
        <c:varyColors val="0"/>
        <c:ser>
          <c:idx val="0"/>
          <c:order val="0"/>
          <c:tx>
            <c:v>IN</c:v>
          </c:tx>
          <c:invertIfNegative val="0"/>
          <c:errBars>
            <c:errBarType val="both"/>
            <c:errValType val="cust"/>
            <c:noEndCap val="0"/>
            <c:plus>
              <c:numRef>
                <c:f>SlowSpi!$AD$90:$AG$90</c:f>
                <c:numCache>
                  <c:formatCode>General</c:formatCode>
                  <c:ptCount val="4"/>
                  <c:pt idx="0">
                    <c:v>1.2347943124496306</c:v>
                  </c:pt>
                  <c:pt idx="1">
                    <c:v>1.3543973130683178</c:v>
                  </c:pt>
                  <c:pt idx="2">
                    <c:v>1.1507611047011421</c:v>
                  </c:pt>
                  <c:pt idx="3">
                    <c:v>0.74171393215213699</c:v>
                  </c:pt>
                </c:numCache>
              </c:numRef>
            </c:plus>
            <c:minus>
              <c:numRef>
                <c:f>SlowSpi!$AD$90:$AG$90</c:f>
                <c:numCache>
                  <c:formatCode>General</c:formatCode>
                  <c:ptCount val="4"/>
                  <c:pt idx="0">
                    <c:v>1.2347943124496306</c:v>
                  </c:pt>
                  <c:pt idx="1">
                    <c:v>1.3543973130683178</c:v>
                  </c:pt>
                  <c:pt idx="2">
                    <c:v>1.1507611047011421</c:v>
                  </c:pt>
                  <c:pt idx="3">
                    <c:v>0.74171393215213699</c:v>
                  </c:pt>
                </c:numCache>
              </c:numRef>
            </c:minus>
          </c:errBars>
          <c:cat>
            <c:strRef>
              <c:f>SlowSpi!$AD$78:$AG$78</c:f>
              <c:strCache>
                <c:ptCount val="4"/>
                <c:pt idx="0">
                  <c:v>FOR &amp; PAR</c:v>
                </c:pt>
                <c:pt idx="1">
                  <c:v>FOR &amp; CA1</c:v>
                </c:pt>
                <c:pt idx="2">
                  <c:v>PAR &amp; CA1</c:v>
                </c:pt>
                <c:pt idx="3">
                  <c:v>Triple</c:v>
                </c:pt>
              </c:strCache>
            </c:strRef>
          </c:cat>
          <c:val>
            <c:numRef>
              <c:f>SlowSpi!$AD$79:$AG$79</c:f>
              <c:numCache>
                <c:formatCode>0.00</c:formatCode>
                <c:ptCount val="4"/>
                <c:pt idx="0">
                  <c:v>15.599133368526786</c:v>
                </c:pt>
                <c:pt idx="1">
                  <c:v>12.766604318292607</c:v>
                </c:pt>
                <c:pt idx="2">
                  <c:v>11.985073905859318</c:v>
                </c:pt>
                <c:pt idx="3">
                  <c:v>6.7913463172240505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92-4C5E-839A-76E1338AAC4A}"/>
            </c:ext>
          </c:extLst>
        </c:ser>
        <c:ser>
          <c:idx val="1"/>
          <c:order val="1"/>
          <c:tx>
            <c:v>OUT</c:v>
          </c:tx>
          <c:invertIfNegative val="0"/>
          <c:errBars>
            <c:errBarType val="both"/>
            <c:errValType val="cust"/>
            <c:noEndCap val="0"/>
            <c:plus>
              <c:numRef>
                <c:f>SlowSpi!$AD$91:$AG$91</c:f>
                <c:numCache>
                  <c:formatCode>General</c:formatCode>
                  <c:ptCount val="4"/>
                  <c:pt idx="0">
                    <c:v>0.86236472427440791</c:v>
                  </c:pt>
                  <c:pt idx="1">
                    <c:v>0.81159072458627091</c:v>
                  </c:pt>
                  <c:pt idx="2">
                    <c:v>0.88248116550541311</c:v>
                  </c:pt>
                  <c:pt idx="3">
                    <c:v>0.56504796795702106</c:v>
                  </c:pt>
                </c:numCache>
              </c:numRef>
            </c:plus>
            <c:minus>
              <c:numRef>
                <c:f>SlowSpi!$AD$91:$AG$91</c:f>
                <c:numCache>
                  <c:formatCode>General</c:formatCode>
                  <c:ptCount val="4"/>
                  <c:pt idx="0">
                    <c:v>0.86236472427440791</c:v>
                  </c:pt>
                  <c:pt idx="1">
                    <c:v>0.81159072458627091</c:v>
                  </c:pt>
                  <c:pt idx="2">
                    <c:v>0.88248116550541311</c:v>
                  </c:pt>
                  <c:pt idx="3">
                    <c:v>0.56504796795702106</c:v>
                  </c:pt>
                </c:numCache>
              </c:numRef>
            </c:minus>
          </c:errBars>
          <c:cat>
            <c:strRef>
              <c:f>SlowSpi!$AD$78:$AG$78</c:f>
              <c:strCache>
                <c:ptCount val="4"/>
                <c:pt idx="0">
                  <c:v>FOR &amp; PAR</c:v>
                </c:pt>
                <c:pt idx="1">
                  <c:v>FOR &amp; CA1</c:v>
                </c:pt>
                <c:pt idx="2">
                  <c:v>PAR &amp; CA1</c:v>
                </c:pt>
                <c:pt idx="3">
                  <c:v>Triple</c:v>
                </c:pt>
              </c:strCache>
            </c:strRef>
          </c:cat>
          <c:val>
            <c:numRef>
              <c:f>SlowSpi!$AD$80:$AG$80</c:f>
              <c:numCache>
                <c:formatCode>0.00</c:formatCode>
                <c:ptCount val="4"/>
                <c:pt idx="0">
                  <c:v>10.448741109035636</c:v>
                </c:pt>
                <c:pt idx="1">
                  <c:v>8.7761185163065072</c:v>
                </c:pt>
                <c:pt idx="2">
                  <c:v>10.36455148888524</c:v>
                </c:pt>
                <c:pt idx="3">
                  <c:v>4.2156435723520485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92-4C5E-839A-76E1338AAC4A}"/>
            </c:ext>
          </c:extLst>
        </c:ser>
        <c:ser>
          <c:idx val="2"/>
          <c:order val="2"/>
          <c:tx>
            <c:v>NoStim-IN</c:v>
          </c:tx>
          <c:invertIfNegative val="0"/>
          <c:errBars>
            <c:errBarType val="both"/>
            <c:errValType val="cust"/>
            <c:noEndCap val="0"/>
            <c:plus>
              <c:numRef>
                <c:f>SlowSpi!$AD$93:$AG$93</c:f>
                <c:numCache>
                  <c:formatCode>General</c:formatCode>
                  <c:ptCount val="4"/>
                  <c:pt idx="0">
                    <c:v>0.84589206826297048</c:v>
                  </c:pt>
                  <c:pt idx="1">
                    <c:v>0.62093634171604806</c:v>
                  </c:pt>
                  <c:pt idx="2">
                    <c:v>1.0061873419111855</c:v>
                  </c:pt>
                  <c:pt idx="3">
                    <c:v>0.39307145335461141</c:v>
                  </c:pt>
                </c:numCache>
              </c:numRef>
            </c:plus>
            <c:minus>
              <c:numRef>
                <c:f>SlowSpi!$AD$93:$AG$93</c:f>
                <c:numCache>
                  <c:formatCode>General</c:formatCode>
                  <c:ptCount val="4"/>
                  <c:pt idx="0">
                    <c:v>0.84589206826297048</c:v>
                  </c:pt>
                  <c:pt idx="1">
                    <c:v>0.62093634171604806</c:v>
                  </c:pt>
                  <c:pt idx="2">
                    <c:v>1.0061873419111855</c:v>
                  </c:pt>
                  <c:pt idx="3">
                    <c:v>0.39307145335461141</c:v>
                  </c:pt>
                </c:numCache>
              </c:numRef>
            </c:minus>
          </c:errBars>
          <c:cat>
            <c:strRef>
              <c:f>SlowSpi!$AD$78:$AG$78</c:f>
              <c:strCache>
                <c:ptCount val="4"/>
                <c:pt idx="0">
                  <c:v>FOR &amp; PAR</c:v>
                </c:pt>
                <c:pt idx="1">
                  <c:v>FOR &amp; CA1</c:v>
                </c:pt>
                <c:pt idx="2">
                  <c:v>PAR &amp; CA1</c:v>
                </c:pt>
                <c:pt idx="3">
                  <c:v>Triple</c:v>
                </c:pt>
              </c:strCache>
            </c:strRef>
          </c:cat>
          <c:val>
            <c:numRef>
              <c:f>SlowSpi!$AD$82:$AG$82</c:f>
              <c:numCache>
                <c:formatCode>0.00</c:formatCode>
                <c:ptCount val="4"/>
                <c:pt idx="0">
                  <c:v>9.3738972505016935</c:v>
                </c:pt>
                <c:pt idx="1">
                  <c:v>7.7475275722536026</c:v>
                </c:pt>
                <c:pt idx="2">
                  <c:v>11.177543872171707</c:v>
                </c:pt>
                <c:pt idx="3">
                  <c:v>4.2941890599318793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92-4C5E-839A-76E1338AAC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5389440"/>
        <c:axId val="145390976"/>
      </c:barChart>
      <c:catAx>
        <c:axId val="145389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5390976"/>
        <c:crosses val="autoZero"/>
        <c:auto val="1"/>
        <c:lblAlgn val="ctr"/>
        <c:lblOffset val="100"/>
        <c:noMultiLvlLbl val="0"/>
      </c:catAx>
      <c:valAx>
        <c:axId val="145390976"/>
        <c:scaling>
          <c:orientation val="minMax"/>
        </c:scaling>
        <c:delete val="0"/>
        <c:axPos val="l"/>
        <c:numFmt formatCode="0" sourceLinked="0"/>
        <c:majorTickMark val="out"/>
        <c:minorTickMark val="none"/>
        <c:tickLblPos val="nextTo"/>
        <c:crossAx val="145389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9730509259259257"/>
          <c:y val="5.3796296296296344E-3"/>
          <c:w val="0.40269490740740743"/>
          <c:h val="0.17197175925925923"/>
        </c:manualLayout>
      </c:layout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323424688193045"/>
          <c:y val="6.52787037037037E-2"/>
          <c:w val="0.78891045596044684"/>
          <c:h val="0.78742685185185191"/>
        </c:manualLayout>
      </c:layout>
      <c:barChart>
        <c:barDir val="col"/>
        <c:grouping val="clustered"/>
        <c:varyColors val="0"/>
        <c:ser>
          <c:idx val="0"/>
          <c:order val="0"/>
          <c:tx>
            <c:v>IN</c:v>
          </c:tx>
          <c:invertIfNegative val="0"/>
          <c:errBars>
            <c:errBarType val="both"/>
            <c:errValType val="cust"/>
            <c:noEndCap val="0"/>
            <c:plus>
              <c:numRef>
                <c:f>SlowSpi!$AI$90</c:f>
                <c:numCache>
                  <c:formatCode>General</c:formatCode>
                  <c:ptCount val="1"/>
                  <c:pt idx="0">
                    <c:v>0.31663591522828549</c:v>
                  </c:pt>
                </c:numCache>
              </c:numRef>
            </c:plus>
            <c:minus>
              <c:numRef>
                <c:f>SlowSpi!$AI$90</c:f>
                <c:numCache>
                  <c:formatCode>General</c:formatCode>
                  <c:ptCount val="1"/>
                  <c:pt idx="0">
                    <c:v>0.31663591522828549</c:v>
                  </c:pt>
                </c:numCache>
              </c:numRef>
            </c:minus>
          </c:errBars>
          <c:cat>
            <c:strRef>
              <c:f>SlowSpi!$AI$78</c:f>
              <c:strCache>
                <c:ptCount val="1"/>
                <c:pt idx="0">
                  <c:v>FOR &amp; CA1 + Ripple</c:v>
                </c:pt>
              </c:strCache>
            </c:strRef>
          </c:cat>
          <c:val>
            <c:numRef>
              <c:f>SlowSpi!$AI$79</c:f>
              <c:numCache>
                <c:formatCode>0.00</c:formatCode>
                <c:ptCount val="1"/>
                <c:pt idx="0">
                  <c:v>2.6593252746686655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46-4C54-980A-C42E5DDC4E94}"/>
            </c:ext>
          </c:extLst>
        </c:ser>
        <c:ser>
          <c:idx val="1"/>
          <c:order val="1"/>
          <c:tx>
            <c:v>OUT</c:v>
          </c:tx>
          <c:invertIfNegative val="0"/>
          <c:errBars>
            <c:errBarType val="both"/>
            <c:errValType val="cust"/>
            <c:noEndCap val="0"/>
            <c:plus>
              <c:numRef>
                <c:f>SlowSpi!$AI$91</c:f>
                <c:numCache>
                  <c:formatCode>General</c:formatCode>
                  <c:ptCount val="1"/>
                  <c:pt idx="0">
                    <c:v>0.20094978421924833</c:v>
                  </c:pt>
                </c:numCache>
              </c:numRef>
            </c:plus>
            <c:minus>
              <c:numRef>
                <c:f>SlowSpi!$AI$91</c:f>
                <c:numCache>
                  <c:formatCode>General</c:formatCode>
                  <c:ptCount val="1"/>
                  <c:pt idx="0">
                    <c:v>0.20094978421924833</c:v>
                  </c:pt>
                </c:numCache>
              </c:numRef>
            </c:minus>
          </c:errBars>
          <c:cat>
            <c:strRef>
              <c:f>SlowSpi!$AI$78</c:f>
              <c:strCache>
                <c:ptCount val="1"/>
                <c:pt idx="0">
                  <c:v>FOR &amp; CA1 + Ripple</c:v>
                </c:pt>
              </c:strCache>
            </c:strRef>
          </c:cat>
          <c:val>
            <c:numRef>
              <c:f>SlowSpi!$AI$80</c:f>
              <c:numCache>
                <c:formatCode>0.00</c:formatCode>
                <c:ptCount val="1"/>
                <c:pt idx="0">
                  <c:v>0.860579116479951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46-4C54-980A-C42E5DDC4E94}"/>
            </c:ext>
          </c:extLst>
        </c:ser>
        <c:ser>
          <c:idx val="2"/>
          <c:order val="2"/>
          <c:tx>
            <c:v>NoStim-IN</c:v>
          </c:tx>
          <c:invertIfNegative val="0"/>
          <c:errBars>
            <c:errBarType val="both"/>
            <c:errValType val="cust"/>
            <c:noEndCap val="0"/>
            <c:plus>
              <c:numRef>
                <c:f>SlowSpi!$AI$93</c:f>
                <c:numCache>
                  <c:formatCode>General</c:formatCode>
                  <c:ptCount val="1"/>
                  <c:pt idx="0">
                    <c:v>0.24730922519800488</c:v>
                  </c:pt>
                </c:numCache>
              </c:numRef>
            </c:plus>
            <c:minus>
              <c:numRef>
                <c:f>SlowSpi!$AI$93</c:f>
                <c:numCache>
                  <c:formatCode>General</c:formatCode>
                  <c:ptCount val="1"/>
                  <c:pt idx="0">
                    <c:v>0.24730922519800488</c:v>
                  </c:pt>
                </c:numCache>
              </c:numRef>
            </c:minus>
          </c:errBars>
          <c:cat>
            <c:strRef>
              <c:f>SlowSpi!$AI$78</c:f>
              <c:strCache>
                <c:ptCount val="1"/>
                <c:pt idx="0">
                  <c:v>FOR &amp; CA1 + Ripple</c:v>
                </c:pt>
              </c:strCache>
            </c:strRef>
          </c:cat>
          <c:val>
            <c:numRef>
              <c:f>SlowSpi!$AI$82</c:f>
              <c:numCache>
                <c:formatCode>0.00</c:formatCode>
                <c:ptCount val="1"/>
                <c:pt idx="0">
                  <c:v>1.2342545043037687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46-4C54-980A-C42E5DDC4E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5389440"/>
        <c:axId val="145390976"/>
      </c:barChart>
      <c:catAx>
        <c:axId val="145389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5390976"/>
        <c:crosses val="autoZero"/>
        <c:auto val="1"/>
        <c:lblAlgn val="ctr"/>
        <c:lblOffset val="100"/>
        <c:noMultiLvlLbl val="0"/>
      </c:catAx>
      <c:valAx>
        <c:axId val="145390976"/>
        <c:scaling>
          <c:orientation val="minMax"/>
        </c:scaling>
        <c:delete val="0"/>
        <c:axPos val="l"/>
        <c:numFmt formatCode="0" sourceLinked="0"/>
        <c:majorTickMark val="out"/>
        <c:minorTickMark val="none"/>
        <c:tickLblPos val="nextTo"/>
        <c:crossAx val="145389440"/>
        <c:crosses val="autoZero"/>
        <c:crossBetween val="between"/>
        <c:majorUnit val="1"/>
      </c:valAx>
    </c:plotArea>
    <c:legend>
      <c:legendPos val="r"/>
      <c:layout>
        <c:manualLayout>
          <c:xMode val="edge"/>
          <c:yMode val="edge"/>
          <c:x val="0.25105169993285725"/>
          <c:y val="5.3796296296296344E-3"/>
          <c:w val="0.74894830006714253"/>
          <c:h val="0.17197175925925923"/>
        </c:manualLayout>
      </c:layout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6187731481481488E-2"/>
          <c:y val="6.52787037037037E-2"/>
          <c:w val="0.87095532407407406"/>
          <c:h val="0.78742685185185191"/>
        </c:manualLayout>
      </c:layout>
      <c:barChart>
        <c:barDir val="col"/>
        <c:grouping val="clustered"/>
        <c:varyColors val="0"/>
        <c:ser>
          <c:idx val="0"/>
          <c:order val="0"/>
          <c:tx>
            <c:v>IN</c:v>
          </c:tx>
          <c:invertIfNegative val="0"/>
          <c:errBars>
            <c:errBarType val="both"/>
            <c:errValType val="cust"/>
            <c:noEndCap val="0"/>
            <c:plus>
              <c:numRef>
                <c:f>BroadBdSpi!$AD$90:$AG$90</c:f>
                <c:numCache>
                  <c:formatCode>General</c:formatCode>
                  <c:ptCount val="4"/>
                  <c:pt idx="0">
                    <c:v>0.52110626303809027</c:v>
                  </c:pt>
                  <c:pt idx="1">
                    <c:v>0.38003594389526729</c:v>
                  </c:pt>
                  <c:pt idx="2">
                    <c:v>0.60249292002081567</c:v>
                  </c:pt>
                  <c:pt idx="3">
                    <c:v>0.32161344611591264</c:v>
                  </c:pt>
                </c:numCache>
              </c:numRef>
            </c:plus>
            <c:minus>
              <c:numRef>
                <c:f>BroadBdSpi!$AD$90:$AG$90</c:f>
                <c:numCache>
                  <c:formatCode>General</c:formatCode>
                  <c:ptCount val="4"/>
                  <c:pt idx="0">
                    <c:v>0.52110626303809027</c:v>
                  </c:pt>
                  <c:pt idx="1">
                    <c:v>0.38003594389526729</c:v>
                  </c:pt>
                  <c:pt idx="2">
                    <c:v>0.60249292002081567</c:v>
                  </c:pt>
                  <c:pt idx="3">
                    <c:v>0.32161344611591264</c:v>
                  </c:pt>
                </c:numCache>
              </c:numRef>
            </c:minus>
          </c:errBars>
          <c:cat>
            <c:strRef>
              <c:f>BroadBdSpi!$AD$78:$AG$78</c:f>
              <c:strCache>
                <c:ptCount val="4"/>
                <c:pt idx="0">
                  <c:v>FOR &amp; PAR</c:v>
                </c:pt>
                <c:pt idx="1">
                  <c:v>FOR &amp; CA1</c:v>
                </c:pt>
                <c:pt idx="2">
                  <c:v>PAR &amp; CA1</c:v>
                </c:pt>
                <c:pt idx="3">
                  <c:v>Triple</c:v>
                </c:pt>
              </c:strCache>
            </c:strRef>
          </c:cat>
          <c:val>
            <c:numRef>
              <c:f>BroadBdSpi!$AD$79:$AG$79</c:f>
              <c:numCache>
                <c:formatCode>0.00</c:formatCode>
                <c:ptCount val="4"/>
                <c:pt idx="0">
                  <c:v>6.5500938969053939</c:v>
                </c:pt>
                <c:pt idx="1">
                  <c:v>4.0914440755109505</c:v>
                </c:pt>
                <c:pt idx="2">
                  <c:v>4.665258487399937</c:v>
                </c:pt>
                <c:pt idx="3">
                  <c:v>2.0961529695640824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8C-4FC0-B5B3-7D767488C3B9}"/>
            </c:ext>
          </c:extLst>
        </c:ser>
        <c:ser>
          <c:idx val="1"/>
          <c:order val="1"/>
          <c:tx>
            <c:v>OUT</c:v>
          </c:tx>
          <c:invertIfNegative val="0"/>
          <c:errBars>
            <c:errBarType val="both"/>
            <c:errValType val="cust"/>
            <c:noEndCap val="0"/>
            <c:plus>
              <c:numRef>
                <c:f>BroadBdSpi!$AD$91:$AG$91</c:f>
                <c:numCache>
                  <c:formatCode>General</c:formatCode>
                  <c:ptCount val="4"/>
                  <c:pt idx="0">
                    <c:v>0.68216631326960919</c:v>
                  </c:pt>
                  <c:pt idx="1">
                    <c:v>0.3459279755620524</c:v>
                  </c:pt>
                  <c:pt idx="2">
                    <c:v>0.41894413905995642</c:v>
                  </c:pt>
                  <c:pt idx="3">
                    <c:v>0.21084710329337952</c:v>
                  </c:pt>
                </c:numCache>
              </c:numRef>
            </c:plus>
            <c:minus>
              <c:numRef>
                <c:f>BroadBdSpi!$AD$91:$AG$91</c:f>
                <c:numCache>
                  <c:formatCode>General</c:formatCode>
                  <c:ptCount val="4"/>
                  <c:pt idx="0">
                    <c:v>0.68216631326960919</c:v>
                  </c:pt>
                  <c:pt idx="1">
                    <c:v>0.3459279755620524</c:v>
                  </c:pt>
                  <c:pt idx="2">
                    <c:v>0.41894413905995642</c:v>
                  </c:pt>
                  <c:pt idx="3">
                    <c:v>0.21084710329337952</c:v>
                  </c:pt>
                </c:numCache>
              </c:numRef>
            </c:minus>
          </c:errBars>
          <c:cat>
            <c:strRef>
              <c:f>BroadBdSpi!$AD$78:$AG$78</c:f>
              <c:strCache>
                <c:ptCount val="4"/>
                <c:pt idx="0">
                  <c:v>FOR &amp; PAR</c:v>
                </c:pt>
                <c:pt idx="1">
                  <c:v>FOR &amp; CA1</c:v>
                </c:pt>
                <c:pt idx="2">
                  <c:v>PAR &amp; CA1</c:v>
                </c:pt>
                <c:pt idx="3">
                  <c:v>Triple</c:v>
                </c:pt>
              </c:strCache>
            </c:strRef>
          </c:cat>
          <c:val>
            <c:numRef>
              <c:f>BroadBdSpi!$AD$80:$AG$80</c:f>
              <c:numCache>
                <c:formatCode>0.00</c:formatCode>
                <c:ptCount val="4"/>
                <c:pt idx="0">
                  <c:v>4.4870965109874508</c:v>
                </c:pt>
                <c:pt idx="1">
                  <c:v>2.6456235000966899</c:v>
                </c:pt>
                <c:pt idx="2">
                  <c:v>3.7341338175247185</c:v>
                </c:pt>
                <c:pt idx="3">
                  <c:v>0.98680639642859891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8C-4FC0-B5B3-7D767488C3B9}"/>
            </c:ext>
          </c:extLst>
        </c:ser>
        <c:ser>
          <c:idx val="2"/>
          <c:order val="2"/>
          <c:tx>
            <c:v>NoStim-IN</c:v>
          </c:tx>
          <c:invertIfNegative val="0"/>
          <c:errBars>
            <c:errBarType val="both"/>
            <c:errValType val="cust"/>
            <c:noEndCap val="0"/>
            <c:plus>
              <c:numRef>
                <c:f>BroadBdSpi!$AD$93:$AG$93</c:f>
                <c:numCache>
                  <c:formatCode>General</c:formatCode>
                  <c:ptCount val="4"/>
                  <c:pt idx="0">
                    <c:v>0.29960888226537036</c:v>
                  </c:pt>
                  <c:pt idx="1">
                    <c:v>0.48169870389972907</c:v>
                  </c:pt>
                  <c:pt idx="2">
                    <c:v>0.5481738642107733</c:v>
                  </c:pt>
                  <c:pt idx="3">
                    <c:v>0.18760822492860518</c:v>
                  </c:pt>
                </c:numCache>
              </c:numRef>
            </c:plus>
            <c:minus>
              <c:numRef>
                <c:f>BroadBdSpi!$AD$93:$AG$93</c:f>
                <c:numCache>
                  <c:formatCode>General</c:formatCode>
                  <c:ptCount val="4"/>
                  <c:pt idx="0">
                    <c:v>0.29960888226537036</c:v>
                  </c:pt>
                  <c:pt idx="1">
                    <c:v>0.48169870389972907</c:v>
                  </c:pt>
                  <c:pt idx="2">
                    <c:v>0.5481738642107733</c:v>
                  </c:pt>
                  <c:pt idx="3">
                    <c:v>0.18760822492860518</c:v>
                  </c:pt>
                </c:numCache>
              </c:numRef>
            </c:minus>
          </c:errBars>
          <c:cat>
            <c:strRef>
              <c:f>BroadBdSpi!$AD$78:$AG$78</c:f>
              <c:strCache>
                <c:ptCount val="4"/>
                <c:pt idx="0">
                  <c:v>FOR &amp; PAR</c:v>
                </c:pt>
                <c:pt idx="1">
                  <c:v>FOR &amp; CA1</c:v>
                </c:pt>
                <c:pt idx="2">
                  <c:v>PAR &amp; CA1</c:v>
                </c:pt>
                <c:pt idx="3">
                  <c:v>Triple</c:v>
                </c:pt>
              </c:strCache>
            </c:strRef>
          </c:cat>
          <c:val>
            <c:numRef>
              <c:f>BroadBdSpi!$AD$82:$AG$82</c:f>
              <c:numCache>
                <c:formatCode>0.00</c:formatCode>
                <c:ptCount val="4"/>
                <c:pt idx="0">
                  <c:v>3.9046494365037208</c:v>
                </c:pt>
                <c:pt idx="1">
                  <c:v>2.838305834384792</c:v>
                </c:pt>
                <c:pt idx="2">
                  <c:v>4.0359952588914689</c:v>
                </c:pt>
                <c:pt idx="3">
                  <c:v>1.2737255917322274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8C-4FC0-B5B3-7D767488C3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5389440"/>
        <c:axId val="145390976"/>
      </c:barChart>
      <c:catAx>
        <c:axId val="145389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5390976"/>
        <c:crosses val="autoZero"/>
        <c:auto val="1"/>
        <c:lblAlgn val="ctr"/>
        <c:lblOffset val="100"/>
        <c:noMultiLvlLbl val="0"/>
      </c:catAx>
      <c:valAx>
        <c:axId val="145390976"/>
        <c:scaling>
          <c:orientation val="minMax"/>
        </c:scaling>
        <c:delete val="0"/>
        <c:axPos val="l"/>
        <c:numFmt formatCode="0" sourceLinked="0"/>
        <c:majorTickMark val="out"/>
        <c:minorTickMark val="none"/>
        <c:tickLblPos val="nextTo"/>
        <c:crossAx val="145389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9730509259259257"/>
          <c:y val="5.3796296296296344E-3"/>
          <c:w val="0.40269490740740743"/>
          <c:h val="0.17197175925925923"/>
        </c:manualLayout>
      </c:layout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323424688193045"/>
          <c:y val="6.52787037037037E-2"/>
          <c:w val="0.78891045596044684"/>
          <c:h val="0.78742685185185191"/>
        </c:manualLayout>
      </c:layout>
      <c:barChart>
        <c:barDir val="col"/>
        <c:grouping val="clustered"/>
        <c:varyColors val="0"/>
        <c:ser>
          <c:idx val="0"/>
          <c:order val="0"/>
          <c:tx>
            <c:v>IN</c:v>
          </c:tx>
          <c:invertIfNegative val="0"/>
          <c:errBars>
            <c:errBarType val="both"/>
            <c:errValType val="cust"/>
            <c:noEndCap val="0"/>
            <c:plus>
              <c:numRef>
                <c:f>BroadBdSpi!$AI$90</c:f>
                <c:numCache>
                  <c:formatCode>General</c:formatCode>
                  <c:ptCount val="1"/>
                  <c:pt idx="0">
                    <c:v>0.13343682707665944</c:v>
                  </c:pt>
                </c:numCache>
              </c:numRef>
            </c:plus>
            <c:minus>
              <c:numRef>
                <c:f>BroadBdSpi!$AI$90</c:f>
                <c:numCache>
                  <c:formatCode>General</c:formatCode>
                  <c:ptCount val="1"/>
                  <c:pt idx="0">
                    <c:v>0.13343682707665944</c:v>
                  </c:pt>
                </c:numCache>
              </c:numRef>
            </c:minus>
          </c:errBars>
          <c:cat>
            <c:strRef>
              <c:f>BroadBdSpi!$AI$78</c:f>
              <c:strCache>
                <c:ptCount val="1"/>
                <c:pt idx="0">
                  <c:v>FOR &amp; CA1 + Ripple</c:v>
                </c:pt>
              </c:strCache>
            </c:strRef>
          </c:cat>
          <c:val>
            <c:numRef>
              <c:f>BroadBdSpi!$AI$79</c:f>
              <c:numCache>
                <c:formatCode>0.00</c:formatCode>
                <c:ptCount val="1"/>
                <c:pt idx="0">
                  <c:v>0.90694559793842566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51-4B79-AE4D-51B42351F51E}"/>
            </c:ext>
          </c:extLst>
        </c:ser>
        <c:ser>
          <c:idx val="1"/>
          <c:order val="1"/>
          <c:tx>
            <c:v>OUT</c:v>
          </c:tx>
          <c:invertIfNegative val="0"/>
          <c:errBars>
            <c:errBarType val="both"/>
            <c:errValType val="cust"/>
            <c:noEndCap val="0"/>
            <c:plus>
              <c:numRef>
                <c:f>BroadBdSpi!$AI$91</c:f>
                <c:numCache>
                  <c:formatCode>General</c:formatCode>
                  <c:ptCount val="1"/>
                  <c:pt idx="0">
                    <c:v>5.9661784947085753E-2</c:v>
                  </c:pt>
                </c:numCache>
              </c:numRef>
            </c:plus>
            <c:minus>
              <c:numRef>
                <c:f>BroadBdSpi!$AI$91</c:f>
                <c:numCache>
                  <c:formatCode>General</c:formatCode>
                  <c:ptCount val="1"/>
                  <c:pt idx="0">
                    <c:v>5.9661784947085753E-2</c:v>
                  </c:pt>
                </c:numCache>
              </c:numRef>
            </c:minus>
          </c:errBars>
          <c:cat>
            <c:strRef>
              <c:f>BroadBdSpi!$AI$78</c:f>
              <c:strCache>
                <c:ptCount val="1"/>
                <c:pt idx="0">
                  <c:v>FOR &amp; CA1 + Ripple</c:v>
                </c:pt>
              </c:strCache>
            </c:strRef>
          </c:cat>
          <c:val>
            <c:numRef>
              <c:f>BroadBdSpi!$AI$80</c:f>
              <c:numCache>
                <c:formatCode>0.00</c:formatCode>
                <c:ptCount val="1"/>
                <c:pt idx="0">
                  <c:v>0.34047073001190298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51-4B79-AE4D-51B42351F51E}"/>
            </c:ext>
          </c:extLst>
        </c:ser>
        <c:ser>
          <c:idx val="2"/>
          <c:order val="2"/>
          <c:tx>
            <c:v>NoStim-IN</c:v>
          </c:tx>
          <c:invertIfNegative val="0"/>
          <c:errBars>
            <c:errBarType val="both"/>
            <c:errValType val="cust"/>
            <c:noEndCap val="0"/>
            <c:plus>
              <c:numRef>
                <c:f>BroadBdSpi!$AI$93</c:f>
                <c:numCache>
                  <c:formatCode>General</c:formatCode>
                  <c:ptCount val="1"/>
                  <c:pt idx="0">
                    <c:v>0.18890159924297342</c:v>
                  </c:pt>
                </c:numCache>
              </c:numRef>
            </c:plus>
            <c:minus>
              <c:numRef>
                <c:f>BroadBdSpi!$AI$93</c:f>
                <c:numCache>
                  <c:formatCode>General</c:formatCode>
                  <c:ptCount val="1"/>
                  <c:pt idx="0">
                    <c:v>0.18890159924297342</c:v>
                  </c:pt>
                </c:numCache>
              </c:numRef>
            </c:minus>
          </c:errBars>
          <c:cat>
            <c:strRef>
              <c:f>BroadBdSpi!$AI$78</c:f>
              <c:strCache>
                <c:ptCount val="1"/>
                <c:pt idx="0">
                  <c:v>FOR &amp; CA1 + Ripple</c:v>
                </c:pt>
              </c:strCache>
            </c:strRef>
          </c:cat>
          <c:val>
            <c:numRef>
              <c:f>BroadBdSpi!$AI$82</c:f>
              <c:numCache>
                <c:formatCode>0.00</c:formatCode>
                <c:ptCount val="1"/>
                <c:pt idx="0">
                  <c:v>0.565845345328572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651-4B79-AE4D-51B42351F5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5389440"/>
        <c:axId val="145390976"/>
      </c:barChart>
      <c:catAx>
        <c:axId val="145389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5390976"/>
        <c:crosses val="autoZero"/>
        <c:auto val="1"/>
        <c:lblAlgn val="ctr"/>
        <c:lblOffset val="100"/>
        <c:noMultiLvlLbl val="0"/>
      </c:catAx>
      <c:valAx>
        <c:axId val="145390976"/>
        <c:scaling>
          <c:orientation val="minMax"/>
        </c:scaling>
        <c:delete val="0"/>
        <c:axPos val="l"/>
        <c:numFmt formatCode="0" sourceLinked="0"/>
        <c:majorTickMark val="out"/>
        <c:minorTickMark val="none"/>
        <c:tickLblPos val="nextTo"/>
        <c:crossAx val="145389440"/>
        <c:crosses val="autoZero"/>
        <c:crossBetween val="between"/>
        <c:majorUnit val="1"/>
      </c:valAx>
    </c:plotArea>
    <c:legend>
      <c:legendPos val="r"/>
      <c:layout>
        <c:manualLayout>
          <c:xMode val="edge"/>
          <c:yMode val="edge"/>
          <c:x val="0.25105169993285725"/>
          <c:y val="5.3796296296296344E-3"/>
          <c:w val="0.74894830006714253"/>
          <c:h val="0.17197175925925923"/>
        </c:manualLayout>
      </c:layout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0</xdr:colOff>
      <xdr:row>108</xdr:row>
      <xdr:rowOff>0</xdr:rowOff>
    </xdr:from>
    <xdr:to>
      <xdr:col>36</xdr:col>
      <xdr:colOff>338550</xdr:colOff>
      <xdr:row>119</xdr:row>
      <xdr:rowOff>64500</xdr:rowOff>
    </xdr:to>
    <xdr:graphicFrame macro="">
      <xdr:nvGraphicFramePr>
        <xdr:cNvPr id="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37</xdr:col>
      <xdr:colOff>0</xdr:colOff>
      <xdr:row>108</xdr:row>
      <xdr:rowOff>0</xdr:rowOff>
    </xdr:from>
    <xdr:to>
      <xdr:col>41</xdr:col>
      <xdr:colOff>19050</xdr:colOff>
      <xdr:row>119</xdr:row>
      <xdr:rowOff>64500</xdr:rowOff>
    </xdr:to>
    <xdr:graphicFrame macro="">
      <xdr:nvGraphicFramePr>
        <xdr:cNvPr id="4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0</xdr:colOff>
      <xdr:row>108</xdr:row>
      <xdr:rowOff>0</xdr:rowOff>
    </xdr:from>
    <xdr:to>
      <xdr:col>36</xdr:col>
      <xdr:colOff>338550</xdr:colOff>
      <xdr:row>119</xdr:row>
      <xdr:rowOff>64500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37</xdr:col>
      <xdr:colOff>0</xdr:colOff>
      <xdr:row>108</xdr:row>
      <xdr:rowOff>0</xdr:rowOff>
    </xdr:from>
    <xdr:to>
      <xdr:col>41</xdr:col>
      <xdr:colOff>19050</xdr:colOff>
      <xdr:row>119</xdr:row>
      <xdr:rowOff>64500</xdr:rowOff>
    </xdr:to>
    <xdr:graphicFrame macro="">
      <xdr:nvGraphicFramePr>
        <xdr:cNvPr id="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0"/>
  <sheetViews>
    <sheetView topLeftCell="Y99" workbookViewId="0">
      <selection activeCell="AQ105" sqref="AQ105"/>
    </sheetView>
  </sheetViews>
  <sheetFormatPr baseColWidth="10" defaultColWidth="9.140625" defaultRowHeight="15" x14ac:dyDescent="0.25"/>
  <cols>
    <col min="2" max="2" width="24.140625" bestFit="1" customWidth="1"/>
    <col min="3" max="3" width="12" bestFit="1" customWidth="1"/>
    <col min="4" max="4" width="10.42578125" bestFit="1" customWidth="1"/>
    <col min="5" max="6" width="10.28515625" bestFit="1" customWidth="1"/>
    <col min="7" max="7" width="6.140625" bestFit="1" customWidth="1"/>
    <col min="8" max="8" width="10.42578125" customWidth="1"/>
    <col min="9" max="10" width="10" customWidth="1"/>
    <col min="11" max="11" width="8" style="27" customWidth="1"/>
    <col min="12" max="19" width="8" customWidth="1"/>
    <col min="20" max="20" width="13.85546875" customWidth="1"/>
    <col min="21" max="21" width="19.28515625" bestFit="1" customWidth="1"/>
    <col min="22" max="22" width="10.42578125" bestFit="1" customWidth="1"/>
    <col min="23" max="24" width="10.28515625" bestFit="1" customWidth="1"/>
    <col min="25" max="25" width="6.140625" bestFit="1" customWidth="1"/>
    <col min="26" max="27" width="10.140625" customWidth="1"/>
    <col min="28" max="28" width="10" customWidth="1"/>
    <col min="29" max="29" width="7.5703125" style="27" customWidth="1"/>
    <col min="34" max="34" width="11.140625" customWidth="1"/>
    <col min="35" max="35" width="10.7109375" customWidth="1"/>
    <col min="36" max="36" width="10.42578125" customWidth="1"/>
  </cols>
  <sheetData>
    <row r="1" spans="1:37" x14ac:dyDescent="0.25">
      <c r="D1" s="46" t="s">
        <v>77</v>
      </c>
      <c r="E1" s="46"/>
      <c r="F1" s="46"/>
      <c r="G1" s="46"/>
      <c r="H1" s="46"/>
      <c r="I1" s="46"/>
      <c r="J1" s="46"/>
      <c r="K1" s="47"/>
      <c r="L1" s="48" t="s">
        <v>78</v>
      </c>
      <c r="M1" s="48"/>
      <c r="N1" s="48"/>
      <c r="O1" s="48"/>
      <c r="P1" s="48"/>
      <c r="Q1" s="48"/>
      <c r="R1" s="48"/>
      <c r="S1" s="48"/>
      <c r="V1" s="48" t="s">
        <v>77</v>
      </c>
      <c r="W1" s="48"/>
      <c r="X1" s="48"/>
      <c r="Y1" s="48"/>
      <c r="Z1" s="48"/>
      <c r="AA1" s="48"/>
      <c r="AB1" s="48"/>
      <c r="AC1" s="48"/>
      <c r="AD1" s="48" t="s">
        <v>78</v>
      </c>
      <c r="AE1" s="48"/>
      <c r="AF1" s="48"/>
      <c r="AG1" s="48"/>
      <c r="AH1" s="48"/>
      <c r="AI1" s="48"/>
      <c r="AJ1" s="48"/>
      <c r="AK1" s="48"/>
    </row>
    <row r="2" spans="1:37" s="19" customFormat="1" ht="33" customHeight="1" x14ac:dyDescent="0.25">
      <c r="C2" s="19" t="s">
        <v>63</v>
      </c>
      <c r="D2" s="19" t="s">
        <v>64</v>
      </c>
      <c r="E2" s="19" t="s">
        <v>65</v>
      </c>
      <c r="F2" s="19" t="s">
        <v>66</v>
      </c>
      <c r="G2" s="19" t="s">
        <v>67</v>
      </c>
      <c r="H2" s="19" t="s">
        <v>68</v>
      </c>
      <c r="I2" s="19" t="s">
        <v>69</v>
      </c>
      <c r="J2" s="19" t="s">
        <v>70</v>
      </c>
      <c r="K2" s="20" t="s">
        <v>71</v>
      </c>
      <c r="L2" s="19" t="s">
        <v>64</v>
      </c>
      <c r="M2" s="19" t="s">
        <v>65</v>
      </c>
      <c r="N2" s="19" t="s">
        <v>66</v>
      </c>
      <c r="O2" s="19" t="s">
        <v>67</v>
      </c>
      <c r="P2" s="19" t="s">
        <v>68</v>
      </c>
      <c r="Q2" s="19" t="s">
        <v>69</v>
      </c>
      <c r="R2" s="19" t="s">
        <v>70</v>
      </c>
      <c r="S2" s="19" t="s">
        <v>71</v>
      </c>
      <c r="V2" s="19" t="s">
        <v>64</v>
      </c>
      <c r="W2" s="19" t="s">
        <v>65</v>
      </c>
      <c r="X2" s="19" t="s">
        <v>66</v>
      </c>
      <c r="Y2" s="19" t="s">
        <v>67</v>
      </c>
      <c r="Z2" s="19" t="s">
        <v>68</v>
      </c>
      <c r="AA2" s="19" t="s">
        <v>69</v>
      </c>
      <c r="AB2" s="19" t="s">
        <v>70</v>
      </c>
      <c r="AC2" s="20" t="s">
        <v>71</v>
      </c>
      <c r="AD2" s="19" t="s">
        <v>64</v>
      </c>
      <c r="AE2" s="19" t="s">
        <v>65</v>
      </c>
      <c r="AF2" s="19" t="s">
        <v>66</v>
      </c>
      <c r="AG2" s="19" t="s">
        <v>67</v>
      </c>
      <c r="AH2" s="19" t="s">
        <v>68</v>
      </c>
      <c r="AI2" s="19" t="s">
        <v>69</v>
      </c>
      <c r="AJ2" s="19" t="s">
        <v>70</v>
      </c>
      <c r="AK2" s="19" t="s">
        <v>71</v>
      </c>
    </row>
    <row r="3" spans="1:37" s="4" customFormat="1" x14ac:dyDescent="0.25">
      <c r="A3" s="44" t="s">
        <v>55</v>
      </c>
      <c r="B3" s="4" t="s">
        <v>10</v>
      </c>
      <c r="C3" s="5">
        <v>169</v>
      </c>
      <c r="D3" s="5">
        <v>37</v>
      </c>
      <c r="E3" s="5">
        <v>26</v>
      </c>
      <c r="F3" s="5">
        <v>25</v>
      </c>
      <c r="G3" s="4">
        <v>15</v>
      </c>
      <c r="H3" s="4">
        <v>3</v>
      </c>
      <c r="I3" s="4">
        <v>5</v>
      </c>
      <c r="J3" s="4">
        <v>4</v>
      </c>
      <c r="K3" s="29">
        <v>1</v>
      </c>
      <c r="L3" s="4">
        <v>38</v>
      </c>
      <c r="M3" s="4">
        <v>28</v>
      </c>
      <c r="N3" s="4">
        <v>26</v>
      </c>
      <c r="O3" s="4">
        <v>15</v>
      </c>
      <c r="P3" s="4">
        <v>3</v>
      </c>
      <c r="Q3" s="4">
        <v>6</v>
      </c>
      <c r="R3" s="4">
        <v>4</v>
      </c>
      <c r="S3" s="4">
        <v>1</v>
      </c>
      <c r="V3" s="6">
        <f t="shared" ref="V3:V34" si="0">(D3/$C3)*100</f>
        <v>21.893491124260358</v>
      </c>
      <c r="W3" s="6">
        <f t="shared" ref="W3:W34" si="1">(E3/$C3)*100</f>
        <v>15.384615384615385</v>
      </c>
      <c r="X3" s="6">
        <f t="shared" ref="X3:X34" si="2">(F3/$C3)*100</f>
        <v>14.792899408284024</v>
      </c>
      <c r="Y3" s="6">
        <f t="shared" ref="Y3:Y34" si="3">(G3/$C3)*100</f>
        <v>8.8757396449704142</v>
      </c>
      <c r="Z3" s="6">
        <f t="shared" ref="Z3:Z34" si="4">(H3/$C3)*100</f>
        <v>1.7751479289940828</v>
      </c>
      <c r="AA3" s="6">
        <f t="shared" ref="AA3:AA34" si="5">(I3/$C3)*100</f>
        <v>2.9585798816568047</v>
      </c>
      <c r="AB3" s="6">
        <f t="shared" ref="AB3:AB34" si="6">(J3/$C3)*100</f>
        <v>2.3668639053254439</v>
      </c>
      <c r="AC3" s="21">
        <f t="shared" ref="AC3:AC34" si="7">(K3/$C3)*100</f>
        <v>0.59171597633136097</v>
      </c>
      <c r="AD3" s="6">
        <f>(L3/$C3)*100</f>
        <v>22.485207100591715</v>
      </c>
      <c r="AE3" s="6">
        <f t="shared" ref="AD3:AG18" si="8">(M3/$C3)*100</f>
        <v>16.568047337278109</v>
      </c>
      <c r="AF3" s="6">
        <f t="shared" si="8"/>
        <v>15.384615384615385</v>
      </c>
      <c r="AG3" s="6">
        <f>(O3/$C3)*100</f>
        <v>8.8757396449704142</v>
      </c>
      <c r="AH3" s="6">
        <f t="shared" ref="AH3:AH34" si="9">(P3/$C3)*100</f>
        <v>1.7751479289940828</v>
      </c>
      <c r="AI3" s="6">
        <f t="shared" ref="AI3:AI66" si="10">(Q3/$C3)*100</f>
        <v>3.5502958579881656</v>
      </c>
      <c r="AJ3" s="6">
        <f t="shared" ref="AJ3:AJ66" si="11">(R3/$C3)*100</f>
        <v>2.3668639053254439</v>
      </c>
      <c r="AK3" s="6">
        <f t="shared" ref="AK3:AK66" si="12">(S3/$C3)*100</f>
        <v>0.59171597633136097</v>
      </c>
    </row>
    <row r="4" spans="1:37" s="4" customFormat="1" x14ac:dyDescent="0.25">
      <c r="A4" s="44"/>
      <c r="B4" s="4" t="s">
        <v>11</v>
      </c>
      <c r="C4" s="5">
        <v>316</v>
      </c>
      <c r="D4" s="5">
        <v>36</v>
      </c>
      <c r="E4" s="5">
        <v>24</v>
      </c>
      <c r="F4" s="5">
        <v>24</v>
      </c>
      <c r="G4" s="4">
        <v>13</v>
      </c>
      <c r="H4" s="4">
        <v>5</v>
      </c>
      <c r="I4" s="4">
        <v>6</v>
      </c>
      <c r="J4" s="4">
        <v>4</v>
      </c>
      <c r="K4" s="29">
        <v>2</v>
      </c>
      <c r="L4" s="4">
        <v>39</v>
      </c>
      <c r="M4" s="4">
        <v>25</v>
      </c>
      <c r="N4" s="4">
        <v>26</v>
      </c>
      <c r="O4" s="4">
        <v>15</v>
      </c>
      <c r="P4" s="4">
        <v>5</v>
      </c>
      <c r="Q4" s="4">
        <v>6</v>
      </c>
      <c r="R4" s="4">
        <v>4</v>
      </c>
      <c r="S4" s="4">
        <v>2</v>
      </c>
      <c r="V4" s="6">
        <f t="shared" si="0"/>
        <v>11.39240506329114</v>
      </c>
      <c r="W4" s="6">
        <f t="shared" si="1"/>
        <v>7.59493670886076</v>
      </c>
      <c r="X4" s="6">
        <f t="shared" si="2"/>
        <v>7.59493670886076</v>
      </c>
      <c r="Y4" s="6">
        <f t="shared" si="3"/>
        <v>4.1139240506329111</v>
      </c>
      <c r="Z4" s="6">
        <f t="shared" si="4"/>
        <v>1.5822784810126582</v>
      </c>
      <c r="AA4" s="6">
        <f t="shared" si="5"/>
        <v>1.89873417721519</v>
      </c>
      <c r="AB4" s="6">
        <f t="shared" si="6"/>
        <v>1.2658227848101267</v>
      </c>
      <c r="AC4" s="21">
        <f t="shared" si="7"/>
        <v>0.63291139240506333</v>
      </c>
      <c r="AD4" s="6">
        <f t="shared" si="8"/>
        <v>12.341772151898734</v>
      </c>
      <c r="AE4" s="6">
        <f t="shared" si="8"/>
        <v>7.9113924050632916</v>
      </c>
      <c r="AF4" s="6">
        <f t="shared" si="8"/>
        <v>8.2278481012658222</v>
      </c>
      <c r="AG4" s="6">
        <f t="shared" si="8"/>
        <v>4.7468354430379751</v>
      </c>
      <c r="AH4" s="6">
        <f t="shared" si="9"/>
        <v>1.5822784810126582</v>
      </c>
      <c r="AI4" s="6">
        <f t="shared" si="10"/>
        <v>1.89873417721519</v>
      </c>
      <c r="AJ4" s="6">
        <f t="shared" si="11"/>
        <v>1.2658227848101267</v>
      </c>
      <c r="AK4" s="6">
        <f t="shared" si="12"/>
        <v>0.63291139240506333</v>
      </c>
    </row>
    <row r="5" spans="1:37" s="4" customFormat="1" x14ac:dyDescent="0.25">
      <c r="A5" s="44"/>
      <c r="B5" s="4" t="s">
        <v>12</v>
      </c>
      <c r="C5" s="5">
        <v>727</v>
      </c>
      <c r="D5" s="5">
        <v>106</v>
      </c>
      <c r="E5" s="5">
        <v>69</v>
      </c>
      <c r="F5" s="5">
        <v>57</v>
      </c>
      <c r="G5" s="4">
        <v>30</v>
      </c>
      <c r="H5" s="4">
        <v>16</v>
      </c>
      <c r="I5" s="4">
        <v>15</v>
      </c>
      <c r="J5" s="4">
        <v>13</v>
      </c>
      <c r="K5" s="29">
        <v>7</v>
      </c>
      <c r="L5" s="4">
        <v>111</v>
      </c>
      <c r="M5" s="4">
        <v>70</v>
      </c>
      <c r="N5" s="4">
        <v>59</v>
      </c>
      <c r="O5" s="4">
        <v>30</v>
      </c>
      <c r="P5" s="4">
        <v>22</v>
      </c>
      <c r="Q5" s="4">
        <v>18</v>
      </c>
      <c r="R5" s="4">
        <v>18</v>
      </c>
      <c r="S5" s="4">
        <v>9</v>
      </c>
      <c r="V5" s="6">
        <f t="shared" si="0"/>
        <v>14.580467675378268</v>
      </c>
      <c r="W5" s="6">
        <f t="shared" si="1"/>
        <v>9.4910591471801915</v>
      </c>
      <c r="X5" s="6">
        <f t="shared" si="2"/>
        <v>7.8404401650618984</v>
      </c>
      <c r="Y5" s="6">
        <f t="shared" si="3"/>
        <v>4.1265474552957357</v>
      </c>
      <c r="Z5" s="6">
        <f t="shared" si="4"/>
        <v>2.200825309491059</v>
      </c>
      <c r="AA5" s="6">
        <f t="shared" si="5"/>
        <v>2.0632737276478679</v>
      </c>
      <c r="AB5" s="6">
        <f t="shared" si="6"/>
        <v>1.7881705639614855</v>
      </c>
      <c r="AC5" s="21">
        <f t="shared" si="7"/>
        <v>0.96286107290233847</v>
      </c>
      <c r="AD5" s="6">
        <f t="shared" si="8"/>
        <v>15.268225584594223</v>
      </c>
      <c r="AE5" s="6">
        <f t="shared" si="8"/>
        <v>9.628610729023384</v>
      </c>
      <c r="AF5" s="6">
        <f t="shared" si="8"/>
        <v>8.1155433287482808</v>
      </c>
      <c r="AG5" s="6">
        <f t="shared" si="8"/>
        <v>4.1265474552957357</v>
      </c>
      <c r="AH5" s="6">
        <f t="shared" si="9"/>
        <v>3.0261348005502064</v>
      </c>
      <c r="AI5" s="6">
        <f t="shared" si="10"/>
        <v>2.4759284731774414</v>
      </c>
      <c r="AJ5" s="6">
        <f t="shared" si="11"/>
        <v>2.4759284731774414</v>
      </c>
      <c r="AK5" s="6">
        <f t="shared" si="12"/>
        <v>1.2379642365887207</v>
      </c>
    </row>
    <row r="6" spans="1:37" s="4" customFormat="1" x14ac:dyDescent="0.25">
      <c r="A6" s="44"/>
      <c r="B6" s="4" t="s">
        <v>13</v>
      </c>
      <c r="C6" s="5">
        <v>650</v>
      </c>
      <c r="D6" s="5">
        <v>101</v>
      </c>
      <c r="E6" s="5">
        <v>93</v>
      </c>
      <c r="F6" s="5">
        <v>78</v>
      </c>
      <c r="G6" s="4">
        <v>52</v>
      </c>
      <c r="H6" s="4">
        <v>24</v>
      </c>
      <c r="I6" s="4">
        <v>23</v>
      </c>
      <c r="J6" s="4">
        <v>21</v>
      </c>
      <c r="K6" s="29">
        <v>13</v>
      </c>
      <c r="L6" s="4">
        <v>106</v>
      </c>
      <c r="M6" s="4">
        <v>98</v>
      </c>
      <c r="N6" s="4">
        <v>83</v>
      </c>
      <c r="O6" s="4">
        <v>54</v>
      </c>
      <c r="P6" s="4">
        <v>25</v>
      </c>
      <c r="Q6" s="4">
        <v>26</v>
      </c>
      <c r="R6" s="4">
        <v>23</v>
      </c>
      <c r="S6" s="4">
        <v>14</v>
      </c>
      <c r="V6" s="6">
        <f t="shared" si="0"/>
        <v>15.538461538461537</v>
      </c>
      <c r="W6" s="6">
        <f t="shared" si="1"/>
        <v>14.307692307692307</v>
      </c>
      <c r="X6" s="6">
        <f t="shared" si="2"/>
        <v>12</v>
      </c>
      <c r="Y6" s="6">
        <f t="shared" si="3"/>
        <v>8</v>
      </c>
      <c r="Z6" s="6">
        <f t="shared" si="4"/>
        <v>3.6923076923076925</v>
      </c>
      <c r="AA6" s="6">
        <f t="shared" si="5"/>
        <v>3.5384615384615383</v>
      </c>
      <c r="AB6" s="6">
        <f t="shared" si="6"/>
        <v>3.2307692307692308</v>
      </c>
      <c r="AC6" s="21">
        <f t="shared" si="7"/>
        <v>2</v>
      </c>
      <c r="AD6" s="6">
        <f t="shared" si="8"/>
        <v>16.307692307692307</v>
      </c>
      <c r="AE6" s="6">
        <f t="shared" si="8"/>
        <v>15.076923076923077</v>
      </c>
      <c r="AF6" s="6">
        <f t="shared" si="8"/>
        <v>12.769230769230768</v>
      </c>
      <c r="AG6" s="6">
        <f t="shared" si="8"/>
        <v>8.3076923076923084</v>
      </c>
      <c r="AH6" s="6">
        <f t="shared" si="9"/>
        <v>3.8461538461538463</v>
      </c>
      <c r="AI6" s="6">
        <f t="shared" si="10"/>
        <v>4</v>
      </c>
      <c r="AJ6" s="6">
        <f t="shared" si="11"/>
        <v>3.5384615384615383</v>
      </c>
      <c r="AK6" s="6">
        <f t="shared" si="12"/>
        <v>2.1538461538461537</v>
      </c>
    </row>
    <row r="7" spans="1:37" s="4" customFormat="1" x14ac:dyDescent="0.25">
      <c r="A7" s="44"/>
      <c r="B7" s="4" t="s">
        <v>14</v>
      </c>
      <c r="C7" s="5">
        <v>692</v>
      </c>
      <c r="D7" s="5">
        <v>119</v>
      </c>
      <c r="E7" s="5">
        <v>120</v>
      </c>
      <c r="F7" s="5">
        <v>112</v>
      </c>
      <c r="G7" s="4">
        <v>64</v>
      </c>
      <c r="H7" s="4">
        <v>17</v>
      </c>
      <c r="I7" s="4">
        <v>15</v>
      </c>
      <c r="J7" s="4">
        <v>14</v>
      </c>
      <c r="K7" s="29">
        <v>8</v>
      </c>
      <c r="L7" s="4">
        <v>126</v>
      </c>
      <c r="M7" s="4">
        <v>128</v>
      </c>
      <c r="N7" s="4">
        <v>116</v>
      </c>
      <c r="O7" s="4">
        <v>68</v>
      </c>
      <c r="P7" s="4">
        <v>22</v>
      </c>
      <c r="Q7" s="4">
        <v>17</v>
      </c>
      <c r="R7" s="4">
        <v>17</v>
      </c>
      <c r="S7" s="4">
        <v>10</v>
      </c>
      <c r="V7" s="6">
        <f t="shared" si="0"/>
        <v>17.196531791907514</v>
      </c>
      <c r="W7" s="6">
        <f t="shared" si="1"/>
        <v>17.341040462427745</v>
      </c>
      <c r="X7" s="6">
        <f t="shared" si="2"/>
        <v>16.184971098265898</v>
      </c>
      <c r="Y7" s="6">
        <f t="shared" si="3"/>
        <v>9.2485549132947966</v>
      </c>
      <c r="Z7" s="6">
        <f t="shared" si="4"/>
        <v>2.4566473988439306</v>
      </c>
      <c r="AA7" s="6">
        <f t="shared" si="5"/>
        <v>2.1676300578034682</v>
      </c>
      <c r="AB7" s="6">
        <f t="shared" si="6"/>
        <v>2.0231213872832372</v>
      </c>
      <c r="AC7" s="21">
        <f t="shared" si="7"/>
        <v>1.1560693641618496</v>
      </c>
      <c r="AD7" s="6">
        <f t="shared" si="8"/>
        <v>18.20809248554913</v>
      </c>
      <c r="AE7" s="6">
        <f t="shared" si="8"/>
        <v>18.497109826589593</v>
      </c>
      <c r="AF7" s="6">
        <f t="shared" si="8"/>
        <v>16.76300578034682</v>
      </c>
      <c r="AG7" s="6">
        <f t="shared" si="8"/>
        <v>9.8265895953757223</v>
      </c>
      <c r="AH7" s="6">
        <f t="shared" si="9"/>
        <v>3.1791907514450863</v>
      </c>
      <c r="AI7" s="6">
        <f t="shared" si="10"/>
        <v>2.4566473988439306</v>
      </c>
      <c r="AJ7" s="6">
        <f t="shared" si="11"/>
        <v>2.4566473988439306</v>
      </c>
      <c r="AK7" s="6">
        <f t="shared" si="12"/>
        <v>1.4450867052023122</v>
      </c>
    </row>
    <row r="8" spans="1:37" s="4" customFormat="1" x14ac:dyDescent="0.25">
      <c r="A8" s="44"/>
      <c r="B8" s="4" t="s">
        <v>15</v>
      </c>
      <c r="C8" s="5">
        <v>591</v>
      </c>
      <c r="D8" s="5">
        <v>67</v>
      </c>
      <c r="E8" s="5">
        <v>50</v>
      </c>
      <c r="F8" s="5">
        <v>71</v>
      </c>
      <c r="G8" s="4">
        <v>29</v>
      </c>
      <c r="H8" s="4">
        <v>5</v>
      </c>
      <c r="I8" s="4">
        <v>6</v>
      </c>
      <c r="J8" s="4">
        <v>13</v>
      </c>
      <c r="K8" s="29">
        <v>3</v>
      </c>
      <c r="L8" s="4">
        <v>68</v>
      </c>
      <c r="M8" s="4">
        <v>52</v>
      </c>
      <c r="N8" s="4">
        <v>74</v>
      </c>
      <c r="O8" s="4">
        <v>31</v>
      </c>
      <c r="P8" s="4">
        <v>7</v>
      </c>
      <c r="Q8" s="4">
        <v>7</v>
      </c>
      <c r="R8" s="4">
        <v>18</v>
      </c>
      <c r="S8" s="4">
        <v>4</v>
      </c>
      <c r="V8" s="6">
        <f t="shared" si="0"/>
        <v>11.336717428087987</v>
      </c>
      <c r="W8" s="6">
        <f t="shared" si="1"/>
        <v>8.4602368866328259</v>
      </c>
      <c r="X8" s="6">
        <f t="shared" si="2"/>
        <v>12.013536379018612</v>
      </c>
      <c r="Y8" s="6">
        <f t="shared" si="3"/>
        <v>4.9069373942470387</v>
      </c>
      <c r="Z8" s="6">
        <f t="shared" si="4"/>
        <v>0.84602368866328259</v>
      </c>
      <c r="AA8" s="6">
        <f t="shared" si="5"/>
        <v>1.015228426395939</v>
      </c>
      <c r="AB8" s="6">
        <f t="shared" si="6"/>
        <v>2.1996615905245349</v>
      </c>
      <c r="AC8" s="21">
        <f t="shared" si="7"/>
        <v>0.50761421319796951</v>
      </c>
      <c r="AD8" s="6">
        <f t="shared" si="8"/>
        <v>11.505922165820643</v>
      </c>
      <c r="AE8" s="6">
        <f t="shared" si="8"/>
        <v>8.7986463620981397</v>
      </c>
      <c r="AF8" s="6">
        <f t="shared" si="8"/>
        <v>12.521150592216582</v>
      </c>
      <c r="AG8" s="6">
        <f t="shared" si="8"/>
        <v>5.2453468697123524</v>
      </c>
      <c r="AH8" s="6">
        <f t="shared" si="9"/>
        <v>1.1844331641285957</v>
      </c>
      <c r="AI8" s="6">
        <f t="shared" si="10"/>
        <v>1.1844331641285957</v>
      </c>
      <c r="AJ8" s="6">
        <f t="shared" si="11"/>
        <v>3.0456852791878175</v>
      </c>
      <c r="AK8" s="6">
        <f t="shared" si="12"/>
        <v>0.67681895093062605</v>
      </c>
    </row>
    <row r="9" spans="1:37" s="4" customFormat="1" x14ac:dyDescent="0.25">
      <c r="A9" s="44"/>
      <c r="B9" s="4" t="s">
        <v>16</v>
      </c>
      <c r="C9" s="5">
        <v>807</v>
      </c>
      <c r="D9" s="5">
        <v>108</v>
      </c>
      <c r="E9" s="5">
        <v>107</v>
      </c>
      <c r="F9" s="5">
        <v>71</v>
      </c>
      <c r="G9" s="4">
        <v>44</v>
      </c>
      <c r="H9" s="4">
        <v>19</v>
      </c>
      <c r="I9" s="4">
        <v>22</v>
      </c>
      <c r="J9" s="4">
        <v>14</v>
      </c>
      <c r="K9" s="29">
        <v>9</v>
      </c>
      <c r="L9" s="4">
        <v>116</v>
      </c>
      <c r="M9" s="4">
        <v>109</v>
      </c>
      <c r="N9" s="4">
        <v>73</v>
      </c>
      <c r="O9" s="4">
        <v>47</v>
      </c>
      <c r="P9" s="4">
        <v>25</v>
      </c>
      <c r="Q9" s="4">
        <v>25</v>
      </c>
      <c r="R9" s="4">
        <v>17</v>
      </c>
      <c r="S9" s="4">
        <v>10</v>
      </c>
      <c r="V9" s="6">
        <f t="shared" si="0"/>
        <v>13.382899628252787</v>
      </c>
      <c r="W9" s="6">
        <f t="shared" si="1"/>
        <v>13.258983890954152</v>
      </c>
      <c r="X9" s="6">
        <f t="shared" si="2"/>
        <v>8.7980173482032207</v>
      </c>
      <c r="Y9" s="6">
        <f t="shared" si="3"/>
        <v>5.4522924411400249</v>
      </c>
      <c r="Z9" s="6">
        <f t="shared" si="4"/>
        <v>2.3543990086741013</v>
      </c>
      <c r="AA9" s="6">
        <f t="shared" si="5"/>
        <v>2.7261462205700124</v>
      </c>
      <c r="AB9" s="6">
        <f t="shared" si="6"/>
        <v>1.7348203221809171</v>
      </c>
      <c r="AC9" s="21">
        <f t="shared" si="7"/>
        <v>1.1152416356877324</v>
      </c>
      <c r="AD9" s="6">
        <f t="shared" si="8"/>
        <v>14.374225526641885</v>
      </c>
      <c r="AE9" s="6">
        <f t="shared" si="8"/>
        <v>13.506815365551425</v>
      </c>
      <c r="AF9" s="6">
        <f t="shared" si="8"/>
        <v>9.0458488228004956</v>
      </c>
      <c r="AG9" s="6">
        <f t="shared" si="8"/>
        <v>5.8240396530359355</v>
      </c>
      <c r="AH9" s="6">
        <f t="shared" si="9"/>
        <v>3.0978934324659235</v>
      </c>
      <c r="AI9" s="6">
        <f t="shared" si="10"/>
        <v>3.0978934324659235</v>
      </c>
      <c r="AJ9" s="6">
        <f t="shared" si="11"/>
        <v>2.1065675340768277</v>
      </c>
      <c r="AK9" s="6">
        <f t="shared" si="12"/>
        <v>1.2391573729863694</v>
      </c>
    </row>
    <row r="10" spans="1:37" s="4" customFormat="1" x14ac:dyDescent="0.25">
      <c r="A10" s="44"/>
      <c r="B10" s="4" t="s">
        <v>17</v>
      </c>
      <c r="C10" s="5">
        <v>881</v>
      </c>
      <c r="D10" s="5">
        <v>121</v>
      </c>
      <c r="E10" s="5">
        <v>103</v>
      </c>
      <c r="F10" s="5">
        <v>113</v>
      </c>
      <c r="G10" s="4">
        <v>64</v>
      </c>
      <c r="H10" s="4">
        <v>16</v>
      </c>
      <c r="I10" s="4">
        <v>23</v>
      </c>
      <c r="J10" s="4">
        <v>20</v>
      </c>
      <c r="K10" s="29">
        <v>11</v>
      </c>
      <c r="L10" s="4">
        <v>126</v>
      </c>
      <c r="M10" s="4">
        <v>107</v>
      </c>
      <c r="N10" s="4">
        <v>115</v>
      </c>
      <c r="O10" s="4">
        <v>65</v>
      </c>
      <c r="P10" s="4">
        <v>16</v>
      </c>
      <c r="Q10" s="4">
        <v>23</v>
      </c>
      <c r="R10" s="4">
        <v>23</v>
      </c>
      <c r="S10" s="4">
        <v>11</v>
      </c>
      <c r="V10" s="6">
        <f t="shared" si="0"/>
        <v>13.734392735527809</v>
      </c>
      <c r="W10" s="6">
        <f t="shared" si="1"/>
        <v>11.691259931895573</v>
      </c>
      <c r="X10" s="6">
        <f t="shared" si="2"/>
        <v>12.826333711691259</v>
      </c>
      <c r="Y10" s="6">
        <f t="shared" si="3"/>
        <v>7.2644721906923948</v>
      </c>
      <c r="Z10" s="6">
        <f t="shared" si="4"/>
        <v>1.8161180476730987</v>
      </c>
      <c r="AA10" s="6">
        <f t="shared" si="5"/>
        <v>2.6106696935300793</v>
      </c>
      <c r="AB10" s="6">
        <f t="shared" si="6"/>
        <v>2.2701475595913734</v>
      </c>
      <c r="AC10" s="21">
        <f t="shared" si="7"/>
        <v>1.2485811577752552</v>
      </c>
      <c r="AD10" s="6">
        <f t="shared" si="8"/>
        <v>14.301929625425652</v>
      </c>
      <c r="AE10" s="6">
        <f t="shared" si="8"/>
        <v>12.145289443813848</v>
      </c>
      <c r="AF10" s="6">
        <f t="shared" si="8"/>
        <v>13.053348467650396</v>
      </c>
      <c r="AG10" s="6">
        <f t="shared" si="8"/>
        <v>7.3779795686719636</v>
      </c>
      <c r="AH10" s="6">
        <f t="shared" si="9"/>
        <v>1.8161180476730987</v>
      </c>
      <c r="AI10" s="6">
        <f t="shared" si="10"/>
        <v>2.6106696935300793</v>
      </c>
      <c r="AJ10" s="6">
        <f t="shared" si="11"/>
        <v>2.6106696935300793</v>
      </c>
      <c r="AK10" s="6">
        <f t="shared" si="12"/>
        <v>1.2485811577752552</v>
      </c>
    </row>
    <row r="11" spans="1:37" s="7" customFormat="1" x14ac:dyDescent="0.25">
      <c r="A11" s="45" t="s">
        <v>56</v>
      </c>
      <c r="B11" s="7" t="s">
        <v>18</v>
      </c>
      <c r="C11" s="8">
        <v>600</v>
      </c>
      <c r="D11" s="8">
        <v>50</v>
      </c>
      <c r="E11" s="8">
        <v>38</v>
      </c>
      <c r="F11" s="8">
        <v>52</v>
      </c>
      <c r="G11" s="7">
        <v>13</v>
      </c>
      <c r="H11" s="7">
        <v>4</v>
      </c>
      <c r="I11" s="7">
        <v>2</v>
      </c>
      <c r="J11" s="7">
        <v>6</v>
      </c>
      <c r="K11" s="30">
        <v>1</v>
      </c>
      <c r="L11" s="7">
        <v>52</v>
      </c>
      <c r="M11" s="7">
        <v>41</v>
      </c>
      <c r="N11" s="7">
        <v>54</v>
      </c>
      <c r="O11" s="7">
        <v>15</v>
      </c>
      <c r="P11" s="7">
        <v>4</v>
      </c>
      <c r="Q11" s="7">
        <v>2</v>
      </c>
      <c r="R11" s="7">
        <v>6</v>
      </c>
      <c r="S11" s="7">
        <v>1</v>
      </c>
      <c r="V11" s="9">
        <f t="shared" si="0"/>
        <v>8.3333333333333321</v>
      </c>
      <c r="W11" s="9">
        <f t="shared" si="1"/>
        <v>6.3333333333333339</v>
      </c>
      <c r="X11" s="9">
        <f t="shared" si="2"/>
        <v>8.6666666666666679</v>
      </c>
      <c r="Y11" s="9">
        <f t="shared" si="3"/>
        <v>2.166666666666667</v>
      </c>
      <c r="Z11" s="9">
        <f t="shared" si="4"/>
        <v>0.66666666666666674</v>
      </c>
      <c r="AA11" s="9">
        <f t="shared" si="5"/>
        <v>0.33333333333333337</v>
      </c>
      <c r="AB11" s="9">
        <f t="shared" si="6"/>
        <v>1</v>
      </c>
      <c r="AC11" s="22">
        <f t="shared" si="7"/>
        <v>0.16666666666666669</v>
      </c>
      <c r="AD11" s="9">
        <f t="shared" si="8"/>
        <v>8.6666666666666679</v>
      </c>
      <c r="AE11" s="9">
        <f t="shared" si="8"/>
        <v>6.833333333333333</v>
      </c>
      <c r="AF11" s="9">
        <f t="shared" si="8"/>
        <v>9</v>
      </c>
      <c r="AG11" s="9">
        <f t="shared" si="8"/>
        <v>2.5</v>
      </c>
      <c r="AH11" s="9">
        <f t="shared" si="9"/>
        <v>0.66666666666666674</v>
      </c>
      <c r="AI11" s="9">
        <f t="shared" si="10"/>
        <v>0.33333333333333337</v>
      </c>
      <c r="AJ11" s="9">
        <f t="shared" si="11"/>
        <v>1</v>
      </c>
      <c r="AK11" s="9">
        <f t="shared" si="12"/>
        <v>0.16666666666666669</v>
      </c>
    </row>
    <row r="12" spans="1:37" s="7" customFormat="1" x14ac:dyDescent="0.25">
      <c r="A12" s="45"/>
      <c r="B12" s="7" t="s">
        <v>19</v>
      </c>
      <c r="C12" s="8">
        <v>752</v>
      </c>
      <c r="D12" s="8">
        <v>68</v>
      </c>
      <c r="E12" s="8">
        <v>66</v>
      </c>
      <c r="F12" s="8">
        <v>46</v>
      </c>
      <c r="G12" s="7">
        <v>19</v>
      </c>
      <c r="H12" s="7">
        <v>12</v>
      </c>
      <c r="I12" s="7">
        <v>9</v>
      </c>
      <c r="J12" s="7">
        <v>10</v>
      </c>
      <c r="K12" s="30">
        <v>5</v>
      </c>
      <c r="L12" s="7">
        <v>69</v>
      </c>
      <c r="M12" s="7">
        <v>67</v>
      </c>
      <c r="N12" s="7">
        <v>47</v>
      </c>
      <c r="O12" s="7">
        <v>19</v>
      </c>
      <c r="P12" s="7">
        <v>15</v>
      </c>
      <c r="Q12" s="7">
        <v>10</v>
      </c>
      <c r="R12" s="7">
        <v>13</v>
      </c>
      <c r="S12" s="7">
        <v>6</v>
      </c>
      <c r="V12" s="9">
        <f t="shared" si="0"/>
        <v>9.0425531914893629</v>
      </c>
      <c r="W12" s="9">
        <f t="shared" si="1"/>
        <v>8.7765957446808507</v>
      </c>
      <c r="X12" s="9">
        <f t="shared" si="2"/>
        <v>6.1170212765957448</v>
      </c>
      <c r="Y12" s="9">
        <f t="shared" si="3"/>
        <v>2.5265957446808507</v>
      </c>
      <c r="Z12" s="9">
        <f t="shared" si="4"/>
        <v>1.5957446808510638</v>
      </c>
      <c r="AA12" s="9">
        <f t="shared" si="5"/>
        <v>1.196808510638298</v>
      </c>
      <c r="AB12" s="9">
        <f t="shared" si="6"/>
        <v>1.3297872340425532</v>
      </c>
      <c r="AC12" s="22">
        <f t="shared" si="7"/>
        <v>0.66489361702127658</v>
      </c>
      <c r="AD12" s="9">
        <f t="shared" si="8"/>
        <v>9.1755319148936163</v>
      </c>
      <c r="AE12" s="9">
        <f t="shared" si="8"/>
        <v>8.9095744680851059</v>
      </c>
      <c r="AF12" s="9">
        <f t="shared" si="8"/>
        <v>6.25</v>
      </c>
      <c r="AG12" s="9">
        <f t="shared" si="8"/>
        <v>2.5265957446808507</v>
      </c>
      <c r="AH12" s="9">
        <f t="shared" si="9"/>
        <v>1.9946808510638299</v>
      </c>
      <c r="AI12" s="9">
        <f t="shared" si="10"/>
        <v>1.3297872340425532</v>
      </c>
      <c r="AJ12" s="9">
        <f t="shared" si="11"/>
        <v>1.7287234042553192</v>
      </c>
      <c r="AK12" s="9">
        <f t="shared" si="12"/>
        <v>0.7978723404255319</v>
      </c>
    </row>
    <row r="13" spans="1:37" s="7" customFormat="1" x14ac:dyDescent="0.25">
      <c r="A13" s="45"/>
      <c r="B13" s="7" t="s">
        <v>20</v>
      </c>
      <c r="C13" s="8">
        <v>545</v>
      </c>
      <c r="D13" s="8">
        <v>74</v>
      </c>
      <c r="E13" s="8">
        <v>62</v>
      </c>
      <c r="F13" s="8">
        <v>57</v>
      </c>
      <c r="G13" s="7">
        <v>29</v>
      </c>
      <c r="H13" s="7">
        <v>8</v>
      </c>
      <c r="I13" s="7">
        <v>5</v>
      </c>
      <c r="J13" s="7">
        <v>9</v>
      </c>
      <c r="K13" s="30">
        <v>4</v>
      </c>
      <c r="L13" s="7">
        <v>83</v>
      </c>
      <c r="M13" s="7">
        <v>69</v>
      </c>
      <c r="N13" s="7">
        <v>59</v>
      </c>
      <c r="O13" s="7">
        <v>32</v>
      </c>
      <c r="P13" s="7">
        <v>8</v>
      </c>
      <c r="Q13" s="7">
        <v>5</v>
      </c>
      <c r="R13" s="7">
        <v>9</v>
      </c>
      <c r="S13" s="7">
        <v>4</v>
      </c>
      <c r="V13" s="9">
        <f t="shared" si="0"/>
        <v>13.577981651376147</v>
      </c>
      <c r="W13" s="9">
        <f t="shared" si="1"/>
        <v>11.376146788990827</v>
      </c>
      <c r="X13" s="9">
        <f t="shared" si="2"/>
        <v>10.458715596330276</v>
      </c>
      <c r="Y13" s="9">
        <f t="shared" si="3"/>
        <v>5.3211009174311927</v>
      </c>
      <c r="Z13" s="9">
        <f t="shared" si="4"/>
        <v>1.4678899082568808</v>
      </c>
      <c r="AA13" s="9">
        <f t="shared" si="5"/>
        <v>0.91743119266055051</v>
      </c>
      <c r="AB13" s="9">
        <f t="shared" si="6"/>
        <v>1.6513761467889909</v>
      </c>
      <c r="AC13" s="22">
        <f t="shared" si="7"/>
        <v>0.73394495412844041</v>
      </c>
      <c r="AD13" s="9">
        <f t="shared" si="8"/>
        <v>15.229357798165138</v>
      </c>
      <c r="AE13" s="9">
        <f t="shared" si="8"/>
        <v>12.660550458715598</v>
      </c>
      <c r="AF13" s="9">
        <f t="shared" si="8"/>
        <v>10.825688073394495</v>
      </c>
      <c r="AG13" s="9">
        <f t="shared" si="8"/>
        <v>5.8715596330275233</v>
      </c>
      <c r="AH13" s="9">
        <f t="shared" si="9"/>
        <v>1.4678899082568808</v>
      </c>
      <c r="AI13" s="9">
        <f t="shared" si="10"/>
        <v>0.91743119266055051</v>
      </c>
      <c r="AJ13" s="9">
        <f t="shared" si="11"/>
        <v>1.6513761467889909</v>
      </c>
      <c r="AK13" s="9">
        <f t="shared" si="12"/>
        <v>0.73394495412844041</v>
      </c>
    </row>
    <row r="14" spans="1:37" s="7" customFormat="1" x14ac:dyDescent="0.25">
      <c r="A14" s="45"/>
      <c r="B14" s="7" t="s">
        <v>21</v>
      </c>
      <c r="C14" s="8">
        <v>903</v>
      </c>
      <c r="D14" s="8">
        <v>84</v>
      </c>
      <c r="E14" s="8">
        <v>60</v>
      </c>
      <c r="F14" s="8">
        <v>75</v>
      </c>
      <c r="G14" s="7">
        <v>26</v>
      </c>
      <c r="H14" s="7">
        <v>10</v>
      </c>
      <c r="I14" s="7">
        <v>5</v>
      </c>
      <c r="J14" s="7">
        <v>13</v>
      </c>
      <c r="K14" s="30">
        <v>5</v>
      </c>
      <c r="L14" s="7">
        <v>85</v>
      </c>
      <c r="M14" s="7">
        <v>63</v>
      </c>
      <c r="N14" s="7">
        <v>79</v>
      </c>
      <c r="O14" s="7">
        <v>28</v>
      </c>
      <c r="P14" s="7">
        <v>10</v>
      </c>
      <c r="Q14" s="7">
        <v>5</v>
      </c>
      <c r="R14" s="7">
        <v>13</v>
      </c>
      <c r="S14" s="7">
        <v>5</v>
      </c>
      <c r="V14" s="9">
        <f t="shared" si="0"/>
        <v>9.3023255813953494</v>
      </c>
      <c r="W14" s="9">
        <f t="shared" si="1"/>
        <v>6.6445182724252501</v>
      </c>
      <c r="X14" s="9">
        <f t="shared" si="2"/>
        <v>8.3056478405315612</v>
      </c>
      <c r="Y14" s="9">
        <f t="shared" si="3"/>
        <v>2.8792912513842746</v>
      </c>
      <c r="Z14" s="9">
        <f t="shared" si="4"/>
        <v>1.1074197120708749</v>
      </c>
      <c r="AA14" s="9">
        <f t="shared" si="5"/>
        <v>0.55370985603543743</v>
      </c>
      <c r="AB14" s="9">
        <f t="shared" si="6"/>
        <v>1.4396456256921373</v>
      </c>
      <c r="AC14" s="22">
        <f t="shared" si="7"/>
        <v>0.55370985603543743</v>
      </c>
      <c r="AD14" s="9">
        <f t="shared" si="8"/>
        <v>9.4130675526024365</v>
      </c>
      <c r="AE14" s="9">
        <f t="shared" si="8"/>
        <v>6.9767441860465116</v>
      </c>
      <c r="AF14" s="9">
        <f t="shared" si="8"/>
        <v>8.7486157253599117</v>
      </c>
      <c r="AG14" s="9">
        <f t="shared" si="8"/>
        <v>3.1007751937984498</v>
      </c>
      <c r="AH14" s="9">
        <f t="shared" si="9"/>
        <v>1.1074197120708749</v>
      </c>
      <c r="AI14" s="9">
        <f t="shared" si="10"/>
        <v>0.55370985603543743</v>
      </c>
      <c r="AJ14" s="9">
        <f t="shared" si="11"/>
        <v>1.4396456256921373</v>
      </c>
      <c r="AK14" s="9">
        <f t="shared" si="12"/>
        <v>0.55370985603543743</v>
      </c>
    </row>
    <row r="15" spans="1:37" s="7" customFormat="1" x14ac:dyDescent="0.25">
      <c r="A15" s="45"/>
      <c r="B15" s="7" t="s">
        <v>22</v>
      </c>
      <c r="C15" s="8">
        <v>660</v>
      </c>
      <c r="D15" s="8">
        <v>80</v>
      </c>
      <c r="E15" s="8">
        <v>75</v>
      </c>
      <c r="F15" s="8">
        <v>67</v>
      </c>
      <c r="G15" s="7">
        <v>42</v>
      </c>
      <c r="H15" s="7">
        <v>14</v>
      </c>
      <c r="I15" s="7">
        <v>10</v>
      </c>
      <c r="J15" s="7">
        <v>12</v>
      </c>
      <c r="K15" s="30">
        <v>7</v>
      </c>
      <c r="L15" s="7">
        <v>84</v>
      </c>
      <c r="M15" s="7">
        <v>79</v>
      </c>
      <c r="N15" s="7">
        <v>70</v>
      </c>
      <c r="O15" s="7">
        <v>45</v>
      </c>
      <c r="P15" s="7">
        <v>19</v>
      </c>
      <c r="Q15" s="7">
        <v>13</v>
      </c>
      <c r="R15" s="7">
        <v>17</v>
      </c>
      <c r="S15" s="7">
        <v>10</v>
      </c>
      <c r="V15" s="9">
        <f t="shared" si="0"/>
        <v>12.121212121212121</v>
      </c>
      <c r="W15" s="9">
        <f t="shared" si="1"/>
        <v>11.363636363636363</v>
      </c>
      <c r="X15" s="9">
        <f t="shared" si="2"/>
        <v>10.151515151515152</v>
      </c>
      <c r="Y15" s="9">
        <f t="shared" si="3"/>
        <v>6.3636363636363633</v>
      </c>
      <c r="Z15" s="9">
        <f t="shared" si="4"/>
        <v>2.1212121212121215</v>
      </c>
      <c r="AA15" s="9">
        <f t="shared" si="5"/>
        <v>1.5151515151515151</v>
      </c>
      <c r="AB15" s="9">
        <f t="shared" si="6"/>
        <v>1.8181818181818181</v>
      </c>
      <c r="AC15" s="22">
        <f t="shared" si="7"/>
        <v>1.0606060606060608</v>
      </c>
      <c r="AD15" s="9">
        <f t="shared" si="8"/>
        <v>12.727272727272727</v>
      </c>
      <c r="AE15" s="9">
        <f t="shared" si="8"/>
        <v>11.969696969696969</v>
      </c>
      <c r="AF15" s="9">
        <f t="shared" si="8"/>
        <v>10.606060606060606</v>
      </c>
      <c r="AG15" s="9">
        <f t="shared" si="8"/>
        <v>6.8181818181818175</v>
      </c>
      <c r="AH15" s="9">
        <f t="shared" si="9"/>
        <v>2.8787878787878789</v>
      </c>
      <c r="AI15" s="9">
        <f t="shared" si="10"/>
        <v>1.9696969696969695</v>
      </c>
      <c r="AJ15" s="9">
        <f t="shared" si="11"/>
        <v>2.5757575757575757</v>
      </c>
      <c r="AK15" s="9">
        <f t="shared" si="12"/>
        <v>1.5151515151515151</v>
      </c>
    </row>
    <row r="16" spans="1:37" s="7" customFormat="1" x14ac:dyDescent="0.25">
      <c r="A16" s="45"/>
      <c r="B16" s="7" t="s">
        <v>23</v>
      </c>
      <c r="C16" s="8">
        <v>614</v>
      </c>
      <c r="D16" s="8">
        <v>51</v>
      </c>
      <c r="E16" s="8">
        <v>46</v>
      </c>
      <c r="F16" s="8">
        <v>87</v>
      </c>
      <c r="G16" s="7">
        <v>31</v>
      </c>
      <c r="H16" s="7">
        <v>6</v>
      </c>
      <c r="I16" s="7">
        <v>5</v>
      </c>
      <c r="J16" s="7">
        <v>22</v>
      </c>
      <c r="K16" s="30">
        <v>5</v>
      </c>
      <c r="L16" s="7">
        <v>54</v>
      </c>
      <c r="M16" s="7">
        <v>50</v>
      </c>
      <c r="N16" s="7">
        <v>91</v>
      </c>
      <c r="O16" s="7">
        <v>32</v>
      </c>
      <c r="P16" s="7">
        <v>9</v>
      </c>
      <c r="Q16" s="7">
        <v>6</v>
      </c>
      <c r="R16" s="7">
        <v>25</v>
      </c>
      <c r="S16" s="7">
        <v>6</v>
      </c>
      <c r="V16" s="9">
        <f t="shared" si="0"/>
        <v>8.3061889250814325</v>
      </c>
      <c r="W16" s="9">
        <f t="shared" si="1"/>
        <v>7.4918566775244306</v>
      </c>
      <c r="X16" s="9">
        <f t="shared" si="2"/>
        <v>14.169381107491857</v>
      </c>
      <c r="Y16" s="9">
        <f t="shared" si="3"/>
        <v>5.0488599348534207</v>
      </c>
      <c r="Z16" s="9">
        <f t="shared" si="4"/>
        <v>0.97719869706840379</v>
      </c>
      <c r="AA16" s="9">
        <f t="shared" si="5"/>
        <v>0.81433224755700329</v>
      </c>
      <c r="AB16" s="9">
        <f t="shared" si="6"/>
        <v>3.5830618892508146</v>
      </c>
      <c r="AC16" s="22">
        <f t="shared" si="7"/>
        <v>0.81433224755700329</v>
      </c>
      <c r="AD16" s="9">
        <f t="shared" si="8"/>
        <v>8.7947882736156355</v>
      </c>
      <c r="AE16" s="9">
        <f t="shared" si="8"/>
        <v>8.1433224755700326</v>
      </c>
      <c r="AF16" s="9">
        <f t="shared" si="8"/>
        <v>14.82084690553746</v>
      </c>
      <c r="AG16" s="9">
        <f t="shared" si="8"/>
        <v>5.2117263843648214</v>
      </c>
      <c r="AH16" s="9">
        <f t="shared" si="9"/>
        <v>1.4657980456026058</v>
      </c>
      <c r="AI16" s="9">
        <f t="shared" si="10"/>
        <v>0.97719869706840379</v>
      </c>
      <c r="AJ16" s="9">
        <f t="shared" si="11"/>
        <v>4.0716612377850163</v>
      </c>
      <c r="AK16" s="9">
        <f t="shared" si="12"/>
        <v>0.97719869706840379</v>
      </c>
    </row>
    <row r="17" spans="1:37" s="7" customFormat="1" x14ac:dyDescent="0.25">
      <c r="A17" s="45"/>
      <c r="B17" s="7" t="s">
        <v>24</v>
      </c>
      <c r="C17" s="8">
        <v>472</v>
      </c>
      <c r="D17" s="8">
        <v>52</v>
      </c>
      <c r="E17" s="8">
        <v>31</v>
      </c>
      <c r="F17" s="8">
        <v>51</v>
      </c>
      <c r="G17" s="7">
        <v>17</v>
      </c>
      <c r="H17" s="7">
        <v>7</v>
      </c>
      <c r="I17" s="7">
        <v>2</v>
      </c>
      <c r="J17" s="7">
        <v>12</v>
      </c>
      <c r="K17" s="30">
        <v>1</v>
      </c>
      <c r="L17" s="7">
        <v>53</v>
      </c>
      <c r="M17" s="7">
        <v>36</v>
      </c>
      <c r="N17" s="7">
        <v>55</v>
      </c>
      <c r="O17" s="7">
        <v>19</v>
      </c>
      <c r="P17" s="7">
        <v>9</v>
      </c>
      <c r="Q17" s="7">
        <v>2</v>
      </c>
      <c r="R17" s="7">
        <v>17</v>
      </c>
      <c r="S17" s="7">
        <v>1</v>
      </c>
      <c r="V17" s="9">
        <f t="shared" si="0"/>
        <v>11.016949152542372</v>
      </c>
      <c r="W17" s="9">
        <f t="shared" si="1"/>
        <v>6.5677966101694922</v>
      </c>
      <c r="X17" s="9">
        <f t="shared" si="2"/>
        <v>10.805084745762713</v>
      </c>
      <c r="Y17" s="9">
        <f t="shared" si="3"/>
        <v>3.6016949152542375</v>
      </c>
      <c r="Z17" s="9">
        <f t="shared" si="4"/>
        <v>1.4830508474576272</v>
      </c>
      <c r="AA17" s="9">
        <f t="shared" si="5"/>
        <v>0.42372881355932202</v>
      </c>
      <c r="AB17" s="9">
        <f t="shared" si="6"/>
        <v>2.5423728813559325</v>
      </c>
      <c r="AC17" s="22">
        <f t="shared" si="7"/>
        <v>0.21186440677966101</v>
      </c>
      <c r="AD17" s="9">
        <f t="shared" si="8"/>
        <v>11.228813559322035</v>
      </c>
      <c r="AE17" s="9">
        <f t="shared" si="8"/>
        <v>7.6271186440677967</v>
      </c>
      <c r="AF17" s="9">
        <f t="shared" si="8"/>
        <v>11.652542372881355</v>
      </c>
      <c r="AG17" s="9">
        <f t="shared" si="8"/>
        <v>4.0254237288135588</v>
      </c>
      <c r="AH17" s="9">
        <f t="shared" si="9"/>
        <v>1.9067796610169492</v>
      </c>
      <c r="AI17" s="9">
        <f t="shared" si="10"/>
        <v>0.42372881355932202</v>
      </c>
      <c r="AJ17" s="9">
        <f t="shared" si="11"/>
        <v>3.6016949152542375</v>
      </c>
      <c r="AK17" s="9">
        <f t="shared" si="12"/>
        <v>0.21186440677966101</v>
      </c>
    </row>
    <row r="18" spans="1:37" s="7" customFormat="1" x14ac:dyDescent="0.25">
      <c r="A18" s="45"/>
      <c r="B18" s="7" t="s">
        <v>25</v>
      </c>
      <c r="C18" s="8">
        <v>790</v>
      </c>
      <c r="D18" s="8">
        <v>63</v>
      </c>
      <c r="E18" s="8">
        <v>47</v>
      </c>
      <c r="F18" s="8">
        <v>81</v>
      </c>
      <c r="G18" s="7">
        <v>26</v>
      </c>
      <c r="H18" s="7">
        <v>8</v>
      </c>
      <c r="I18" s="7">
        <v>3</v>
      </c>
      <c r="J18" s="7">
        <v>18</v>
      </c>
      <c r="K18" s="30">
        <v>2</v>
      </c>
      <c r="L18" s="7">
        <v>66</v>
      </c>
      <c r="M18" s="7">
        <v>56</v>
      </c>
      <c r="N18" s="7">
        <v>87</v>
      </c>
      <c r="O18" s="7">
        <v>29</v>
      </c>
      <c r="P18" s="7">
        <v>9</v>
      </c>
      <c r="Q18" s="7">
        <v>3</v>
      </c>
      <c r="R18" s="7">
        <v>24</v>
      </c>
      <c r="S18" s="7">
        <v>2</v>
      </c>
      <c r="V18" s="9">
        <f t="shared" si="0"/>
        <v>7.9746835443037973</v>
      </c>
      <c r="W18" s="9">
        <f t="shared" si="1"/>
        <v>5.9493670886075947</v>
      </c>
      <c r="X18" s="9">
        <f t="shared" si="2"/>
        <v>10.253164556962027</v>
      </c>
      <c r="Y18" s="9">
        <f t="shared" si="3"/>
        <v>3.2911392405063293</v>
      </c>
      <c r="Z18" s="9">
        <f t="shared" si="4"/>
        <v>1.0126582278481013</v>
      </c>
      <c r="AA18" s="9">
        <f t="shared" si="5"/>
        <v>0.37974683544303794</v>
      </c>
      <c r="AB18" s="9">
        <f t="shared" si="6"/>
        <v>2.278481012658228</v>
      </c>
      <c r="AC18" s="22">
        <f t="shared" si="7"/>
        <v>0.25316455696202533</v>
      </c>
      <c r="AD18" s="9">
        <f t="shared" si="8"/>
        <v>8.3544303797468356</v>
      </c>
      <c r="AE18" s="9">
        <f t="shared" si="8"/>
        <v>7.0886075949367093</v>
      </c>
      <c r="AF18" s="9">
        <f t="shared" si="8"/>
        <v>11.012658227848101</v>
      </c>
      <c r="AG18" s="9">
        <f t="shared" si="8"/>
        <v>3.6708860759493671</v>
      </c>
      <c r="AH18" s="9">
        <f t="shared" si="9"/>
        <v>1.139240506329114</v>
      </c>
      <c r="AI18" s="9">
        <f t="shared" si="10"/>
        <v>0.37974683544303794</v>
      </c>
      <c r="AJ18" s="9">
        <f t="shared" si="11"/>
        <v>3.0379746835443036</v>
      </c>
      <c r="AK18" s="9">
        <f t="shared" si="12"/>
        <v>0.25316455696202533</v>
      </c>
    </row>
    <row r="19" spans="1:37" s="10" customFormat="1" x14ac:dyDescent="0.25">
      <c r="A19" s="41" t="s">
        <v>57</v>
      </c>
      <c r="B19" s="10" t="s">
        <v>18</v>
      </c>
      <c r="C19" s="11">
        <v>607</v>
      </c>
      <c r="D19" s="11">
        <v>49</v>
      </c>
      <c r="E19" s="11">
        <v>50</v>
      </c>
      <c r="F19" s="11">
        <v>55</v>
      </c>
      <c r="G19" s="10">
        <v>21</v>
      </c>
      <c r="H19" s="10">
        <v>3</v>
      </c>
      <c r="I19" s="10">
        <v>3</v>
      </c>
      <c r="J19" s="10">
        <v>11</v>
      </c>
      <c r="K19" s="31">
        <v>1</v>
      </c>
      <c r="L19" s="10">
        <v>58</v>
      </c>
      <c r="M19" s="10">
        <v>54</v>
      </c>
      <c r="N19" s="10">
        <v>56</v>
      </c>
      <c r="O19" s="10">
        <v>23</v>
      </c>
      <c r="P19" s="10">
        <v>4</v>
      </c>
      <c r="Q19" s="10">
        <v>4</v>
      </c>
      <c r="R19" s="10">
        <v>13</v>
      </c>
      <c r="S19" s="10">
        <v>1</v>
      </c>
      <c r="V19" s="12">
        <f t="shared" si="0"/>
        <v>8.0724876441515647</v>
      </c>
      <c r="W19" s="12">
        <f t="shared" si="1"/>
        <v>8.2372322899505761</v>
      </c>
      <c r="X19" s="12">
        <f t="shared" si="2"/>
        <v>9.0609555189456348</v>
      </c>
      <c r="Y19" s="12">
        <f t="shared" si="3"/>
        <v>3.4596375617792421</v>
      </c>
      <c r="Z19" s="12">
        <f t="shared" si="4"/>
        <v>0.49423393739703458</v>
      </c>
      <c r="AA19" s="12">
        <f t="shared" si="5"/>
        <v>0.49423393739703458</v>
      </c>
      <c r="AB19" s="12">
        <f t="shared" si="6"/>
        <v>1.8121911037891267</v>
      </c>
      <c r="AC19" s="23">
        <f t="shared" si="7"/>
        <v>0.16474464579901155</v>
      </c>
      <c r="AD19" s="12">
        <f t="shared" ref="AD19:AG34" si="13">(L19/$C19)*100</f>
        <v>9.5551894563426689</v>
      </c>
      <c r="AE19" s="12">
        <f t="shared" si="13"/>
        <v>8.8962108731466234</v>
      </c>
      <c r="AF19" s="12">
        <f t="shared" si="13"/>
        <v>9.2257001647446462</v>
      </c>
      <c r="AG19" s="12">
        <f t="shared" si="13"/>
        <v>3.7891268533772648</v>
      </c>
      <c r="AH19" s="12">
        <f t="shared" si="9"/>
        <v>0.65897858319604619</v>
      </c>
      <c r="AI19" s="12">
        <f t="shared" si="10"/>
        <v>0.65897858319604619</v>
      </c>
      <c r="AJ19" s="12">
        <f t="shared" si="11"/>
        <v>2.1416803953871502</v>
      </c>
      <c r="AK19" s="12">
        <f t="shared" si="12"/>
        <v>0.16474464579901155</v>
      </c>
    </row>
    <row r="20" spans="1:37" s="10" customFormat="1" x14ac:dyDescent="0.25">
      <c r="A20" s="41"/>
      <c r="B20" s="10" t="s">
        <v>19</v>
      </c>
      <c r="C20" s="11">
        <v>761</v>
      </c>
      <c r="D20" s="11">
        <v>70</v>
      </c>
      <c r="E20" s="11">
        <v>45</v>
      </c>
      <c r="F20" s="11">
        <v>47</v>
      </c>
      <c r="G20" s="10">
        <v>20</v>
      </c>
      <c r="H20" s="10">
        <v>7</v>
      </c>
      <c r="I20" s="10">
        <v>6</v>
      </c>
      <c r="J20" s="10">
        <v>14</v>
      </c>
      <c r="K20" s="31">
        <v>4</v>
      </c>
      <c r="L20" s="10">
        <v>73</v>
      </c>
      <c r="M20" s="10">
        <v>47</v>
      </c>
      <c r="N20" s="10">
        <v>47</v>
      </c>
      <c r="O20" s="10">
        <v>21</v>
      </c>
      <c r="P20" s="10">
        <v>7</v>
      </c>
      <c r="Q20" s="10">
        <v>6</v>
      </c>
      <c r="R20" s="10">
        <v>16</v>
      </c>
      <c r="S20" s="10">
        <v>4</v>
      </c>
      <c r="V20" s="12">
        <f t="shared" si="0"/>
        <v>9.1984231274638635</v>
      </c>
      <c r="W20" s="12">
        <f t="shared" si="1"/>
        <v>5.9132720105124843</v>
      </c>
      <c r="X20" s="12">
        <f t="shared" si="2"/>
        <v>6.1760840998685937</v>
      </c>
      <c r="Y20" s="12">
        <f t="shared" si="3"/>
        <v>2.6281208935611038</v>
      </c>
      <c r="Z20" s="12">
        <f t="shared" si="4"/>
        <v>0.91984231274638628</v>
      </c>
      <c r="AA20" s="12">
        <f t="shared" si="5"/>
        <v>0.78843626806833111</v>
      </c>
      <c r="AB20" s="12">
        <f t="shared" si="6"/>
        <v>1.8396846254927726</v>
      </c>
      <c r="AC20" s="23">
        <f t="shared" si="7"/>
        <v>0.52562417871222078</v>
      </c>
      <c r="AD20" s="12">
        <f t="shared" si="13"/>
        <v>9.592641261498029</v>
      </c>
      <c r="AE20" s="12">
        <f t="shared" si="13"/>
        <v>6.1760840998685937</v>
      </c>
      <c r="AF20" s="12">
        <f t="shared" si="13"/>
        <v>6.1760840998685937</v>
      </c>
      <c r="AG20" s="12">
        <f t="shared" si="13"/>
        <v>2.759526938239159</v>
      </c>
      <c r="AH20" s="12">
        <f t="shared" si="9"/>
        <v>0.91984231274638628</v>
      </c>
      <c r="AI20" s="12">
        <f t="shared" si="10"/>
        <v>0.78843626806833111</v>
      </c>
      <c r="AJ20" s="12">
        <f t="shared" si="11"/>
        <v>2.1024967148488831</v>
      </c>
      <c r="AK20" s="12">
        <f t="shared" si="12"/>
        <v>0.52562417871222078</v>
      </c>
    </row>
    <row r="21" spans="1:37" s="10" customFormat="1" x14ac:dyDescent="0.25">
      <c r="A21" s="41"/>
      <c r="B21" s="10" t="s">
        <v>20</v>
      </c>
      <c r="C21" s="11">
        <v>562</v>
      </c>
      <c r="D21" s="11">
        <v>71</v>
      </c>
      <c r="E21" s="11">
        <v>43</v>
      </c>
      <c r="F21" s="11">
        <v>54</v>
      </c>
      <c r="G21" s="10">
        <v>29</v>
      </c>
      <c r="H21" s="10">
        <v>10</v>
      </c>
      <c r="I21" s="10">
        <v>4</v>
      </c>
      <c r="J21" s="10">
        <v>9</v>
      </c>
      <c r="K21" s="31">
        <v>4</v>
      </c>
      <c r="L21" s="10">
        <v>80</v>
      </c>
      <c r="M21" s="10">
        <v>48</v>
      </c>
      <c r="N21" s="10">
        <v>57</v>
      </c>
      <c r="O21" s="10">
        <v>32</v>
      </c>
      <c r="P21" s="10">
        <v>12</v>
      </c>
      <c r="Q21" s="10">
        <v>5</v>
      </c>
      <c r="R21" s="10">
        <v>10</v>
      </c>
      <c r="S21" s="10">
        <v>5</v>
      </c>
      <c r="V21" s="12">
        <f t="shared" si="0"/>
        <v>12.633451957295375</v>
      </c>
      <c r="W21" s="12">
        <f t="shared" si="1"/>
        <v>7.6512455516014235</v>
      </c>
      <c r="X21" s="12">
        <f t="shared" si="2"/>
        <v>9.6085409252669027</v>
      </c>
      <c r="Y21" s="12">
        <f t="shared" si="3"/>
        <v>5.160142348754448</v>
      </c>
      <c r="Z21" s="12">
        <f t="shared" si="4"/>
        <v>1.7793594306049825</v>
      </c>
      <c r="AA21" s="12">
        <f t="shared" si="5"/>
        <v>0.71174377224199281</v>
      </c>
      <c r="AB21" s="12">
        <f t="shared" si="6"/>
        <v>1.6014234875444839</v>
      </c>
      <c r="AC21" s="23">
        <f t="shared" si="7"/>
        <v>0.71174377224199281</v>
      </c>
      <c r="AD21" s="12">
        <f t="shared" si="13"/>
        <v>14.23487544483986</v>
      </c>
      <c r="AE21" s="12">
        <f t="shared" si="13"/>
        <v>8.5409252669039155</v>
      </c>
      <c r="AF21" s="12">
        <f t="shared" si="13"/>
        <v>10.142348754448399</v>
      </c>
      <c r="AG21" s="12">
        <f t="shared" si="13"/>
        <v>5.6939501779359425</v>
      </c>
      <c r="AH21" s="12">
        <f t="shared" si="9"/>
        <v>2.1352313167259789</v>
      </c>
      <c r="AI21" s="12">
        <f t="shared" si="10"/>
        <v>0.88967971530249124</v>
      </c>
      <c r="AJ21" s="12">
        <f t="shared" si="11"/>
        <v>1.7793594306049825</v>
      </c>
      <c r="AK21" s="12">
        <f t="shared" si="12"/>
        <v>0.88967971530249124</v>
      </c>
    </row>
    <row r="22" spans="1:37" s="10" customFormat="1" x14ac:dyDescent="0.25">
      <c r="A22" s="41"/>
      <c r="B22" s="10" t="s">
        <v>21</v>
      </c>
      <c r="C22" s="11">
        <v>911</v>
      </c>
      <c r="D22" s="11">
        <v>82</v>
      </c>
      <c r="E22" s="11">
        <v>47</v>
      </c>
      <c r="F22" s="11">
        <v>80</v>
      </c>
      <c r="G22" s="10">
        <v>22</v>
      </c>
      <c r="H22" s="10">
        <v>13</v>
      </c>
      <c r="I22" s="10">
        <v>6</v>
      </c>
      <c r="J22" s="10">
        <v>19</v>
      </c>
      <c r="K22" s="31">
        <v>3</v>
      </c>
      <c r="L22" s="10">
        <v>87</v>
      </c>
      <c r="M22" s="10">
        <v>51</v>
      </c>
      <c r="N22" s="10">
        <v>85</v>
      </c>
      <c r="O22" s="10">
        <v>24</v>
      </c>
      <c r="P22" s="10">
        <v>18</v>
      </c>
      <c r="Q22" s="10">
        <v>8</v>
      </c>
      <c r="R22" s="10">
        <v>23</v>
      </c>
      <c r="S22" s="10">
        <v>5</v>
      </c>
      <c r="V22" s="12">
        <f t="shared" si="0"/>
        <v>9.0010976948408352</v>
      </c>
      <c r="W22" s="12">
        <f t="shared" si="1"/>
        <v>5.1591657519209662</v>
      </c>
      <c r="X22" s="12">
        <f t="shared" si="2"/>
        <v>8.7815587266739854</v>
      </c>
      <c r="Y22" s="12">
        <f t="shared" si="3"/>
        <v>2.4149286498353457</v>
      </c>
      <c r="Z22" s="12">
        <f t="shared" si="4"/>
        <v>1.4270032930845227</v>
      </c>
      <c r="AA22" s="12">
        <f t="shared" si="5"/>
        <v>0.65861690450054877</v>
      </c>
      <c r="AB22" s="12">
        <f t="shared" si="6"/>
        <v>2.0856201975850714</v>
      </c>
      <c r="AC22" s="23">
        <f t="shared" si="7"/>
        <v>0.32930845225027439</v>
      </c>
      <c r="AD22" s="12">
        <f t="shared" si="13"/>
        <v>9.5499451152579589</v>
      </c>
      <c r="AE22" s="12">
        <f t="shared" si="13"/>
        <v>5.5982436882546649</v>
      </c>
      <c r="AF22" s="12">
        <f t="shared" si="13"/>
        <v>9.3304061470911073</v>
      </c>
      <c r="AG22" s="12">
        <f t="shared" si="13"/>
        <v>2.6344676180021951</v>
      </c>
      <c r="AH22" s="12">
        <f t="shared" si="9"/>
        <v>1.9758507135016465</v>
      </c>
      <c r="AI22" s="12">
        <f t="shared" si="10"/>
        <v>0.87815587266739847</v>
      </c>
      <c r="AJ22" s="12">
        <f t="shared" si="11"/>
        <v>2.5246981339187706</v>
      </c>
      <c r="AK22" s="12">
        <f t="shared" si="12"/>
        <v>0.54884742041712409</v>
      </c>
    </row>
    <row r="23" spans="1:37" s="10" customFormat="1" x14ac:dyDescent="0.25">
      <c r="A23" s="41"/>
      <c r="B23" s="10" t="s">
        <v>22</v>
      </c>
      <c r="C23" s="11">
        <v>670</v>
      </c>
      <c r="D23" s="11">
        <v>84</v>
      </c>
      <c r="E23" s="11">
        <v>78</v>
      </c>
      <c r="F23" s="11">
        <v>75</v>
      </c>
      <c r="G23" s="10">
        <v>38</v>
      </c>
      <c r="H23" s="10">
        <v>16</v>
      </c>
      <c r="I23" s="10">
        <v>9</v>
      </c>
      <c r="J23" s="10">
        <v>16</v>
      </c>
      <c r="K23" s="31">
        <v>8</v>
      </c>
      <c r="L23" s="10">
        <v>86</v>
      </c>
      <c r="M23" s="10">
        <v>79</v>
      </c>
      <c r="N23" s="10">
        <v>76</v>
      </c>
      <c r="O23" s="10">
        <v>39</v>
      </c>
      <c r="P23" s="10">
        <v>17</v>
      </c>
      <c r="Q23" s="10">
        <v>9</v>
      </c>
      <c r="R23" s="10">
        <v>16</v>
      </c>
      <c r="S23" s="10">
        <v>8</v>
      </c>
      <c r="V23" s="12">
        <f t="shared" si="0"/>
        <v>12.53731343283582</v>
      </c>
      <c r="W23" s="12">
        <f t="shared" si="1"/>
        <v>11.641791044776118</v>
      </c>
      <c r="X23" s="12">
        <f t="shared" si="2"/>
        <v>11.194029850746269</v>
      </c>
      <c r="Y23" s="12">
        <f t="shared" si="3"/>
        <v>5.6716417910447765</v>
      </c>
      <c r="Z23" s="12">
        <f t="shared" si="4"/>
        <v>2.3880597014925375</v>
      </c>
      <c r="AA23" s="12">
        <f t="shared" si="5"/>
        <v>1.3432835820895521</v>
      </c>
      <c r="AB23" s="12">
        <f t="shared" si="6"/>
        <v>2.3880597014925375</v>
      </c>
      <c r="AC23" s="23">
        <f t="shared" si="7"/>
        <v>1.1940298507462688</v>
      </c>
      <c r="AD23" s="12">
        <f t="shared" si="13"/>
        <v>12.835820895522387</v>
      </c>
      <c r="AE23" s="12">
        <f t="shared" si="13"/>
        <v>11.791044776119403</v>
      </c>
      <c r="AF23" s="12">
        <f t="shared" si="13"/>
        <v>11.343283582089553</v>
      </c>
      <c r="AG23" s="12">
        <f t="shared" si="13"/>
        <v>5.8208955223880592</v>
      </c>
      <c r="AH23" s="12">
        <f t="shared" si="9"/>
        <v>2.5373134328358207</v>
      </c>
      <c r="AI23" s="12">
        <f t="shared" si="10"/>
        <v>1.3432835820895521</v>
      </c>
      <c r="AJ23" s="12">
        <f t="shared" si="11"/>
        <v>2.3880597014925375</v>
      </c>
      <c r="AK23" s="12">
        <f t="shared" si="12"/>
        <v>1.1940298507462688</v>
      </c>
    </row>
    <row r="24" spans="1:37" s="10" customFormat="1" x14ac:dyDescent="0.25">
      <c r="A24" s="41"/>
      <c r="B24" s="10" t="s">
        <v>23</v>
      </c>
      <c r="C24" s="11">
        <v>625</v>
      </c>
      <c r="D24" s="11">
        <v>60</v>
      </c>
      <c r="E24" s="11">
        <v>48</v>
      </c>
      <c r="F24" s="11">
        <v>91</v>
      </c>
      <c r="G24" s="10">
        <v>39</v>
      </c>
      <c r="H24" s="10">
        <v>7</v>
      </c>
      <c r="I24" s="10">
        <v>8</v>
      </c>
      <c r="J24" s="10">
        <v>17</v>
      </c>
      <c r="K24" s="31">
        <v>6</v>
      </c>
      <c r="L24" s="10">
        <v>63</v>
      </c>
      <c r="M24" s="10">
        <v>57</v>
      </c>
      <c r="N24" s="10">
        <v>93</v>
      </c>
      <c r="O24" s="10">
        <v>42</v>
      </c>
      <c r="P24" s="10">
        <v>8</v>
      </c>
      <c r="Q24" s="10">
        <v>8</v>
      </c>
      <c r="R24" s="10">
        <v>20</v>
      </c>
      <c r="S24" s="10">
        <v>6</v>
      </c>
      <c r="V24" s="12">
        <f t="shared" si="0"/>
        <v>9.6</v>
      </c>
      <c r="W24" s="12">
        <f t="shared" si="1"/>
        <v>7.68</v>
      </c>
      <c r="X24" s="12">
        <f t="shared" si="2"/>
        <v>14.56</v>
      </c>
      <c r="Y24" s="12">
        <f t="shared" si="3"/>
        <v>6.2399999999999993</v>
      </c>
      <c r="Z24" s="12">
        <f t="shared" si="4"/>
        <v>1.1199999999999999</v>
      </c>
      <c r="AA24" s="12">
        <f t="shared" si="5"/>
        <v>1.28</v>
      </c>
      <c r="AB24" s="12">
        <f t="shared" si="6"/>
        <v>2.7199999999999998</v>
      </c>
      <c r="AC24" s="23">
        <f t="shared" si="7"/>
        <v>0.96</v>
      </c>
      <c r="AD24" s="12">
        <f t="shared" si="13"/>
        <v>10.08</v>
      </c>
      <c r="AE24" s="12">
        <f t="shared" si="13"/>
        <v>9.120000000000001</v>
      </c>
      <c r="AF24" s="12">
        <f t="shared" si="13"/>
        <v>14.879999999999999</v>
      </c>
      <c r="AG24" s="12">
        <f t="shared" si="13"/>
        <v>6.72</v>
      </c>
      <c r="AH24" s="12">
        <f t="shared" si="9"/>
        <v>1.28</v>
      </c>
      <c r="AI24" s="12">
        <f t="shared" si="10"/>
        <v>1.28</v>
      </c>
      <c r="AJ24" s="12">
        <f t="shared" si="11"/>
        <v>3.2</v>
      </c>
      <c r="AK24" s="12">
        <f t="shared" si="12"/>
        <v>0.96</v>
      </c>
    </row>
    <row r="25" spans="1:37" s="10" customFormat="1" x14ac:dyDescent="0.25">
      <c r="A25" s="41"/>
      <c r="B25" s="10" t="s">
        <v>24</v>
      </c>
      <c r="C25" s="11">
        <v>482</v>
      </c>
      <c r="D25" s="11">
        <v>51</v>
      </c>
      <c r="E25" s="11">
        <v>29</v>
      </c>
      <c r="F25" s="11">
        <v>47</v>
      </c>
      <c r="G25" s="10">
        <v>20</v>
      </c>
      <c r="H25" s="10">
        <v>10</v>
      </c>
      <c r="I25" s="10">
        <v>4</v>
      </c>
      <c r="J25" s="10">
        <v>14</v>
      </c>
      <c r="K25" s="31">
        <v>3</v>
      </c>
      <c r="L25" s="10">
        <v>52</v>
      </c>
      <c r="M25" s="10">
        <v>30</v>
      </c>
      <c r="N25" s="10">
        <v>48</v>
      </c>
      <c r="O25" s="10">
        <v>20</v>
      </c>
      <c r="P25" s="10">
        <v>15</v>
      </c>
      <c r="Q25" s="10">
        <v>4</v>
      </c>
      <c r="R25" s="10">
        <v>16</v>
      </c>
      <c r="S25" s="10">
        <v>3</v>
      </c>
      <c r="V25" s="12">
        <f t="shared" si="0"/>
        <v>10.580912863070539</v>
      </c>
      <c r="W25" s="12">
        <f t="shared" si="1"/>
        <v>6.0165975103734439</v>
      </c>
      <c r="X25" s="12">
        <f t="shared" si="2"/>
        <v>9.7510373443983411</v>
      </c>
      <c r="Y25" s="12">
        <f t="shared" si="3"/>
        <v>4.1493775933609953</v>
      </c>
      <c r="Z25" s="12">
        <f t="shared" si="4"/>
        <v>2.0746887966804977</v>
      </c>
      <c r="AA25" s="12">
        <f t="shared" si="5"/>
        <v>0.82987551867219922</v>
      </c>
      <c r="AB25" s="12">
        <f t="shared" si="6"/>
        <v>2.904564315352697</v>
      </c>
      <c r="AC25" s="23">
        <f t="shared" si="7"/>
        <v>0.62240663900414939</v>
      </c>
      <c r="AD25" s="12">
        <f t="shared" si="13"/>
        <v>10.78838174273859</v>
      </c>
      <c r="AE25" s="12">
        <f t="shared" si="13"/>
        <v>6.2240663900414939</v>
      </c>
      <c r="AF25" s="12">
        <f t="shared" si="13"/>
        <v>9.9585062240663902</v>
      </c>
      <c r="AG25" s="12">
        <f t="shared" si="13"/>
        <v>4.1493775933609953</v>
      </c>
      <c r="AH25" s="12">
        <f t="shared" si="9"/>
        <v>3.1120331950207469</v>
      </c>
      <c r="AI25" s="12">
        <f t="shared" si="10"/>
        <v>0.82987551867219922</v>
      </c>
      <c r="AJ25" s="12">
        <f t="shared" si="11"/>
        <v>3.3195020746887969</v>
      </c>
      <c r="AK25" s="12">
        <f t="shared" si="12"/>
        <v>0.62240663900414939</v>
      </c>
    </row>
    <row r="26" spans="1:37" s="10" customFormat="1" x14ac:dyDescent="0.25">
      <c r="A26" s="41"/>
      <c r="B26" s="10" t="s">
        <v>25</v>
      </c>
      <c r="C26" s="11">
        <v>806</v>
      </c>
      <c r="D26" s="11">
        <v>84</v>
      </c>
      <c r="E26" s="11">
        <v>49</v>
      </c>
      <c r="F26" s="11">
        <v>79</v>
      </c>
      <c r="G26" s="10">
        <v>29</v>
      </c>
      <c r="H26" s="10">
        <v>12</v>
      </c>
      <c r="I26" s="10">
        <v>6</v>
      </c>
      <c r="J26" s="10">
        <v>20</v>
      </c>
      <c r="K26" s="31">
        <v>5</v>
      </c>
      <c r="L26" s="10">
        <v>88</v>
      </c>
      <c r="M26" s="10">
        <v>51</v>
      </c>
      <c r="N26" s="10">
        <v>80</v>
      </c>
      <c r="O26" s="10">
        <v>29</v>
      </c>
      <c r="P26" s="10">
        <v>13</v>
      </c>
      <c r="Q26" s="10">
        <v>6</v>
      </c>
      <c r="R26" s="10">
        <v>24</v>
      </c>
      <c r="S26" s="10">
        <v>5</v>
      </c>
      <c r="V26" s="12">
        <f t="shared" si="0"/>
        <v>10.421836228287841</v>
      </c>
      <c r="W26" s="12">
        <f t="shared" si="1"/>
        <v>6.0794044665012406</v>
      </c>
      <c r="X26" s="12">
        <f t="shared" si="2"/>
        <v>9.8014888337468982</v>
      </c>
      <c r="Y26" s="12">
        <f t="shared" si="3"/>
        <v>3.598014888337469</v>
      </c>
      <c r="Z26" s="12">
        <f t="shared" si="4"/>
        <v>1.4888337468982631</v>
      </c>
      <c r="AA26" s="12">
        <f t="shared" si="5"/>
        <v>0.74441687344913154</v>
      </c>
      <c r="AB26" s="12">
        <f t="shared" si="6"/>
        <v>2.481389578163772</v>
      </c>
      <c r="AC26" s="23">
        <f t="shared" si="7"/>
        <v>0.62034739454094301</v>
      </c>
      <c r="AD26" s="12">
        <f t="shared" si="13"/>
        <v>10.918114143920596</v>
      </c>
      <c r="AE26" s="12">
        <f t="shared" si="13"/>
        <v>6.3275434243176178</v>
      </c>
      <c r="AF26" s="12">
        <f t="shared" si="13"/>
        <v>9.9255583126550881</v>
      </c>
      <c r="AG26" s="12">
        <f t="shared" si="13"/>
        <v>3.598014888337469</v>
      </c>
      <c r="AH26" s="12">
        <f t="shared" si="9"/>
        <v>1.6129032258064515</v>
      </c>
      <c r="AI26" s="12">
        <f t="shared" si="10"/>
        <v>0.74441687344913154</v>
      </c>
      <c r="AJ26" s="12">
        <f t="shared" si="11"/>
        <v>2.9776674937965262</v>
      </c>
      <c r="AK26" s="12">
        <f t="shared" si="12"/>
        <v>0.62034739454094301</v>
      </c>
    </row>
    <row r="27" spans="1:37" s="13" customFormat="1" x14ac:dyDescent="0.25">
      <c r="A27" s="42" t="s">
        <v>0</v>
      </c>
      <c r="B27" s="13" t="s">
        <v>26</v>
      </c>
      <c r="C27" s="14">
        <v>636</v>
      </c>
      <c r="D27" s="14">
        <v>48</v>
      </c>
      <c r="E27" s="14">
        <v>38</v>
      </c>
      <c r="F27" s="14">
        <v>98</v>
      </c>
      <c r="G27" s="13">
        <v>30</v>
      </c>
      <c r="H27" s="13">
        <v>15</v>
      </c>
      <c r="I27" s="13">
        <v>12</v>
      </c>
      <c r="J27" s="13">
        <v>27</v>
      </c>
      <c r="K27" s="32">
        <v>10</v>
      </c>
      <c r="L27" s="13">
        <v>48</v>
      </c>
      <c r="M27" s="13">
        <v>40</v>
      </c>
      <c r="N27" s="13">
        <v>101</v>
      </c>
      <c r="O27" s="13">
        <v>30</v>
      </c>
      <c r="P27" s="13">
        <v>19</v>
      </c>
      <c r="Q27" s="13">
        <v>14</v>
      </c>
      <c r="R27" s="13">
        <v>32</v>
      </c>
      <c r="S27" s="13">
        <v>12</v>
      </c>
      <c r="V27" s="15">
        <f t="shared" si="0"/>
        <v>7.5471698113207548</v>
      </c>
      <c r="W27" s="15">
        <f t="shared" si="1"/>
        <v>5.9748427672955975</v>
      </c>
      <c r="X27" s="15">
        <f t="shared" si="2"/>
        <v>15.408805031446541</v>
      </c>
      <c r="Y27" s="15">
        <f t="shared" si="3"/>
        <v>4.716981132075472</v>
      </c>
      <c r="Z27" s="15">
        <f t="shared" si="4"/>
        <v>2.358490566037736</v>
      </c>
      <c r="AA27" s="15">
        <f t="shared" si="5"/>
        <v>1.8867924528301887</v>
      </c>
      <c r="AB27" s="15">
        <f t="shared" si="6"/>
        <v>4.2452830188679247</v>
      </c>
      <c r="AC27" s="24">
        <f t="shared" si="7"/>
        <v>1.5723270440251573</v>
      </c>
      <c r="AD27" s="15">
        <f t="shared" si="13"/>
        <v>7.5471698113207548</v>
      </c>
      <c r="AE27" s="15">
        <f t="shared" si="13"/>
        <v>6.2893081761006293</v>
      </c>
      <c r="AF27" s="15">
        <f t="shared" si="13"/>
        <v>15.880503144654087</v>
      </c>
      <c r="AG27" s="15">
        <f t="shared" si="13"/>
        <v>4.716981132075472</v>
      </c>
      <c r="AH27" s="15">
        <f t="shared" si="9"/>
        <v>2.9874213836477987</v>
      </c>
      <c r="AI27" s="15">
        <f t="shared" si="10"/>
        <v>2.2012578616352201</v>
      </c>
      <c r="AJ27" s="15">
        <f t="shared" si="11"/>
        <v>5.0314465408805038</v>
      </c>
      <c r="AK27" s="15">
        <f t="shared" si="12"/>
        <v>1.8867924528301887</v>
      </c>
    </row>
    <row r="28" spans="1:37" s="13" customFormat="1" x14ac:dyDescent="0.25">
      <c r="A28" s="42"/>
      <c r="B28" s="13" t="s">
        <v>27</v>
      </c>
      <c r="C28" s="14">
        <v>636</v>
      </c>
      <c r="D28" s="14">
        <v>46</v>
      </c>
      <c r="E28" s="14">
        <v>40</v>
      </c>
      <c r="F28" s="14">
        <v>61</v>
      </c>
      <c r="G28" s="13">
        <v>19</v>
      </c>
      <c r="H28" s="13">
        <v>9</v>
      </c>
      <c r="I28" s="13">
        <v>2</v>
      </c>
      <c r="J28" s="13">
        <v>3</v>
      </c>
      <c r="K28" s="32">
        <v>1</v>
      </c>
      <c r="L28" s="13">
        <v>54</v>
      </c>
      <c r="M28" s="13">
        <v>42</v>
      </c>
      <c r="N28" s="13">
        <v>62</v>
      </c>
      <c r="O28" s="13">
        <v>20</v>
      </c>
      <c r="P28" s="13">
        <v>10</v>
      </c>
      <c r="Q28" s="13">
        <v>2</v>
      </c>
      <c r="R28" s="13">
        <v>3</v>
      </c>
      <c r="S28" s="13">
        <v>1</v>
      </c>
      <c r="V28" s="15">
        <f t="shared" si="0"/>
        <v>7.232704402515723</v>
      </c>
      <c r="W28" s="15">
        <f t="shared" si="1"/>
        <v>6.2893081761006293</v>
      </c>
      <c r="X28" s="15">
        <f t="shared" si="2"/>
        <v>9.5911949685534594</v>
      </c>
      <c r="Y28" s="15">
        <f t="shared" si="3"/>
        <v>2.9874213836477987</v>
      </c>
      <c r="Z28" s="15">
        <f t="shared" si="4"/>
        <v>1.4150943396226416</v>
      </c>
      <c r="AA28" s="15">
        <f t="shared" si="5"/>
        <v>0.31446540880503149</v>
      </c>
      <c r="AB28" s="15">
        <f t="shared" si="6"/>
        <v>0.47169811320754718</v>
      </c>
      <c r="AC28" s="24">
        <f t="shared" si="7"/>
        <v>0.15723270440251574</v>
      </c>
      <c r="AD28" s="15">
        <f t="shared" si="13"/>
        <v>8.4905660377358494</v>
      </c>
      <c r="AE28" s="15">
        <f t="shared" si="13"/>
        <v>6.6037735849056602</v>
      </c>
      <c r="AF28" s="15">
        <f t="shared" si="13"/>
        <v>9.7484276729559749</v>
      </c>
      <c r="AG28" s="15">
        <f t="shared" si="13"/>
        <v>3.1446540880503147</v>
      </c>
      <c r="AH28" s="15">
        <f t="shared" si="9"/>
        <v>1.5723270440251573</v>
      </c>
      <c r="AI28" s="15">
        <f t="shared" si="10"/>
        <v>0.31446540880503149</v>
      </c>
      <c r="AJ28" s="15">
        <f t="shared" si="11"/>
        <v>0.47169811320754718</v>
      </c>
      <c r="AK28" s="15">
        <f t="shared" si="12"/>
        <v>0.15723270440251574</v>
      </c>
    </row>
    <row r="29" spans="1:37" s="13" customFormat="1" x14ac:dyDescent="0.25">
      <c r="A29" s="42"/>
      <c r="B29" s="13" t="s">
        <v>28</v>
      </c>
      <c r="C29" s="14">
        <v>636</v>
      </c>
      <c r="D29" s="14">
        <v>61</v>
      </c>
      <c r="E29" s="14">
        <v>39</v>
      </c>
      <c r="F29" s="14">
        <v>87</v>
      </c>
      <c r="G29" s="13">
        <v>29</v>
      </c>
      <c r="H29" s="13">
        <v>10</v>
      </c>
      <c r="I29" s="13">
        <v>5</v>
      </c>
      <c r="J29" s="13">
        <v>19</v>
      </c>
      <c r="K29" s="32">
        <v>3</v>
      </c>
      <c r="L29" s="13">
        <v>62</v>
      </c>
      <c r="M29" s="13">
        <v>41</v>
      </c>
      <c r="N29" s="13">
        <v>90</v>
      </c>
      <c r="O29" s="13">
        <v>31</v>
      </c>
      <c r="P29" s="13">
        <v>15</v>
      </c>
      <c r="Q29" s="13">
        <v>6</v>
      </c>
      <c r="R29" s="13">
        <v>28</v>
      </c>
      <c r="S29" s="13">
        <v>4</v>
      </c>
      <c r="V29" s="15">
        <f t="shared" si="0"/>
        <v>9.5911949685534594</v>
      </c>
      <c r="W29" s="15">
        <f t="shared" si="1"/>
        <v>6.132075471698113</v>
      </c>
      <c r="X29" s="15">
        <f t="shared" si="2"/>
        <v>13.679245283018867</v>
      </c>
      <c r="Y29" s="15">
        <f t="shared" si="3"/>
        <v>4.5597484276729556</v>
      </c>
      <c r="Z29" s="15">
        <f t="shared" si="4"/>
        <v>1.5723270440251573</v>
      </c>
      <c r="AA29" s="15">
        <f t="shared" si="5"/>
        <v>0.78616352201257866</v>
      </c>
      <c r="AB29" s="15">
        <f t="shared" si="6"/>
        <v>2.9874213836477987</v>
      </c>
      <c r="AC29" s="24">
        <f t="shared" si="7"/>
        <v>0.47169811320754718</v>
      </c>
      <c r="AD29" s="15">
        <f t="shared" si="13"/>
        <v>9.7484276729559749</v>
      </c>
      <c r="AE29" s="15">
        <f t="shared" si="13"/>
        <v>6.4465408805031448</v>
      </c>
      <c r="AF29" s="15">
        <f t="shared" si="13"/>
        <v>14.150943396226415</v>
      </c>
      <c r="AG29" s="15">
        <f t="shared" si="13"/>
        <v>4.8742138364779874</v>
      </c>
      <c r="AH29" s="15">
        <f t="shared" si="9"/>
        <v>2.358490566037736</v>
      </c>
      <c r="AI29" s="15">
        <f t="shared" si="10"/>
        <v>0.94339622641509435</v>
      </c>
      <c r="AJ29" s="15">
        <f t="shared" si="11"/>
        <v>4.4025157232704402</v>
      </c>
      <c r="AK29" s="15">
        <f t="shared" si="12"/>
        <v>0.62893081761006298</v>
      </c>
    </row>
    <row r="30" spans="1:37" s="13" customFormat="1" x14ac:dyDescent="0.25">
      <c r="A30" s="42"/>
      <c r="B30" s="13" t="s">
        <v>29</v>
      </c>
      <c r="C30" s="14">
        <v>636</v>
      </c>
      <c r="D30" s="14">
        <v>34</v>
      </c>
      <c r="E30" s="14">
        <v>41</v>
      </c>
      <c r="F30" s="14">
        <v>42</v>
      </c>
      <c r="G30" s="13">
        <v>15</v>
      </c>
      <c r="H30" s="13">
        <v>7</v>
      </c>
      <c r="I30" s="13">
        <v>8</v>
      </c>
      <c r="J30" s="13">
        <v>13</v>
      </c>
      <c r="K30" s="32">
        <v>3</v>
      </c>
      <c r="L30" s="13">
        <v>37</v>
      </c>
      <c r="M30" s="13">
        <v>43</v>
      </c>
      <c r="N30" s="13">
        <v>44</v>
      </c>
      <c r="O30" s="13">
        <v>16</v>
      </c>
      <c r="P30" s="13">
        <v>7</v>
      </c>
      <c r="Q30" s="13">
        <v>9</v>
      </c>
      <c r="R30" s="13">
        <v>15</v>
      </c>
      <c r="S30" s="13">
        <v>3</v>
      </c>
      <c r="V30" s="15">
        <f t="shared" si="0"/>
        <v>5.3459119496855347</v>
      </c>
      <c r="W30" s="15">
        <f t="shared" si="1"/>
        <v>6.4465408805031448</v>
      </c>
      <c r="X30" s="15">
        <f t="shared" si="2"/>
        <v>6.6037735849056602</v>
      </c>
      <c r="Y30" s="15">
        <f t="shared" si="3"/>
        <v>2.358490566037736</v>
      </c>
      <c r="Z30" s="15">
        <f t="shared" si="4"/>
        <v>1.10062893081761</v>
      </c>
      <c r="AA30" s="15">
        <f t="shared" si="5"/>
        <v>1.257861635220126</v>
      </c>
      <c r="AB30" s="15">
        <f t="shared" si="6"/>
        <v>2.0440251572327042</v>
      </c>
      <c r="AC30" s="24">
        <f t="shared" si="7"/>
        <v>0.47169811320754718</v>
      </c>
      <c r="AD30" s="15">
        <f t="shared" si="13"/>
        <v>5.817610062893082</v>
      </c>
      <c r="AE30" s="15">
        <f t="shared" si="13"/>
        <v>6.7610062893081757</v>
      </c>
      <c r="AF30" s="15">
        <f t="shared" si="13"/>
        <v>6.9182389937106921</v>
      </c>
      <c r="AG30" s="15">
        <f t="shared" si="13"/>
        <v>2.5157232704402519</v>
      </c>
      <c r="AH30" s="15">
        <f t="shared" si="9"/>
        <v>1.10062893081761</v>
      </c>
      <c r="AI30" s="15">
        <f t="shared" si="10"/>
        <v>1.4150943396226416</v>
      </c>
      <c r="AJ30" s="15">
        <f t="shared" si="11"/>
        <v>2.358490566037736</v>
      </c>
      <c r="AK30" s="15">
        <f t="shared" si="12"/>
        <v>0.47169811320754718</v>
      </c>
    </row>
    <row r="31" spans="1:37" s="13" customFormat="1" x14ac:dyDescent="0.25">
      <c r="A31" s="42"/>
      <c r="B31" s="13" t="s">
        <v>30</v>
      </c>
      <c r="C31" s="14">
        <v>636</v>
      </c>
      <c r="D31" s="14">
        <v>76</v>
      </c>
      <c r="E31" s="14">
        <v>34</v>
      </c>
      <c r="F31" s="14">
        <v>48</v>
      </c>
      <c r="G31" s="13">
        <v>21</v>
      </c>
      <c r="H31" s="13">
        <v>11</v>
      </c>
      <c r="I31" s="13">
        <v>6</v>
      </c>
      <c r="J31" s="13">
        <v>17</v>
      </c>
      <c r="K31" s="32">
        <v>4</v>
      </c>
      <c r="L31" s="13">
        <v>82</v>
      </c>
      <c r="M31" s="13">
        <v>35</v>
      </c>
      <c r="N31" s="13">
        <v>49</v>
      </c>
      <c r="O31" s="13">
        <v>22</v>
      </c>
      <c r="P31" s="13">
        <v>12</v>
      </c>
      <c r="Q31" s="13">
        <v>8</v>
      </c>
      <c r="R31" s="13">
        <v>24</v>
      </c>
      <c r="S31" s="13">
        <v>5</v>
      </c>
      <c r="V31" s="15">
        <f t="shared" si="0"/>
        <v>11.949685534591195</v>
      </c>
      <c r="W31" s="15">
        <f t="shared" si="1"/>
        <v>5.3459119496855347</v>
      </c>
      <c r="X31" s="15">
        <f t="shared" si="2"/>
        <v>7.5471698113207548</v>
      </c>
      <c r="Y31" s="15">
        <f t="shared" si="3"/>
        <v>3.3018867924528301</v>
      </c>
      <c r="Z31" s="15">
        <f t="shared" si="4"/>
        <v>1.729559748427673</v>
      </c>
      <c r="AA31" s="15">
        <f t="shared" si="5"/>
        <v>0.94339622641509435</v>
      </c>
      <c r="AB31" s="15">
        <f t="shared" si="6"/>
        <v>2.6729559748427674</v>
      </c>
      <c r="AC31" s="24">
        <f t="shared" si="7"/>
        <v>0.62893081761006298</v>
      </c>
      <c r="AD31" s="15">
        <f t="shared" si="13"/>
        <v>12.89308176100629</v>
      </c>
      <c r="AE31" s="15">
        <f t="shared" si="13"/>
        <v>5.5031446540880502</v>
      </c>
      <c r="AF31" s="15">
        <f t="shared" si="13"/>
        <v>7.7044025157232703</v>
      </c>
      <c r="AG31" s="15">
        <f t="shared" si="13"/>
        <v>3.459119496855346</v>
      </c>
      <c r="AH31" s="15">
        <f t="shared" si="9"/>
        <v>1.8867924528301887</v>
      </c>
      <c r="AI31" s="15">
        <f t="shared" si="10"/>
        <v>1.257861635220126</v>
      </c>
      <c r="AJ31" s="15">
        <f t="shared" si="11"/>
        <v>3.7735849056603774</v>
      </c>
      <c r="AK31" s="15">
        <f t="shared" si="12"/>
        <v>0.78616352201257866</v>
      </c>
    </row>
    <row r="32" spans="1:37" s="13" customFormat="1" x14ac:dyDescent="0.25">
      <c r="A32" s="42"/>
      <c r="B32" s="13" t="s">
        <v>31</v>
      </c>
      <c r="C32" s="14">
        <v>563</v>
      </c>
      <c r="D32" s="14">
        <v>42</v>
      </c>
      <c r="E32" s="14">
        <v>55</v>
      </c>
      <c r="F32" s="14">
        <v>72</v>
      </c>
      <c r="G32" s="13">
        <v>26</v>
      </c>
      <c r="H32" s="13">
        <v>2</v>
      </c>
      <c r="I32" s="13">
        <v>3</v>
      </c>
      <c r="J32" s="13">
        <v>5</v>
      </c>
      <c r="K32" s="32">
        <v>1</v>
      </c>
      <c r="L32" s="13">
        <v>46</v>
      </c>
      <c r="M32" s="13">
        <v>58</v>
      </c>
      <c r="N32" s="13">
        <v>75</v>
      </c>
      <c r="O32" s="13">
        <v>28</v>
      </c>
      <c r="P32" s="13">
        <v>2</v>
      </c>
      <c r="Q32" s="13">
        <v>3</v>
      </c>
      <c r="R32" s="13">
        <v>5</v>
      </c>
      <c r="S32" s="13">
        <v>1</v>
      </c>
      <c r="V32" s="15">
        <f t="shared" si="0"/>
        <v>7.4600355239786849</v>
      </c>
      <c r="W32" s="15">
        <f t="shared" si="1"/>
        <v>9.769094138543517</v>
      </c>
      <c r="X32" s="15">
        <f t="shared" si="2"/>
        <v>12.788632326820604</v>
      </c>
      <c r="Y32" s="15">
        <f t="shared" si="3"/>
        <v>4.6181172291296626</v>
      </c>
      <c r="Z32" s="15">
        <f t="shared" si="4"/>
        <v>0.35523978685612789</v>
      </c>
      <c r="AA32" s="15">
        <f t="shared" si="5"/>
        <v>0.53285968028419184</v>
      </c>
      <c r="AB32" s="15">
        <f t="shared" si="6"/>
        <v>0.88809946714031962</v>
      </c>
      <c r="AC32" s="24">
        <f t="shared" si="7"/>
        <v>0.17761989342806395</v>
      </c>
      <c r="AD32" s="15">
        <f t="shared" si="13"/>
        <v>8.1705150976909415</v>
      </c>
      <c r="AE32" s="15">
        <f t="shared" si="13"/>
        <v>10.301953818827709</v>
      </c>
      <c r="AF32" s="15">
        <f t="shared" si="13"/>
        <v>13.321492007104796</v>
      </c>
      <c r="AG32" s="15">
        <f t="shared" si="13"/>
        <v>4.9733570159857905</v>
      </c>
      <c r="AH32" s="15">
        <f t="shared" si="9"/>
        <v>0.35523978685612789</v>
      </c>
      <c r="AI32" s="15">
        <f t="shared" si="10"/>
        <v>0.53285968028419184</v>
      </c>
      <c r="AJ32" s="15">
        <f t="shared" si="11"/>
        <v>0.88809946714031962</v>
      </c>
      <c r="AK32" s="15">
        <f t="shared" si="12"/>
        <v>0.17761989342806395</v>
      </c>
    </row>
    <row r="33" spans="1:37" s="13" customFormat="1" x14ac:dyDescent="0.25">
      <c r="A33" s="42"/>
      <c r="B33" s="13" t="s">
        <v>32</v>
      </c>
      <c r="C33" s="14">
        <v>154</v>
      </c>
      <c r="D33" s="14">
        <v>17</v>
      </c>
      <c r="E33" s="14">
        <v>14</v>
      </c>
      <c r="F33" s="14">
        <v>15</v>
      </c>
      <c r="G33" s="13">
        <v>7</v>
      </c>
      <c r="H33" s="13">
        <v>1</v>
      </c>
      <c r="I33" s="13">
        <v>2</v>
      </c>
      <c r="J33" s="13">
        <v>2</v>
      </c>
      <c r="K33" s="32">
        <v>0</v>
      </c>
      <c r="L33" s="13">
        <v>20</v>
      </c>
      <c r="M33" s="13">
        <v>15</v>
      </c>
      <c r="N33" s="13">
        <v>16</v>
      </c>
      <c r="O33" s="13">
        <v>9</v>
      </c>
      <c r="P33" s="13">
        <v>1</v>
      </c>
      <c r="Q33" s="13">
        <v>2</v>
      </c>
      <c r="R33" s="13">
        <v>3</v>
      </c>
      <c r="S33" s="13">
        <v>0</v>
      </c>
      <c r="V33" s="15">
        <f t="shared" si="0"/>
        <v>11.038961038961039</v>
      </c>
      <c r="W33" s="15">
        <f t="shared" si="1"/>
        <v>9.0909090909090917</v>
      </c>
      <c r="X33" s="15">
        <f t="shared" si="2"/>
        <v>9.7402597402597415</v>
      </c>
      <c r="Y33" s="15">
        <f t="shared" si="3"/>
        <v>4.5454545454545459</v>
      </c>
      <c r="Z33" s="15">
        <f t="shared" si="4"/>
        <v>0.64935064935064934</v>
      </c>
      <c r="AA33" s="15">
        <f t="shared" si="5"/>
        <v>1.2987012987012987</v>
      </c>
      <c r="AB33" s="15">
        <f t="shared" si="6"/>
        <v>1.2987012987012987</v>
      </c>
      <c r="AC33" s="24">
        <f t="shared" si="7"/>
        <v>0</v>
      </c>
      <c r="AD33" s="15">
        <f t="shared" si="13"/>
        <v>12.987012987012985</v>
      </c>
      <c r="AE33" s="15">
        <f t="shared" si="13"/>
        <v>9.7402597402597415</v>
      </c>
      <c r="AF33" s="15">
        <f t="shared" si="13"/>
        <v>10.38961038961039</v>
      </c>
      <c r="AG33" s="15">
        <f t="shared" si="13"/>
        <v>5.8441558441558437</v>
      </c>
      <c r="AH33" s="15">
        <f t="shared" si="9"/>
        <v>0.64935064935064934</v>
      </c>
      <c r="AI33" s="15">
        <f t="shared" si="10"/>
        <v>1.2987012987012987</v>
      </c>
      <c r="AJ33" s="15">
        <f t="shared" si="11"/>
        <v>1.948051948051948</v>
      </c>
      <c r="AK33" s="15">
        <f t="shared" si="12"/>
        <v>0</v>
      </c>
    </row>
    <row r="34" spans="1:37" s="13" customFormat="1" x14ac:dyDescent="0.25">
      <c r="A34" s="42"/>
      <c r="B34" s="13" t="s">
        <v>33</v>
      </c>
      <c r="C34" s="14">
        <v>636</v>
      </c>
      <c r="D34" s="14">
        <v>70</v>
      </c>
      <c r="E34" s="14">
        <v>50</v>
      </c>
      <c r="F34" s="14">
        <v>59</v>
      </c>
      <c r="G34" s="13">
        <v>22</v>
      </c>
      <c r="H34" s="13">
        <v>10</v>
      </c>
      <c r="I34" s="13">
        <v>4</v>
      </c>
      <c r="J34" s="13">
        <v>13</v>
      </c>
      <c r="K34" s="32">
        <v>0</v>
      </c>
      <c r="L34" s="13">
        <v>72</v>
      </c>
      <c r="M34" s="13">
        <v>50</v>
      </c>
      <c r="N34" s="13">
        <v>62</v>
      </c>
      <c r="O34" s="13">
        <v>22</v>
      </c>
      <c r="P34" s="13">
        <v>16</v>
      </c>
      <c r="Q34" s="13">
        <v>4</v>
      </c>
      <c r="R34" s="13">
        <v>15</v>
      </c>
      <c r="S34" s="13">
        <v>0</v>
      </c>
      <c r="V34" s="15">
        <f t="shared" si="0"/>
        <v>11.0062893081761</v>
      </c>
      <c r="W34" s="15">
        <f t="shared" si="1"/>
        <v>7.8616352201257858</v>
      </c>
      <c r="X34" s="15">
        <f t="shared" si="2"/>
        <v>9.2767295597484267</v>
      </c>
      <c r="Y34" s="15">
        <f t="shared" si="3"/>
        <v>3.459119496855346</v>
      </c>
      <c r="Z34" s="15">
        <f t="shared" si="4"/>
        <v>1.5723270440251573</v>
      </c>
      <c r="AA34" s="15">
        <f t="shared" si="5"/>
        <v>0.62893081761006298</v>
      </c>
      <c r="AB34" s="15">
        <f t="shared" si="6"/>
        <v>2.0440251572327042</v>
      </c>
      <c r="AC34" s="24">
        <f t="shared" si="7"/>
        <v>0</v>
      </c>
      <c r="AD34" s="15">
        <f t="shared" si="13"/>
        <v>11.320754716981133</v>
      </c>
      <c r="AE34" s="15">
        <f t="shared" si="13"/>
        <v>7.8616352201257858</v>
      </c>
      <c r="AF34" s="15">
        <f t="shared" si="13"/>
        <v>9.7484276729559749</v>
      </c>
      <c r="AG34" s="15">
        <f t="shared" si="13"/>
        <v>3.459119496855346</v>
      </c>
      <c r="AH34" s="15">
        <f t="shared" si="9"/>
        <v>2.5157232704402519</v>
      </c>
      <c r="AI34" s="15">
        <f t="shared" si="10"/>
        <v>0.62893081761006298</v>
      </c>
      <c r="AJ34" s="15">
        <f t="shared" si="11"/>
        <v>2.358490566037736</v>
      </c>
      <c r="AK34" s="15">
        <f t="shared" si="12"/>
        <v>0</v>
      </c>
    </row>
    <row r="35" spans="1:37" s="13" customFormat="1" x14ac:dyDescent="0.25">
      <c r="A35" s="42"/>
      <c r="B35" s="13" t="s">
        <v>34</v>
      </c>
      <c r="C35" s="14">
        <v>636</v>
      </c>
      <c r="D35" s="14">
        <v>42</v>
      </c>
      <c r="E35" s="14">
        <v>60</v>
      </c>
      <c r="F35" s="14">
        <v>79</v>
      </c>
      <c r="G35" s="13">
        <v>31</v>
      </c>
      <c r="H35" s="13">
        <v>8</v>
      </c>
      <c r="I35" s="13">
        <v>12</v>
      </c>
      <c r="J35" s="13">
        <v>24</v>
      </c>
      <c r="K35" s="32">
        <v>7</v>
      </c>
      <c r="L35" s="13">
        <v>47</v>
      </c>
      <c r="M35" s="13">
        <v>65</v>
      </c>
      <c r="N35" s="13">
        <v>81</v>
      </c>
      <c r="O35" s="13">
        <v>36</v>
      </c>
      <c r="P35" s="13">
        <v>11</v>
      </c>
      <c r="Q35" s="13">
        <v>16</v>
      </c>
      <c r="R35" s="13">
        <v>30</v>
      </c>
      <c r="S35" s="13">
        <v>10</v>
      </c>
      <c r="V35" s="15">
        <f t="shared" ref="V35:V76" si="14">(D35/$C35)*100</f>
        <v>6.6037735849056602</v>
      </c>
      <c r="W35" s="15">
        <f t="shared" ref="W35:W76" si="15">(E35/$C35)*100</f>
        <v>9.433962264150944</v>
      </c>
      <c r="X35" s="15">
        <f t="shared" ref="X35:X76" si="16">(F35/$C35)*100</f>
        <v>12.421383647798741</v>
      </c>
      <c r="Y35" s="15">
        <f t="shared" ref="Y35:Y76" si="17">(G35/$C35)*100</f>
        <v>4.8742138364779874</v>
      </c>
      <c r="Z35" s="15">
        <f t="shared" ref="Z35:Z76" si="18">(H35/$C35)*100</f>
        <v>1.257861635220126</v>
      </c>
      <c r="AA35" s="15">
        <f t="shared" ref="AA35:AA76" si="19">(I35/$C35)*100</f>
        <v>1.8867924528301887</v>
      </c>
      <c r="AB35" s="15">
        <f t="shared" ref="AB35:AB76" si="20">(J35/$C35)*100</f>
        <v>3.7735849056603774</v>
      </c>
      <c r="AC35" s="24">
        <f t="shared" ref="AC35:AC76" si="21">(K35/$C35)*100</f>
        <v>1.10062893081761</v>
      </c>
      <c r="AD35" s="15">
        <f t="shared" ref="AD35:AD76" si="22">(L35/$C35)*100</f>
        <v>7.3899371069182385</v>
      </c>
      <c r="AE35" s="15">
        <f t="shared" ref="AE35:AE76" si="23">(M35/$C35)*100</f>
        <v>10.220125786163523</v>
      </c>
      <c r="AF35" s="15">
        <f t="shared" ref="AF35:AF76" si="24">(N35/$C35)*100</f>
        <v>12.735849056603774</v>
      </c>
      <c r="AG35" s="15">
        <f t="shared" ref="AG35:AG76" si="25">(O35/$C35)*100</f>
        <v>5.6603773584905666</v>
      </c>
      <c r="AH35" s="15">
        <f t="shared" ref="AH35:AH76" si="26">(P35/$C35)*100</f>
        <v>1.729559748427673</v>
      </c>
      <c r="AI35" s="15">
        <f t="shared" si="10"/>
        <v>2.5157232704402519</v>
      </c>
      <c r="AJ35" s="15">
        <f t="shared" si="11"/>
        <v>4.716981132075472</v>
      </c>
      <c r="AK35" s="15">
        <f t="shared" si="12"/>
        <v>1.5723270440251573</v>
      </c>
    </row>
    <row r="36" spans="1:37" s="16" customFormat="1" x14ac:dyDescent="0.25">
      <c r="A36" s="43" t="s">
        <v>1</v>
      </c>
      <c r="B36" s="16" t="s">
        <v>26</v>
      </c>
      <c r="C36" s="17">
        <v>636</v>
      </c>
      <c r="D36" s="17">
        <v>30</v>
      </c>
      <c r="E36" s="17">
        <v>36</v>
      </c>
      <c r="F36" s="17">
        <v>84</v>
      </c>
      <c r="G36" s="16">
        <v>21</v>
      </c>
      <c r="H36" s="16">
        <v>7</v>
      </c>
      <c r="I36" s="16">
        <v>9</v>
      </c>
      <c r="J36" s="16">
        <v>24</v>
      </c>
      <c r="K36" s="33">
        <v>4</v>
      </c>
      <c r="L36" s="16">
        <v>32</v>
      </c>
      <c r="M36" s="16">
        <v>40</v>
      </c>
      <c r="N36" s="16">
        <v>86</v>
      </c>
      <c r="O36" s="16">
        <v>21</v>
      </c>
      <c r="P36" s="16">
        <v>8</v>
      </c>
      <c r="Q36" s="16">
        <v>10</v>
      </c>
      <c r="R36" s="16">
        <v>30</v>
      </c>
      <c r="S36" s="16">
        <v>4</v>
      </c>
      <c r="V36" s="18">
        <f t="shared" si="14"/>
        <v>4.716981132075472</v>
      </c>
      <c r="W36" s="18">
        <f t="shared" si="15"/>
        <v>5.6603773584905666</v>
      </c>
      <c r="X36" s="18">
        <f t="shared" si="16"/>
        <v>13.20754716981132</v>
      </c>
      <c r="Y36" s="18">
        <f t="shared" si="17"/>
        <v>3.3018867924528301</v>
      </c>
      <c r="Z36" s="18">
        <f t="shared" si="18"/>
        <v>1.10062893081761</v>
      </c>
      <c r="AA36" s="18">
        <f t="shared" si="19"/>
        <v>1.4150943396226416</v>
      </c>
      <c r="AB36" s="18">
        <f t="shared" si="20"/>
        <v>3.7735849056603774</v>
      </c>
      <c r="AC36" s="25">
        <f t="shared" si="21"/>
        <v>0.62893081761006298</v>
      </c>
      <c r="AD36" s="18">
        <f t="shared" si="22"/>
        <v>5.0314465408805038</v>
      </c>
      <c r="AE36" s="18">
        <f t="shared" si="23"/>
        <v>6.2893081761006293</v>
      </c>
      <c r="AF36" s="18">
        <f t="shared" si="24"/>
        <v>13.522012578616351</v>
      </c>
      <c r="AG36" s="18">
        <f t="shared" si="25"/>
        <v>3.3018867924528301</v>
      </c>
      <c r="AH36" s="18">
        <f t="shared" si="26"/>
        <v>1.257861635220126</v>
      </c>
      <c r="AI36" s="18">
        <f t="shared" si="10"/>
        <v>1.5723270440251573</v>
      </c>
      <c r="AJ36" s="18">
        <f t="shared" si="11"/>
        <v>4.716981132075472</v>
      </c>
      <c r="AK36" s="18">
        <f t="shared" si="12"/>
        <v>0.62893081761006298</v>
      </c>
    </row>
    <row r="37" spans="1:37" s="16" customFormat="1" x14ac:dyDescent="0.25">
      <c r="A37" s="43"/>
      <c r="B37" s="16" t="s">
        <v>27</v>
      </c>
      <c r="C37" s="17">
        <v>636</v>
      </c>
      <c r="D37" s="17">
        <v>31</v>
      </c>
      <c r="E37" s="17">
        <v>21</v>
      </c>
      <c r="F37" s="17">
        <v>56</v>
      </c>
      <c r="G37" s="16">
        <v>10</v>
      </c>
      <c r="H37" s="16">
        <v>5</v>
      </c>
      <c r="I37" s="16">
        <v>2</v>
      </c>
      <c r="J37" s="16">
        <v>5</v>
      </c>
      <c r="K37" s="33">
        <v>1</v>
      </c>
      <c r="L37" s="16">
        <v>32</v>
      </c>
      <c r="M37" s="16">
        <v>21</v>
      </c>
      <c r="N37" s="16">
        <v>57</v>
      </c>
      <c r="O37" s="16">
        <v>10</v>
      </c>
      <c r="P37" s="16">
        <v>6</v>
      </c>
      <c r="Q37" s="16">
        <v>3</v>
      </c>
      <c r="R37" s="16">
        <v>5</v>
      </c>
      <c r="S37" s="16">
        <v>1</v>
      </c>
      <c r="V37" s="18">
        <f t="shared" si="14"/>
        <v>4.8742138364779874</v>
      </c>
      <c r="W37" s="18">
        <f t="shared" si="15"/>
        <v>3.3018867924528301</v>
      </c>
      <c r="X37" s="18">
        <f t="shared" si="16"/>
        <v>8.8050314465408803</v>
      </c>
      <c r="Y37" s="18">
        <f t="shared" si="17"/>
        <v>1.5723270440251573</v>
      </c>
      <c r="Z37" s="18">
        <f t="shared" si="18"/>
        <v>0.78616352201257866</v>
      </c>
      <c r="AA37" s="18">
        <f t="shared" si="19"/>
        <v>0.31446540880503149</v>
      </c>
      <c r="AB37" s="18">
        <f t="shared" si="20"/>
        <v>0.78616352201257866</v>
      </c>
      <c r="AC37" s="25">
        <f t="shared" si="21"/>
        <v>0.15723270440251574</v>
      </c>
      <c r="AD37" s="18">
        <f t="shared" si="22"/>
        <v>5.0314465408805038</v>
      </c>
      <c r="AE37" s="18">
        <f t="shared" si="23"/>
        <v>3.3018867924528301</v>
      </c>
      <c r="AF37" s="18">
        <f t="shared" si="24"/>
        <v>8.9622641509433958</v>
      </c>
      <c r="AG37" s="18">
        <f t="shared" si="25"/>
        <v>1.5723270440251573</v>
      </c>
      <c r="AH37" s="18">
        <f t="shared" si="26"/>
        <v>0.94339622641509435</v>
      </c>
      <c r="AI37" s="18">
        <f t="shared" si="10"/>
        <v>0.47169811320754718</v>
      </c>
      <c r="AJ37" s="18">
        <f t="shared" si="11"/>
        <v>0.78616352201257866</v>
      </c>
      <c r="AK37" s="18">
        <f t="shared" si="12"/>
        <v>0.15723270440251574</v>
      </c>
    </row>
    <row r="38" spans="1:37" s="16" customFormat="1" x14ac:dyDescent="0.25">
      <c r="A38" s="43"/>
      <c r="B38" s="16" t="s">
        <v>28</v>
      </c>
      <c r="C38" s="17">
        <v>636</v>
      </c>
      <c r="D38" s="17">
        <v>45</v>
      </c>
      <c r="E38" s="17">
        <v>34</v>
      </c>
      <c r="F38" s="17">
        <v>89</v>
      </c>
      <c r="G38" s="16">
        <v>24</v>
      </c>
      <c r="H38" s="16">
        <v>5</v>
      </c>
      <c r="I38" s="16">
        <v>4</v>
      </c>
      <c r="J38" s="16">
        <v>15</v>
      </c>
      <c r="K38" s="33">
        <v>2</v>
      </c>
      <c r="L38" s="16">
        <v>46</v>
      </c>
      <c r="M38" s="16">
        <v>37</v>
      </c>
      <c r="N38" s="16">
        <v>92</v>
      </c>
      <c r="O38" s="16">
        <v>25</v>
      </c>
      <c r="P38" s="16">
        <v>5</v>
      </c>
      <c r="Q38" s="16">
        <v>4</v>
      </c>
      <c r="R38" s="16">
        <v>18</v>
      </c>
      <c r="S38" s="16">
        <v>2</v>
      </c>
      <c r="V38" s="18">
        <f t="shared" si="14"/>
        <v>7.0754716981132075</v>
      </c>
      <c r="W38" s="18">
        <f t="shared" si="15"/>
        <v>5.3459119496855347</v>
      </c>
      <c r="X38" s="18">
        <f t="shared" si="16"/>
        <v>13.9937106918239</v>
      </c>
      <c r="Y38" s="18">
        <f t="shared" si="17"/>
        <v>3.7735849056603774</v>
      </c>
      <c r="Z38" s="18">
        <f t="shared" si="18"/>
        <v>0.78616352201257866</v>
      </c>
      <c r="AA38" s="18">
        <f t="shared" si="19"/>
        <v>0.62893081761006298</v>
      </c>
      <c r="AB38" s="18">
        <f t="shared" si="20"/>
        <v>2.358490566037736</v>
      </c>
      <c r="AC38" s="25">
        <f t="shared" si="21"/>
        <v>0.31446540880503149</v>
      </c>
      <c r="AD38" s="18">
        <f t="shared" si="22"/>
        <v>7.232704402515723</v>
      </c>
      <c r="AE38" s="18">
        <f t="shared" si="23"/>
        <v>5.817610062893082</v>
      </c>
      <c r="AF38" s="18">
        <f t="shared" si="24"/>
        <v>14.465408805031446</v>
      </c>
      <c r="AG38" s="18">
        <f t="shared" si="25"/>
        <v>3.9308176100628929</v>
      </c>
      <c r="AH38" s="18">
        <f t="shared" si="26"/>
        <v>0.78616352201257866</v>
      </c>
      <c r="AI38" s="18">
        <f t="shared" si="10"/>
        <v>0.62893081761006298</v>
      </c>
      <c r="AJ38" s="18">
        <f t="shared" si="11"/>
        <v>2.8301886792452833</v>
      </c>
      <c r="AK38" s="18">
        <f t="shared" si="12"/>
        <v>0.31446540880503149</v>
      </c>
    </row>
    <row r="39" spans="1:37" s="16" customFormat="1" x14ac:dyDescent="0.25">
      <c r="A39" s="43"/>
      <c r="B39" s="16" t="s">
        <v>29</v>
      </c>
      <c r="C39" s="17">
        <v>636</v>
      </c>
      <c r="D39" s="17">
        <v>24</v>
      </c>
      <c r="E39" s="17">
        <v>30</v>
      </c>
      <c r="F39" s="17">
        <v>35</v>
      </c>
      <c r="G39" s="16">
        <v>7</v>
      </c>
      <c r="H39" s="16">
        <v>0</v>
      </c>
      <c r="I39" s="16">
        <v>4</v>
      </c>
      <c r="J39" s="16">
        <v>10</v>
      </c>
      <c r="K39" s="33">
        <v>0</v>
      </c>
      <c r="L39" s="16">
        <v>24</v>
      </c>
      <c r="M39" s="16">
        <v>30</v>
      </c>
      <c r="N39" s="16">
        <v>36</v>
      </c>
      <c r="O39" s="16">
        <v>7</v>
      </c>
      <c r="P39" s="16">
        <v>0</v>
      </c>
      <c r="Q39" s="16">
        <v>5</v>
      </c>
      <c r="R39" s="16">
        <v>13</v>
      </c>
      <c r="S39" s="16">
        <v>0</v>
      </c>
      <c r="V39" s="18">
        <f t="shared" si="14"/>
        <v>3.7735849056603774</v>
      </c>
      <c r="W39" s="18">
        <f t="shared" si="15"/>
        <v>4.716981132075472</v>
      </c>
      <c r="X39" s="18">
        <f t="shared" si="16"/>
        <v>5.5031446540880502</v>
      </c>
      <c r="Y39" s="18">
        <f t="shared" si="17"/>
        <v>1.10062893081761</v>
      </c>
      <c r="Z39" s="18">
        <f t="shared" si="18"/>
        <v>0</v>
      </c>
      <c r="AA39" s="18">
        <f t="shared" si="19"/>
        <v>0.62893081761006298</v>
      </c>
      <c r="AB39" s="18">
        <f t="shared" si="20"/>
        <v>1.5723270440251573</v>
      </c>
      <c r="AC39" s="25">
        <f t="shared" si="21"/>
        <v>0</v>
      </c>
      <c r="AD39" s="18">
        <f t="shared" si="22"/>
        <v>3.7735849056603774</v>
      </c>
      <c r="AE39" s="18">
        <f t="shared" si="23"/>
        <v>4.716981132075472</v>
      </c>
      <c r="AF39" s="18">
        <f t="shared" si="24"/>
        <v>5.6603773584905666</v>
      </c>
      <c r="AG39" s="18">
        <f t="shared" si="25"/>
        <v>1.10062893081761</v>
      </c>
      <c r="AH39" s="18">
        <f t="shared" si="26"/>
        <v>0</v>
      </c>
      <c r="AI39" s="18">
        <f t="shared" si="10"/>
        <v>0.78616352201257866</v>
      </c>
      <c r="AJ39" s="18">
        <f t="shared" si="11"/>
        <v>2.0440251572327042</v>
      </c>
      <c r="AK39" s="18">
        <f t="shared" si="12"/>
        <v>0</v>
      </c>
    </row>
    <row r="40" spans="1:37" s="16" customFormat="1" x14ac:dyDescent="0.25">
      <c r="A40" s="43"/>
      <c r="B40" s="16" t="s">
        <v>30</v>
      </c>
      <c r="C40" s="17">
        <v>636</v>
      </c>
      <c r="D40" s="17">
        <v>52</v>
      </c>
      <c r="E40" s="17">
        <v>23</v>
      </c>
      <c r="F40" s="17">
        <v>38</v>
      </c>
      <c r="G40" s="16">
        <v>6</v>
      </c>
      <c r="H40" s="16">
        <v>6</v>
      </c>
      <c r="I40" s="16">
        <v>6</v>
      </c>
      <c r="J40" s="16">
        <v>10</v>
      </c>
      <c r="K40" s="33">
        <v>1</v>
      </c>
      <c r="L40" s="16">
        <v>56</v>
      </c>
      <c r="M40" s="16">
        <v>25</v>
      </c>
      <c r="N40" s="16">
        <v>39</v>
      </c>
      <c r="O40" s="16">
        <v>6</v>
      </c>
      <c r="P40" s="16">
        <v>6</v>
      </c>
      <c r="Q40" s="16">
        <v>6</v>
      </c>
      <c r="R40" s="16">
        <v>12</v>
      </c>
      <c r="S40" s="16">
        <v>1</v>
      </c>
      <c r="V40" s="18">
        <f t="shared" si="14"/>
        <v>8.1761006289308167</v>
      </c>
      <c r="W40" s="18">
        <f t="shared" si="15"/>
        <v>3.6163522012578615</v>
      </c>
      <c r="X40" s="18">
        <f t="shared" si="16"/>
        <v>5.9748427672955975</v>
      </c>
      <c r="Y40" s="18">
        <f t="shared" si="17"/>
        <v>0.94339622641509435</v>
      </c>
      <c r="Z40" s="18">
        <f t="shared" si="18"/>
        <v>0.94339622641509435</v>
      </c>
      <c r="AA40" s="18">
        <f t="shared" si="19"/>
        <v>0.94339622641509435</v>
      </c>
      <c r="AB40" s="18">
        <f t="shared" si="20"/>
        <v>1.5723270440251573</v>
      </c>
      <c r="AC40" s="25">
        <f t="shared" si="21"/>
        <v>0.15723270440251574</v>
      </c>
      <c r="AD40" s="18">
        <f t="shared" si="22"/>
        <v>8.8050314465408803</v>
      </c>
      <c r="AE40" s="18">
        <f t="shared" si="23"/>
        <v>3.9308176100628929</v>
      </c>
      <c r="AF40" s="18">
        <f t="shared" si="24"/>
        <v>6.132075471698113</v>
      </c>
      <c r="AG40" s="18">
        <f t="shared" si="25"/>
        <v>0.94339622641509435</v>
      </c>
      <c r="AH40" s="18">
        <f t="shared" si="26"/>
        <v>0.94339622641509435</v>
      </c>
      <c r="AI40" s="18">
        <f t="shared" si="10"/>
        <v>0.94339622641509435</v>
      </c>
      <c r="AJ40" s="18">
        <f t="shared" si="11"/>
        <v>1.8867924528301887</v>
      </c>
      <c r="AK40" s="18">
        <f t="shared" si="12"/>
        <v>0.15723270440251574</v>
      </c>
    </row>
    <row r="41" spans="1:37" s="16" customFormat="1" x14ac:dyDescent="0.25">
      <c r="A41" s="43"/>
      <c r="B41" s="16" t="s">
        <v>31</v>
      </c>
      <c r="C41" s="17">
        <v>553</v>
      </c>
      <c r="D41" s="17">
        <v>22</v>
      </c>
      <c r="E41" s="17">
        <v>26</v>
      </c>
      <c r="F41" s="17">
        <v>67</v>
      </c>
      <c r="G41" s="16">
        <v>10</v>
      </c>
      <c r="H41" s="16">
        <v>2</v>
      </c>
      <c r="I41" s="16">
        <v>1</v>
      </c>
      <c r="J41" s="16">
        <v>8</v>
      </c>
      <c r="K41" s="33">
        <v>0</v>
      </c>
      <c r="L41" s="16">
        <v>22</v>
      </c>
      <c r="M41" s="16">
        <v>30</v>
      </c>
      <c r="N41" s="16">
        <v>71</v>
      </c>
      <c r="O41" s="16">
        <v>10</v>
      </c>
      <c r="P41" s="16">
        <v>2</v>
      </c>
      <c r="Q41" s="16">
        <v>1</v>
      </c>
      <c r="R41" s="16">
        <v>8</v>
      </c>
      <c r="S41" s="16">
        <v>0</v>
      </c>
      <c r="V41" s="18">
        <f t="shared" si="14"/>
        <v>3.9783001808318263</v>
      </c>
      <c r="W41" s="18">
        <f t="shared" si="15"/>
        <v>4.7016274864376131</v>
      </c>
      <c r="X41" s="18">
        <f t="shared" si="16"/>
        <v>12.115732368896925</v>
      </c>
      <c r="Y41" s="18">
        <f t="shared" si="17"/>
        <v>1.8083182640144666</v>
      </c>
      <c r="Z41" s="18">
        <f t="shared" si="18"/>
        <v>0.36166365280289331</v>
      </c>
      <c r="AA41" s="18">
        <f t="shared" si="19"/>
        <v>0.18083182640144665</v>
      </c>
      <c r="AB41" s="18">
        <f t="shared" si="20"/>
        <v>1.4466546112115732</v>
      </c>
      <c r="AC41" s="25">
        <f t="shared" si="21"/>
        <v>0</v>
      </c>
      <c r="AD41" s="18">
        <f t="shared" si="22"/>
        <v>3.9783001808318263</v>
      </c>
      <c r="AE41" s="18">
        <f t="shared" si="23"/>
        <v>5.4249547920433994</v>
      </c>
      <c r="AF41" s="18">
        <f t="shared" si="24"/>
        <v>12.839059674502712</v>
      </c>
      <c r="AG41" s="18">
        <f t="shared" si="25"/>
        <v>1.8083182640144666</v>
      </c>
      <c r="AH41" s="18">
        <f t="shared" si="26"/>
        <v>0.36166365280289331</v>
      </c>
      <c r="AI41" s="18">
        <f t="shared" si="10"/>
        <v>0.18083182640144665</v>
      </c>
      <c r="AJ41" s="18">
        <f t="shared" si="11"/>
        <v>1.4466546112115732</v>
      </c>
      <c r="AK41" s="18">
        <f t="shared" si="12"/>
        <v>0</v>
      </c>
    </row>
    <row r="42" spans="1:37" s="16" customFormat="1" x14ac:dyDescent="0.25">
      <c r="A42" s="43"/>
      <c r="B42" s="16" t="s">
        <v>32</v>
      </c>
      <c r="C42" s="17">
        <v>152</v>
      </c>
      <c r="D42" s="17">
        <v>7</v>
      </c>
      <c r="E42" s="17">
        <v>8</v>
      </c>
      <c r="F42" s="17">
        <v>12</v>
      </c>
      <c r="G42" s="16">
        <v>3</v>
      </c>
      <c r="H42" s="16">
        <v>1</v>
      </c>
      <c r="I42" s="16">
        <v>3</v>
      </c>
      <c r="J42" s="16">
        <v>2</v>
      </c>
      <c r="K42" s="33">
        <v>1</v>
      </c>
      <c r="L42" s="16">
        <v>7</v>
      </c>
      <c r="M42" s="16">
        <v>9</v>
      </c>
      <c r="N42" s="16">
        <v>12</v>
      </c>
      <c r="O42" s="16">
        <v>3</v>
      </c>
      <c r="P42" s="16">
        <v>1</v>
      </c>
      <c r="Q42" s="16">
        <v>3</v>
      </c>
      <c r="R42" s="16">
        <v>3</v>
      </c>
      <c r="S42" s="16">
        <v>1</v>
      </c>
      <c r="V42" s="18">
        <f t="shared" si="14"/>
        <v>4.6052631578947363</v>
      </c>
      <c r="W42" s="18">
        <f t="shared" si="15"/>
        <v>5.2631578947368416</v>
      </c>
      <c r="X42" s="18">
        <f t="shared" si="16"/>
        <v>7.8947368421052628</v>
      </c>
      <c r="Y42" s="18">
        <f t="shared" si="17"/>
        <v>1.9736842105263157</v>
      </c>
      <c r="Z42" s="18">
        <f t="shared" si="18"/>
        <v>0.6578947368421052</v>
      </c>
      <c r="AA42" s="18">
        <f t="shared" si="19"/>
        <v>1.9736842105263157</v>
      </c>
      <c r="AB42" s="18">
        <f t="shared" si="20"/>
        <v>1.3157894736842104</v>
      </c>
      <c r="AC42" s="25">
        <f t="shared" si="21"/>
        <v>0.6578947368421052</v>
      </c>
      <c r="AD42" s="18">
        <f t="shared" si="22"/>
        <v>4.6052631578947363</v>
      </c>
      <c r="AE42" s="18">
        <f t="shared" si="23"/>
        <v>5.9210526315789469</v>
      </c>
      <c r="AF42" s="18">
        <f t="shared" si="24"/>
        <v>7.8947368421052628</v>
      </c>
      <c r="AG42" s="18">
        <f t="shared" si="25"/>
        <v>1.9736842105263157</v>
      </c>
      <c r="AH42" s="18">
        <f t="shared" si="26"/>
        <v>0.6578947368421052</v>
      </c>
      <c r="AI42" s="18">
        <f t="shared" si="10"/>
        <v>1.9736842105263157</v>
      </c>
      <c r="AJ42" s="18">
        <f t="shared" si="11"/>
        <v>1.9736842105263157</v>
      </c>
      <c r="AK42" s="18">
        <f t="shared" si="12"/>
        <v>0.6578947368421052</v>
      </c>
    </row>
    <row r="43" spans="1:37" s="16" customFormat="1" x14ac:dyDescent="0.25">
      <c r="A43" s="43"/>
      <c r="B43" s="16" t="s">
        <v>33</v>
      </c>
      <c r="C43" s="17">
        <v>636</v>
      </c>
      <c r="D43" s="17">
        <v>49</v>
      </c>
      <c r="E43" s="17">
        <v>31</v>
      </c>
      <c r="F43" s="17">
        <v>54</v>
      </c>
      <c r="G43" s="16">
        <v>16</v>
      </c>
      <c r="H43" s="16">
        <v>10</v>
      </c>
      <c r="I43" s="16">
        <v>1</v>
      </c>
      <c r="J43" s="16">
        <v>8</v>
      </c>
      <c r="K43" s="33">
        <v>1</v>
      </c>
      <c r="L43" s="16">
        <v>51</v>
      </c>
      <c r="M43" s="16">
        <v>33</v>
      </c>
      <c r="N43" s="16">
        <v>55</v>
      </c>
      <c r="O43" s="16">
        <v>18</v>
      </c>
      <c r="P43" s="16">
        <v>12</v>
      </c>
      <c r="Q43" s="16">
        <v>1</v>
      </c>
      <c r="R43" s="16">
        <v>8</v>
      </c>
      <c r="S43" s="16">
        <v>1</v>
      </c>
      <c r="V43" s="18">
        <f t="shared" si="14"/>
        <v>7.7044025157232703</v>
      </c>
      <c r="W43" s="18">
        <f t="shared" si="15"/>
        <v>4.8742138364779874</v>
      </c>
      <c r="X43" s="18">
        <f t="shared" si="16"/>
        <v>8.4905660377358494</v>
      </c>
      <c r="Y43" s="18">
        <f t="shared" si="17"/>
        <v>2.5157232704402519</v>
      </c>
      <c r="Z43" s="18">
        <f t="shared" si="18"/>
        <v>1.5723270440251573</v>
      </c>
      <c r="AA43" s="18">
        <f t="shared" si="19"/>
        <v>0.15723270440251574</v>
      </c>
      <c r="AB43" s="18">
        <f t="shared" si="20"/>
        <v>1.257861635220126</v>
      </c>
      <c r="AC43" s="25">
        <f t="shared" si="21"/>
        <v>0.15723270440251574</v>
      </c>
      <c r="AD43" s="18">
        <f t="shared" si="22"/>
        <v>8.0188679245283012</v>
      </c>
      <c r="AE43" s="18">
        <f t="shared" si="23"/>
        <v>5.1886792452830193</v>
      </c>
      <c r="AF43" s="18">
        <f t="shared" si="24"/>
        <v>8.6477987421383649</v>
      </c>
      <c r="AG43" s="18">
        <f t="shared" si="25"/>
        <v>2.8301886792452833</v>
      </c>
      <c r="AH43" s="18">
        <f t="shared" si="26"/>
        <v>1.8867924528301887</v>
      </c>
      <c r="AI43" s="18">
        <f t="shared" si="10"/>
        <v>0.15723270440251574</v>
      </c>
      <c r="AJ43" s="18">
        <f t="shared" si="11"/>
        <v>1.257861635220126</v>
      </c>
      <c r="AK43" s="18">
        <f t="shared" si="12"/>
        <v>0.15723270440251574</v>
      </c>
    </row>
    <row r="44" spans="1:37" s="16" customFormat="1" x14ac:dyDescent="0.25">
      <c r="A44" s="43"/>
      <c r="B44" s="16" t="s">
        <v>34</v>
      </c>
      <c r="C44" s="17">
        <v>636</v>
      </c>
      <c r="D44" s="17">
        <v>45</v>
      </c>
      <c r="E44" s="17">
        <v>32</v>
      </c>
      <c r="F44" s="17">
        <v>60</v>
      </c>
      <c r="G44" s="16">
        <v>21</v>
      </c>
      <c r="H44" s="16">
        <v>8</v>
      </c>
      <c r="I44" s="16">
        <v>4</v>
      </c>
      <c r="J44" s="16">
        <v>18</v>
      </c>
      <c r="K44" s="33">
        <v>4</v>
      </c>
      <c r="L44" s="16">
        <v>49</v>
      </c>
      <c r="M44" s="16">
        <v>33</v>
      </c>
      <c r="N44" s="16">
        <v>61</v>
      </c>
      <c r="O44" s="16">
        <v>22</v>
      </c>
      <c r="P44" s="16">
        <v>8</v>
      </c>
      <c r="Q44" s="16">
        <v>4</v>
      </c>
      <c r="R44" s="16">
        <v>20</v>
      </c>
      <c r="S44" s="16">
        <v>4</v>
      </c>
      <c r="V44" s="18">
        <f t="shared" si="14"/>
        <v>7.0754716981132075</v>
      </c>
      <c r="W44" s="18">
        <f t="shared" si="15"/>
        <v>5.0314465408805038</v>
      </c>
      <c r="X44" s="18">
        <f t="shared" si="16"/>
        <v>9.433962264150944</v>
      </c>
      <c r="Y44" s="18">
        <f t="shared" si="17"/>
        <v>3.3018867924528301</v>
      </c>
      <c r="Z44" s="18">
        <f t="shared" si="18"/>
        <v>1.257861635220126</v>
      </c>
      <c r="AA44" s="18">
        <f t="shared" si="19"/>
        <v>0.62893081761006298</v>
      </c>
      <c r="AB44" s="18">
        <f t="shared" si="20"/>
        <v>2.8301886792452833</v>
      </c>
      <c r="AC44" s="25">
        <f t="shared" si="21"/>
        <v>0.62893081761006298</v>
      </c>
      <c r="AD44" s="18">
        <f t="shared" si="22"/>
        <v>7.7044025157232703</v>
      </c>
      <c r="AE44" s="18">
        <f t="shared" si="23"/>
        <v>5.1886792452830193</v>
      </c>
      <c r="AF44" s="18">
        <f t="shared" si="24"/>
        <v>9.5911949685534594</v>
      </c>
      <c r="AG44" s="18">
        <f t="shared" si="25"/>
        <v>3.459119496855346</v>
      </c>
      <c r="AH44" s="18">
        <f t="shared" si="26"/>
        <v>1.257861635220126</v>
      </c>
      <c r="AI44" s="18">
        <f t="shared" si="10"/>
        <v>0.62893081761006298</v>
      </c>
      <c r="AJ44" s="18">
        <f t="shared" si="11"/>
        <v>3.1446540880503147</v>
      </c>
      <c r="AK44" s="18">
        <f t="shared" si="12"/>
        <v>0.62893081761006298</v>
      </c>
    </row>
    <row r="45" spans="1:37" s="4" customFormat="1" x14ac:dyDescent="0.25">
      <c r="A45" s="44" t="s">
        <v>58</v>
      </c>
      <c r="B45" s="4" t="s">
        <v>35</v>
      </c>
      <c r="C45" s="5">
        <v>662</v>
      </c>
      <c r="D45" s="5">
        <v>35</v>
      </c>
      <c r="E45" s="5">
        <v>32</v>
      </c>
      <c r="F45" s="5">
        <v>42</v>
      </c>
      <c r="G45" s="4">
        <v>10</v>
      </c>
      <c r="H45" s="4">
        <v>4</v>
      </c>
      <c r="I45" s="4">
        <v>4</v>
      </c>
      <c r="J45" s="4">
        <v>9</v>
      </c>
      <c r="K45" s="29">
        <v>1</v>
      </c>
      <c r="L45" s="4">
        <v>36</v>
      </c>
      <c r="M45" s="4">
        <v>34</v>
      </c>
      <c r="N45" s="4">
        <v>43</v>
      </c>
      <c r="O45" s="4">
        <v>11</v>
      </c>
      <c r="P45" s="4">
        <v>4</v>
      </c>
      <c r="Q45" s="4">
        <v>4</v>
      </c>
      <c r="R45" s="4">
        <v>10</v>
      </c>
      <c r="S45" s="4">
        <v>1</v>
      </c>
      <c r="V45" s="6">
        <f t="shared" si="14"/>
        <v>5.287009063444108</v>
      </c>
      <c r="W45" s="6">
        <f t="shared" si="15"/>
        <v>4.833836858006042</v>
      </c>
      <c r="X45" s="6">
        <f t="shared" si="16"/>
        <v>6.3444108761329305</v>
      </c>
      <c r="Y45" s="6">
        <f t="shared" si="17"/>
        <v>1.5105740181268883</v>
      </c>
      <c r="Z45" s="6">
        <f t="shared" si="18"/>
        <v>0.60422960725075525</v>
      </c>
      <c r="AA45" s="6">
        <f t="shared" si="19"/>
        <v>0.60422960725075525</v>
      </c>
      <c r="AB45" s="6">
        <f t="shared" si="20"/>
        <v>1.3595166163141994</v>
      </c>
      <c r="AC45" s="21">
        <f t="shared" si="21"/>
        <v>0.15105740181268881</v>
      </c>
      <c r="AD45" s="6">
        <f t="shared" si="22"/>
        <v>5.4380664652567976</v>
      </c>
      <c r="AE45" s="6">
        <f t="shared" si="23"/>
        <v>5.1359516616314203</v>
      </c>
      <c r="AF45" s="6">
        <f t="shared" si="24"/>
        <v>6.4954682779456192</v>
      </c>
      <c r="AG45" s="6">
        <f t="shared" si="25"/>
        <v>1.6616314199395772</v>
      </c>
      <c r="AH45" s="6">
        <f t="shared" si="26"/>
        <v>0.60422960725075525</v>
      </c>
      <c r="AI45" s="6">
        <f t="shared" si="10"/>
        <v>0.60422960725075525</v>
      </c>
      <c r="AJ45" s="6">
        <f t="shared" si="11"/>
        <v>1.5105740181268883</v>
      </c>
      <c r="AK45" s="6">
        <f t="shared" si="12"/>
        <v>0.15105740181268881</v>
      </c>
    </row>
    <row r="46" spans="1:37" s="4" customFormat="1" x14ac:dyDescent="0.25">
      <c r="A46" s="44"/>
      <c r="B46" s="4" t="s">
        <v>36</v>
      </c>
      <c r="C46" s="5">
        <v>668</v>
      </c>
      <c r="D46" s="5">
        <v>40</v>
      </c>
      <c r="E46" s="5">
        <v>40</v>
      </c>
      <c r="F46" s="5">
        <v>65</v>
      </c>
      <c r="G46" s="4">
        <v>23</v>
      </c>
      <c r="H46" s="4">
        <v>12</v>
      </c>
      <c r="I46" s="4">
        <v>9</v>
      </c>
      <c r="J46" s="4">
        <v>15</v>
      </c>
      <c r="K46" s="29">
        <v>7</v>
      </c>
      <c r="L46" s="4">
        <v>40</v>
      </c>
      <c r="M46" s="4">
        <v>42</v>
      </c>
      <c r="N46" s="4">
        <v>66</v>
      </c>
      <c r="O46" s="4">
        <v>23</v>
      </c>
      <c r="P46" s="4">
        <v>14</v>
      </c>
      <c r="Q46" s="4">
        <v>12</v>
      </c>
      <c r="R46" s="4">
        <v>18</v>
      </c>
      <c r="S46" s="4">
        <v>9</v>
      </c>
      <c r="V46" s="6">
        <f t="shared" si="14"/>
        <v>5.9880239520958085</v>
      </c>
      <c r="W46" s="6">
        <f t="shared" si="15"/>
        <v>5.9880239520958085</v>
      </c>
      <c r="X46" s="6">
        <f t="shared" si="16"/>
        <v>9.7305389221556897</v>
      </c>
      <c r="Y46" s="6">
        <f t="shared" si="17"/>
        <v>3.44311377245509</v>
      </c>
      <c r="Z46" s="6">
        <f t="shared" si="18"/>
        <v>1.7964071856287425</v>
      </c>
      <c r="AA46" s="6">
        <f t="shared" si="19"/>
        <v>1.347305389221557</v>
      </c>
      <c r="AB46" s="6">
        <f t="shared" si="20"/>
        <v>2.2455089820359282</v>
      </c>
      <c r="AC46" s="21">
        <f t="shared" si="21"/>
        <v>1.0479041916167664</v>
      </c>
      <c r="AD46" s="6">
        <f t="shared" si="22"/>
        <v>5.9880239520958085</v>
      </c>
      <c r="AE46" s="6">
        <f t="shared" si="23"/>
        <v>6.2874251497005984</v>
      </c>
      <c r="AF46" s="6">
        <f t="shared" si="24"/>
        <v>9.8802395209580833</v>
      </c>
      <c r="AG46" s="6">
        <f t="shared" si="25"/>
        <v>3.44311377245509</v>
      </c>
      <c r="AH46" s="6">
        <f t="shared" si="26"/>
        <v>2.0958083832335328</v>
      </c>
      <c r="AI46" s="6">
        <f t="shared" si="10"/>
        <v>1.7964071856287425</v>
      </c>
      <c r="AJ46" s="6">
        <f t="shared" si="11"/>
        <v>2.6946107784431139</v>
      </c>
      <c r="AK46" s="6">
        <f t="shared" si="12"/>
        <v>1.347305389221557</v>
      </c>
    </row>
    <row r="47" spans="1:37" s="4" customFormat="1" x14ac:dyDescent="0.25">
      <c r="A47" s="44"/>
      <c r="B47" s="4" t="s">
        <v>37</v>
      </c>
      <c r="C47" s="5">
        <v>889</v>
      </c>
      <c r="D47" s="5">
        <v>46</v>
      </c>
      <c r="E47" s="5">
        <v>72</v>
      </c>
      <c r="F47" s="5">
        <v>70</v>
      </c>
      <c r="G47" s="4">
        <v>25</v>
      </c>
      <c r="H47" s="4">
        <v>7</v>
      </c>
      <c r="I47" s="4">
        <v>8</v>
      </c>
      <c r="J47" s="4">
        <v>11</v>
      </c>
      <c r="K47" s="29">
        <v>3</v>
      </c>
      <c r="L47" s="4">
        <v>50</v>
      </c>
      <c r="M47" s="4">
        <v>75</v>
      </c>
      <c r="N47" s="4">
        <v>75</v>
      </c>
      <c r="O47" s="4">
        <v>28</v>
      </c>
      <c r="P47" s="4">
        <v>7</v>
      </c>
      <c r="Q47" s="4">
        <v>8</v>
      </c>
      <c r="R47" s="4">
        <v>11</v>
      </c>
      <c r="S47" s="4">
        <v>3</v>
      </c>
      <c r="V47" s="6">
        <f t="shared" si="14"/>
        <v>5.1743532058492692</v>
      </c>
      <c r="W47" s="6">
        <f t="shared" si="15"/>
        <v>8.0989876265466823</v>
      </c>
      <c r="X47" s="6">
        <f t="shared" si="16"/>
        <v>7.8740157480314963</v>
      </c>
      <c r="Y47" s="6">
        <f t="shared" si="17"/>
        <v>2.8121484814398201</v>
      </c>
      <c r="Z47" s="6">
        <f t="shared" si="18"/>
        <v>0.78740157480314954</v>
      </c>
      <c r="AA47" s="6">
        <f t="shared" si="19"/>
        <v>0.89988751406074252</v>
      </c>
      <c r="AB47" s="6">
        <f t="shared" si="20"/>
        <v>1.2373453318335208</v>
      </c>
      <c r="AC47" s="21">
        <f t="shared" si="21"/>
        <v>0.33745781777277839</v>
      </c>
      <c r="AD47" s="6">
        <f t="shared" si="22"/>
        <v>5.6242969628796402</v>
      </c>
      <c r="AE47" s="6">
        <f t="shared" si="23"/>
        <v>8.4364454443194603</v>
      </c>
      <c r="AF47" s="6">
        <f t="shared" si="24"/>
        <v>8.4364454443194603</v>
      </c>
      <c r="AG47" s="6">
        <f t="shared" si="25"/>
        <v>3.1496062992125982</v>
      </c>
      <c r="AH47" s="6">
        <f t="shared" si="26"/>
        <v>0.78740157480314954</v>
      </c>
      <c r="AI47" s="6">
        <f t="shared" si="10"/>
        <v>0.89988751406074252</v>
      </c>
      <c r="AJ47" s="6">
        <f t="shared" si="11"/>
        <v>1.2373453318335208</v>
      </c>
      <c r="AK47" s="6">
        <f t="shared" si="12"/>
        <v>0.33745781777277839</v>
      </c>
    </row>
    <row r="48" spans="1:37" s="4" customFormat="1" x14ac:dyDescent="0.25">
      <c r="A48" s="44"/>
      <c r="B48" s="4" t="s">
        <v>38</v>
      </c>
      <c r="C48" s="5">
        <v>504</v>
      </c>
      <c r="D48" s="5">
        <v>16</v>
      </c>
      <c r="E48" s="5">
        <v>27</v>
      </c>
      <c r="F48" s="5">
        <v>34</v>
      </c>
      <c r="G48" s="4">
        <v>11</v>
      </c>
      <c r="H48" s="4">
        <v>3</v>
      </c>
      <c r="I48" s="4">
        <v>3</v>
      </c>
      <c r="J48" s="4">
        <v>9</v>
      </c>
      <c r="K48" s="29">
        <v>2</v>
      </c>
      <c r="L48" s="4">
        <v>16</v>
      </c>
      <c r="M48" s="4">
        <v>27</v>
      </c>
      <c r="N48" s="4">
        <v>34</v>
      </c>
      <c r="O48" s="4">
        <v>11</v>
      </c>
      <c r="P48" s="4">
        <v>4</v>
      </c>
      <c r="Q48" s="4">
        <v>3</v>
      </c>
      <c r="R48" s="4">
        <v>12</v>
      </c>
      <c r="S48" s="4">
        <v>2</v>
      </c>
      <c r="V48" s="6">
        <f t="shared" si="14"/>
        <v>3.1746031746031744</v>
      </c>
      <c r="W48" s="6">
        <f t="shared" si="15"/>
        <v>5.3571428571428568</v>
      </c>
      <c r="X48" s="6">
        <f t="shared" si="16"/>
        <v>6.746031746031746</v>
      </c>
      <c r="Y48" s="6">
        <f t="shared" si="17"/>
        <v>2.1825396825396823</v>
      </c>
      <c r="Z48" s="6">
        <f t="shared" si="18"/>
        <v>0.59523809523809523</v>
      </c>
      <c r="AA48" s="6">
        <f t="shared" si="19"/>
        <v>0.59523809523809523</v>
      </c>
      <c r="AB48" s="6">
        <f t="shared" si="20"/>
        <v>1.7857142857142856</v>
      </c>
      <c r="AC48" s="21">
        <f t="shared" si="21"/>
        <v>0.3968253968253968</v>
      </c>
      <c r="AD48" s="6">
        <f t="shared" si="22"/>
        <v>3.1746031746031744</v>
      </c>
      <c r="AE48" s="6">
        <f t="shared" si="23"/>
        <v>5.3571428571428568</v>
      </c>
      <c r="AF48" s="6">
        <f t="shared" si="24"/>
        <v>6.746031746031746</v>
      </c>
      <c r="AG48" s="6">
        <f t="shared" si="25"/>
        <v>2.1825396825396823</v>
      </c>
      <c r="AH48" s="6">
        <f t="shared" si="26"/>
        <v>0.79365079365079361</v>
      </c>
      <c r="AI48" s="6">
        <f t="shared" si="10"/>
        <v>0.59523809523809523</v>
      </c>
      <c r="AJ48" s="6">
        <f t="shared" si="11"/>
        <v>2.3809523809523809</v>
      </c>
      <c r="AK48" s="6">
        <f t="shared" si="12"/>
        <v>0.3968253968253968</v>
      </c>
    </row>
    <row r="49" spans="1:37" s="4" customFormat="1" x14ac:dyDescent="0.25">
      <c r="A49" s="44"/>
      <c r="B49" s="4" t="s">
        <v>39</v>
      </c>
      <c r="C49" s="5">
        <v>201</v>
      </c>
      <c r="D49" s="5">
        <v>13</v>
      </c>
      <c r="E49" s="5">
        <v>7</v>
      </c>
      <c r="F49" s="5">
        <v>12</v>
      </c>
      <c r="G49" s="4">
        <v>3</v>
      </c>
      <c r="H49" s="4">
        <v>2</v>
      </c>
      <c r="I49" s="4">
        <v>2</v>
      </c>
      <c r="J49" s="4">
        <v>5</v>
      </c>
      <c r="K49" s="29">
        <v>2</v>
      </c>
      <c r="L49" s="4">
        <v>13</v>
      </c>
      <c r="M49" s="4">
        <v>7</v>
      </c>
      <c r="N49" s="4">
        <v>13</v>
      </c>
      <c r="O49" s="4">
        <v>3</v>
      </c>
      <c r="P49" s="4">
        <v>3</v>
      </c>
      <c r="Q49" s="4">
        <v>3</v>
      </c>
      <c r="R49" s="4">
        <v>7</v>
      </c>
      <c r="S49" s="4">
        <v>3</v>
      </c>
      <c r="V49" s="6">
        <f t="shared" si="14"/>
        <v>6.467661691542288</v>
      </c>
      <c r="W49" s="6">
        <f t="shared" si="15"/>
        <v>3.4825870646766171</v>
      </c>
      <c r="X49" s="6">
        <f t="shared" si="16"/>
        <v>5.9701492537313428</v>
      </c>
      <c r="Y49" s="6">
        <f t="shared" si="17"/>
        <v>1.4925373134328357</v>
      </c>
      <c r="Z49" s="6">
        <f t="shared" si="18"/>
        <v>0.99502487562189057</v>
      </c>
      <c r="AA49" s="6">
        <f t="shared" si="19"/>
        <v>0.99502487562189057</v>
      </c>
      <c r="AB49" s="6">
        <f t="shared" si="20"/>
        <v>2.4875621890547266</v>
      </c>
      <c r="AC49" s="21">
        <f t="shared" si="21"/>
        <v>0.99502487562189057</v>
      </c>
      <c r="AD49" s="6">
        <f t="shared" si="22"/>
        <v>6.467661691542288</v>
      </c>
      <c r="AE49" s="6">
        <f t="shared" si="23"/>
        <v>3.4825870646766171</v>
      </c>
      <c r="AF49" s="6">
        <f t="shared" si="24"/>
        <v>6.467661691542288</v>
      </c>
      <c r="AG49" s="6">
        <f t="shared" si="25"/>
        <v>1.4925373134328357</v>
      </c>
      <c r="AH49" s="6">
        <f t="shared" si="26"/>
        <v>1.4925373134328357</v>
      </c>
      <c r="AI49" s="6">
        <f t="shared" si="10"/>
        <v>1.4925373134328357</v>
      </c>
      <c r="AJ49" s="6">
        <f t="shared" si="11"/>
        <v>3.4825870646766171</v>
      </c>
      <c r="AK49" s="6">
        <f t="shared" si="12"/>
        <v>1.4925373134328357</v>
      </c>
    </row>
    <row r="50" spans="1:37" s="4" customFormat="1" x14ac:dyDescent="0.25">
      <c r="A50" s="44"/>
      <c r="B50" s="4" t="s">
        <v>40</v>
      </c>
      <c r="C50" s="5">
        <v>900</v>
      </c>
      <c r="D50" s="5">
        <v>64</v>
      </c>
      <c r="E50" s="5">
        <v>48</v>
      </c>
      <c r="F50" s="5">
        <v>78</v>
      </c>
      <c r="G50" s="4">
        <v>24</v>
      </c>
      <c r="H50" s="4">
        <v>8</v>
      </c>
      <c r="I50" s="4">
        <v>9</v>
      </c>
      <c r="J50" s="4">
        <v>30</v>
      </c>
      <c r="K50" s="29">
        <v>6</v>
      </c>
      <c r="L50" s="4">
        <v>66</v>
      </c>
      <c r="M50" s="4">
        <v>49</v>
      </c>
      <c r="N50" s="4">
        <v>80</v>
      </c>
      <c r="O50" s="4">
        <v>25</v>
      </c>
      <c r="P50" s="4">
        <v>10</v>
      </c>
      <c r="Q50" s="4">
        <v>12</v>
      </c>
      <c r="R50" s="4">
        <v>39</v>
      </c>
      <c r="S50" s="4">
        <v>8</v>
      </c>
      <c r="V50" s="6">
        <f t="shared" si="14"/>
        <v>7.1111111111111107</v>
      </c>
      <c r="W50" s="6">
        <f t="shared" si="15"/>
        <v>5.3333333333333339</v>
      </c>
      <c r="X50" s="6">
        <f t="shared" si="16"/>
        <v>8.6666666666666679</v>
      </c>
      <c r="Y50" s="6">
        <f t="shared" si="17"/>
        <v>2.666666666666667</v>
      </c>
      <c r="Z50" s="6">
        <f t="shared" si="18"/>
        <v>0.88888888888888884</v>
      </c>
      <c r="AA50" s="6">
        <f t="shared" si="19"/>
        <v>1</v>
      </c>
      <c r="AB50" s="6">
        <f t="shared" si="20"/>
        <v>3.3333333333333335</v>
      </c>
      <c r="AC50" s="21">
        <f t="shared" si="21"/>
        <v>0.66666666666666674</v>
      </c>
      <c r="AD50" s="6">
        <f t="shared" si="22"/>
        <v>7.333333333333333</v>
      </c>
      <c r="AE50" s="6">
        <f t="shared" si="23"/>
        <v>5.4444444444444438</v>
      </c>
      <c r="AF50" s="6">
        <f t="shared" si="24"/>
        <v>8.8888888888888893</v>
      </c>
      <c r="AG50" s="6">
        <f t="shared" si="25"/>
        <v>2.7777777777777777</v>
      </c>
      <c r="AH50" s="6">
        <f t="shared" si="26"/>
        <v>1.1111111111111112</v>
      </c>
      <c r="AI50" s="6">
        <f t="shared" si="10"/>
        <v>1.3333333333333335</v>
      </c>
      <c r="AJ50" s="6">
        <f t="shared" si="11"/>
        <v>4.3333333333333339</v>
      </c>
      <c r="AK50" s="6">
        <f t="shared" si="12"/>
        <v>0.88888888888888884</v>
      </c>
    </row>
    <row r="51" spans="1:37" s="4" customFormat="1" x14ac:dyDescent="0.25">
      <c r="A51" s="44"/>
      <c r="B51" s="4" t="s">
        <v>41</v>
      </c>
      <c r="C51" s="5">
        <v>672</v>
      </c>
      <c r="D51" s="5">
        <v>37</v>
      </c>
      <c r="E51" s="5">
        <v>57</v>
      </c>
      <c r="F51" s="5">
        <v>69</v>
      </c>
      <c r="G51" s="4">
        <v>18</v>
      </c>
      <c r="H51" s="4">
        <v>3</v>
      </c>
      <c r="I51" s="4">
        <v>3</v>
      </c>
      <c r="J51" s="4">
        <v>8</v>
      </c>
      <c r="K51" s="29">
        <v>2</v>
      </c>
      <c r="L51" s="4">
        <v>40</v>
      </c>
      <c r="M51" s="4">
        <v>60</v>
      </c>
      <c r="N51" s="4">
        <v>77</v>
      </c>
      <c r="O51" s="4">
        <v>20</v>
      </c>
      <c r="P51" s="4">
        <v>3</v>
      </c>
      <c r="Q51" s="4">
        <v>3</v>
      </c>
      <c r="R51" s="4">
        <v>10</v>
      </c>
      <c r="S51" s="4">
        <v>2</v>
      </c>
      <c r="V51" s="6">
        <f t="shared" si="14"/>
        <v>5.5059523809523805</v>
      </c>
      <c r="W51" s="6">
        <f t="shared" si="15"/>
        <v>8.4821428571428577</v>
      </c>
      <c r="X51" s="6">
        <f t="shared" si="16"/>
        <v>10.267857142857142</v>
      </c>
      <c r="Y51" s="6">
        <f t="shared" si="17"/>
        <v>2.6785714285714284</v>
      </c>
      <c r="Z51" s="6">
        <f t="shared" si="18"/>
        <v>0.4464285714285714</v>
      </c>
      <c r="AA51" s="6">
        <f t="shared" si="19"/>
        <v>0.4464285714285714</v>
      </c>
      <c r="AB51" s="6">
        <f t="shared" si="20"/>
        <v>1.1904761904761905</v>
      </c>
      <c r="AC51" s="21">
        <f t="shared" si="21"/>
        <v>0.29761904761904762</v>
      </c>
      <c r="AD51" s="6">
        <f t="shared" si="22"/>
        <v>5.9523809523809517</v>
      </c>
      <c r="AE51" s="6">
        <f t="shared" si="23"/>
        <v>8.9285714285714288</v>
      </c>
      <c r="AF51" s="6">
        <f t="shared" si="24"/>
        <v>11.458333333333332</v>
      </c>
      <c r="AG51" s="6">
        <f t="shared" si="25"/>
        <v>2.9761904761904758</v>
      </c>
      <c r="AH51" s="6">
        <f t="shared" si="26"/>
        <v>0.4464285714285714</v>
      </c>
      <c r="AI51" s="6">
        <f t="shared" si="10"/>
        <v>0.4464285714285714</v>
      </c>
      <c r="AJ51" s="6">
        <f t="shared" si="11"/>
        <v>1.4880952380952379</v>
      </c>
      <c r="AK51" s="6">
        <f t="shared" si="12"/>
        <v>0.29761904761904762</v>
      </c>
    </row>
    <row r="52" spans="1:37" s="4" customFormat="1" x14ac:dyDescent="0.25">
      <c r="A52" s="44"/>
      <c r="B52" s="4" t="s">
        <v>42</v>
      </c>
      <c r="C52" s="5">
        <v>421</v>
      </c>
      <c r="D52" s="5">
        <v>6</v>
      </c>
      <c r="E52" s="5">
        <v>5</v>
      </c>
      <c r="F52" s="5">
        <v>44</v>
      </c>
      <c r="G52" s="4">
        <v>0</v>
      </c>
      <c r="H52" s="4">
        <v>2</v>
      </c>
      <c r="I52" s="4">
        <v>0</v>
      </c>
      <c r="J52" s="4">
        <v>12</v>
      </c>
      <c r="K52" s="29">
        <v>0</v>
      </c>
      <c r="L52" s="4">
        <v>6</v>
      </c>
      <c r="M52" s="4">
        <v>5</v>
      </c>
      <c r="N52" s="4">
        <v>47</v>
      </c>
      <c r="O52" s="4">
        <v>0</v>
      </c>
      <c r="P52" s="4">
        <v>3</v>
      </c>
      <c r="Q52" s="4">
        <v>0</v>
      </c>
      <c r="R52" s="4">
        <v>16</v>
      </c>
      <c r="S52" s="4">
        <v>0</v>
      </c>
      <c r="V52" s="6">
        <f t="shared" si="14"/>
        <v>1.4251781472684086</v>
      </c>
      <c r="W52" s="6">
        <f t="shared" si="15"/>
        <v>1.1876484560570071</v>
      </c>
      <c r="X52" s="6">
        <f t="shared" si="16"/>
        <v>10.451306413301662</v>
      </c>
      <c r="Y52" s="6">
        <f t="shared" si="17"/>
        <v>0</v>
      </c>
      <c r="Z52" s="6">
        <f t="shared" si="18"/>
        <v>0.47505938242280288</v>
      </c>
      <c r="AA52" s="6">
        <f t="shared" si="19"/>
        <v>0</v>
      </c>
      <c r="AB52" s="6">
        <f t="shared" si="20"/>
        <v>2.8503562945368173</v>
      </c>
      <c r="AC52" s="21">
        <f t="shared" si="21"/>
        <v>0</v>
      </c>
      <c r="AD52" s="6">
        <f t="shared" si="22"/>
        <v>1.4251781472684086</v>
      </c>
      <c r="AE52" s="6">
        <f t="shared" si="23"/>
        <v>1.1876484560570071</v>
      </c>
      <c r="AF52" s="6">
        <f t="shared" si="24"/>
        <v>11.163895486935866</v>
      </c>
      <c r="AG52" s="6">
        <f t="shared" si="25"/>
        <v>0</v>
      </c>
      <c r="AH52" s="6">
        <f t="shared" si="26"/>
        <v>0.71258907363420432</v>
      </c>
      <c r="AI52" s="6">
        <f t="shared" si="10"/>
        <v>0</v>
      </c>
      <c r="AJ52" s="6">
        <f t="shared" si="11"/>
        <v>3.800475059382423</v>
      </c>
      <c r="AK52" s="6">
        <f t="shared" si="12"/>
        <v>0</v>
      </c>
    </row>
    <row r="53" spans="1:37" s="7" customFormat="1" x14ac:dyDescent="0.25">
      <c r="A53" s="45" t="s">
        <v>59</v>
      </c>
      <c r="B53" s="7" t="s">
        <v>43</v>
      </c>
      <c r="C53" s="8">
        <v>651</v>
      </c>
      <c r="D53" s="8">
        <v>21</v>
      </c>
      <c r="E53" s="8">
        <v>20</v>
      </c>
      <c r="F53" s="8">
        <v>51</v>
      </c>
      <c r="G53" s="7">
        <v>4</v>
      </c>
      <c r="H53" s="7">
        <v>2</v>
      </c>
      <c r="I53" s="7">
        <v>2</v>
      </c>
      <c r="J53" s="7">
        <v>11</v>
      </c>
      <c r="K53" s="30">
        <v>1</v>
      </c>
      <c r="L53" s="7">
        <v>21</v>
      </c>
      <c r="M53" s="7">
        <v>22</v>
      </c>
      <c r="N53" s="7">
        <v>52</v>
      </c>
      <c r="O53" s="7">
        <v>4</v>
      </c>
      <c r="P53" s="7">
        <v>2</v>
      </c>
      <c r="Q53" s="7">
        <v>2</v>
      </c>
      <c r="R53" s="7">
        <v>15</v>
      </c>
      <c r="S53" s="7">
        <v>1</v>
      </c>
      <c r="V53" s="9">
        <f t="shared" si="14"/>
        <v>3.225806451612903</v>
      </c>
      <c r="W53" s="9">
        <f t="shared" si="15"/>
        <v>3.0721966205837172</v>
      </c>
      <c r="X53" s="9">
        <f t="shared" si="16"/>
        <v>7.8341013824884786</v>
      </c>
      <c r="Y53" s="9">
        <f t="shared" si="17"/>
        <v>0.61443932411674351</v>
      </c>
      <c r="Z53" s="9">
        <f t="shared" si="18"/>
        <v>0.30721966205837176</v>
      </c>
      <c r="AA53" s="9">
        <f t="shared" si="19"/>
        <v>0.30721966205837176</v>
      </c>
      <c r="AB53" s="9">
        <f t="shared" si="20"/>
        <v>1.6897081413210446</v>
      </c>
      <c r="AC53" s="22">
        <f t="shared" si="21"/>
        <v>0.15360983102918588</v>
      </c>
      <c r="AD53" s="9">
        <f t="shared" si="22"/>
        <v>3.225806451612903</v>
      </c>
      <c r="AE53" s="9">
        <f t="shared" si="23"/>
        <v>3.3794162826420893</v>
      </c>
      <c r="AF53" s="9">
        <f t="shared" si="24"/>
        <v>7.9877112135176649</v>
      </c>
      <c r="AG53" s="9">
        <f t="shared" si="25"/>
        <v>0.61443932411674351</v>
      </c>
      <c r="AH53" s="9">
        <f t="shared" si="26"/>
        <v>0.30721966205837176</v>
      </c>
      <c r="AI53" s="9">
        <f t="shared" si="10"/>
        <v>0.30721966205837176</v>
      </c>
      <c r="AJ53" s="9">
        <f t="shared" si="11"/>
        <v>2.3041474654377883</v>
      </c>
      <c r="AK53" s="9">
        <f t="shared" si="12"/>
        <v>0.15360983102918588</v>
      </c>
    </row>
    <row r="54" spans="1:37" s="7" customFormat="1" x14ac:dyDescent="0.25">
      <c r="A54" s="45"/>
      <c r="B54" s="7" t="s">
        <v>44</v>
      </c>
      <c r="C54" s="8">
        <v>774</v>
      </c>
      <c r="D54" s="8">
        <v>24</v>
      </c>
      <c r="E54" s="8">
        <v>21</v>
      </c>
      <c r="F54" s="8">
        <v>52</v>
      </c>
      <c r="G54" s="7">
        <v>8</v>
      </c>
      <c r="H54" s="7">
        <v>3</v>
      </c>
      <c r="I54" s="7">
        <v>2</v>
      </c>
      <c r="J54" s="7">
        <v>7</v>
      </c>
      <c r="K54" s="30">
        <v>1</v>
      </c>
      <c r="L54" s="7">
        <v>25</v>
      </c>
      <c r="M54" s="7">
        <v>21</v>
      </c>
      <c r="N54" s="7">
        <v>52</v>
      </c>
      <c r="O54" s="7">
        <v>8</v>
      </c>
      <c r="P54" s="7">
        <v>4</v>
      </c>
      <c r="Q54" s="7">
        <v>2</v>
      </c>
      <c r="R54" s="7">
        <v>9</v>
      </c>
      <c r="S54" s="7">
        <v>1</v>
      </c>
      <c r="V54" s="9">
        <f t="shared" si="14"/>
        <v>3.1007751937984498</v>
      </c>
      <c r="W54" s="9">
        <f t="shared" si="15"/>
        <v>2.7131782945736433</v>
      </c>
      <c r="X54" s="9">
        <f t="shared" si="16"/>
        <v>6.7183462532299743</v>
      </c>
      <c r="Y54" s="9">
        <f t="shared" si="17"/>
        <v>1.03359173126615</v>
      </c>
      <c r="Z54" s="9">
        <f t="shared" si="18"/>
        <v>0.38759689922480622</v>
      </c>
      <c r="AA54" s="9">
        <f t="shared" si="19"/>
        <v>0.2583979328165375</v>
      </c>
      <c r="AB54" s="9">
        <f t="shared" si="20"/>
        <v>0.90439276485788112</v>
      </c>
      <c r="AC54" s="22">
        <f t="shared" si="21"/>
        <v>0.12919896640826875</v>
      </c>
      <c r="AD54" s="9">
        <f t="shared" si="22"/>
        <v>3.229974160206718</v>
      </c>
      <c r="AE54" s="9">
        <f t="shared" si="23"/>
        <v>2.7131782945736433</v>
      </c>
      <c r="AF54" s="9">
        <f t="shared" si="24"/>
        <v>6.7183462532299743</v>
      </c>
      <c r="AG54" s="9">
        <f t="shared" si="25"/>
        <v>1.03359173126615</v>
      </c>
      <c r="AH54" s="9">
        <f t="shared" si="26"/>
        <v>0.516795865633075</v>
      </c>
      <c r="AI54" s="9">
        <f t="shared" si="10"/>
        <v>0.2583979328165375</v>
      </c>
      <c r="AJ54" s="9">
        <f t="shared" si="11"/>
        <v>1.1627906976744187</v>
      </c>
      <c r="AK54" s="9">
        <f t="shared" si="12"/>
        <v>0.12919896640826875</v>
      </c>
    </row>
    <row r="55" spans="1:37" s="7" customFormat="1" x14ac:dyDescent="0.25">
      <c r="A55" s="45"/>
      <c r="B55" s="7" t="s">
        <v>45</v>
      </c>
      <c r="C55" s="8">
        <v>169</v>
      </c>
      <c r="D55" s="8">
        <v>3</v>
      </c>
      <c r="E55" s="8">
        <v>2</v>
      </c>
      <c r="F55" s="8">
        <v>9</v>
      </c>
      <c r="G55" s="7">
        <v>1</v>
      </c>
      <c r="H55" s="7">
        <v>0</v>
      </c>
      <c r="I55" s="7">
        <v>1</v>
      </c>
      <c r="J55" s="7">
        <v>5</v>
      </c>
      <c r="K55" s="30">
        <v>0</v>
      </c>
      <c r="L55" s="7">
        <v>3</v>
      </c>
      <c r="M55" s="7">
        <v>2</v>
      </c>
      <c r="N55" s="7">
        <v>9</v>
      </c>
      <c r="O55" s="7">
        <v>1</v>
      </c>
      <c r="P55" s="7">
        <v>0</v>
      </c>
      <c r="Q55" s="7">
        <v>2</v>
      </c>
      <c r="R55" s="7">
        <v>7</v>
      </c>
      <c r="S55" s="7">
        <v>0</v>
      </c>
      <c r="V55" s="9">
        <f t="shared" si="14"/>
        <v>1.7751479289940828</v>
      </c>
      <c r="W55" s="9">
        <f t="shared" si="15"/>
        <v>1.1834319526627219</v>
      </c>
      <c r="X55" s="9">
        <f t="shared" si="16"/>
        <v>5.3254437869822491</v>
      </c>
      <c r="Y55" s="9">
        <f t="shared" si="17"/>
        <v>0.59171597633136097</v>
      </c>
      <c r="Z55" s="9">
        <f t="shared" si="18"/>
        <v>0</v>
      </c>
      <c r="AA55" s="9">
        <f t="shared" si="19"/>
        <v>0.59171597633136097</v>
      </c>
      <c r="AB55" s="9">
        <f t="shared" si="20"/>
        <v>2.9585798816568047</v>
      </c>
      <c r="AC55" s="22">
        <f t="shared" si="21"/>
        <v>0</v>
      </c>
      <c r="AD55" s="9">
        <f t="shared" si="22"/>
        <v>1.7751479289940828</v>
      </c>
      <c r="AE55" s="9">
        <f t="shared" si="23"/>
        <v>1.1834319526627219</v>
      </c>
      <c r="AF55" s="9">
        <f t="shared" si="24"/>
        <v>5.3254437869822491</v>
      </c>
      <c r="AG55" s="9">
        <f t="shared" si="25"/>
        <v>0.59171597633136097</v>
      </c>
      <c r="AH55" s="9">
        <f t="shared" si="26"/>
        <v>0</v>
      </c>
      <c r="AI55" s="9">
        <f t="shared" si="10"/>
        <v>1.1834319526627219</v>
      </c>
      <c r="AJ55" s="9">
        <f t="shared" si="11"/>
        <v>4.1420118343195274</v>
      </c>
      <c r="AK55" s="9">
        <f t="shared" si="12"/>
        <v>0</v>
      </c>
    </row>
    <row r="56" spans="1:37" s="7" customFormat="1" x14ac:dyDescent="0.25">
      <c r="A56" s="45"/>
      <c r="B56" s="7" t="s">
        <v>46</v>
      </c>
      <c r="C56" s="8">
        <v>436</v>
      </c>
      <c r="D56" s="8">
        <v>21</v>
      </c>
      <c r="E56" s="8">
        <v>13</v>
      </c>
      <c r="F56" s="8">
        <v>27</v>
      </c>
      <c r="G56" s="7">
        <v>6</v>
      </c>
      <c r="H56" s="7">
        <v>4</v>
      </c>
      <c r="I56" s="7">
        <v>3</v>
      </c>
      <c r="J56" s="7">
        <v>4</v>
      </c>
      <c r="K56" s="30">
        <v>2</v>
      </c>
      <c r="L56" s="7">
        <v>21</v>
      </c>
      <c r="M56" s="7">
        <v>13</v>
      </c>
      <c r="N56" s="7">
        <v>27</v>
      </c>
      <c r="O56" s="7">
        <v>6</v>
      </c>
      <c r="P56" s="7">
        <v>5</v>
      </c>
      <c r="Q56" s="7">
        <v>4</v>
      </c>
      <c r="R56" s="7">
        <v>5</v>
      </c>
      <c r="S56" s="7">
        <v>3</v>
      </c>
      <c r="V56" s="9">
        <f t="shared" si="14"/>
        <v>4.8165137614678901</v>
      </c>
      <c r="W56" s="9">
        <f t="shared" si="15"/>
        <v>2.9816513761467891</v>
      </c>
      <c r="X56" s="9">
        <f t="shared" si="16"/>
        <v>6.192660550458716</v>
      </c>
      <c r="Y56" s="9">
        <f t="shared" si="17"/>
        <v>1.3761467889908259</v>
      </c>
      <c r="Z56" s="9">
        <f t="shared" si="18"/>
        <v>0.91743119266055051</v>
      </c>
      <c r="AA56" s="9">
        <f t="shared" si="19"/>
        <v>0.68807339449541294</v>
      </c>
      <c r="AB56" s="9">
        <f t="shared" si="20"/>
        <v>0.91743119266055051</v>
      </c>
      <c r="AC56" s="22">
        <f t="shared" si="21"/>
        <v>0.45871559633027525</v>
      </c>
      <c r="AD56" s="9">
        <f t="shared" si="22"/>
        <v>4.8165137614678901</v>
      </c>
      <c r="AE56" s="9">
        <f t="shared" si="23"/>
        <v>2.9816513761467891</v>
      </c>
      <c r="AF56" s="9">
        <f t="shared" si="24"/>
        <v>6.192660550458716</v>
      </c>
      <c r="AG56" s="9">
        <f t="shared" si="25"/>
        <v>1.3761467889908259</v>
      </c>
      <c r="AH56" s="9">
        <f t="shared" si="26"/>
        <v>1.1467889908256881</v>
      </c>
      <c r="AI56" s="9">
        <f t="shared" si="10"/>
        <v>0.91743119266055051</v>
      </c>
      <c r="AJ56" s="9">
        <f t="shared" si="11"/>
        <v>1.1467889908256881</v>
      </c>
      <c r="AK56" s="9">
        <f t="shared" si="12"/>
        <v>0.68807339449541294</v>
      </c>
    </row>
    <row r="57" spans="1:37" s="7" customFormat="1" x14ac:dyDescent="0.25">
      <c r="A57" s="45"/>
      <c r="B57" s="7" t="s">
        <v>47</v>
      </c>
      <c r="C57" s="8">
        <v>636</v>
      </c>
      <c r="D57" s="8">
        <v>31</v>
      </c>
      <c r="E57" s="8">
        <v>21</v>
      </c>
      <c r="F57" s="8">
        <v>58</v>
      </c>
      <c r="G57" s="7">
        <v>12</v>
      </c>
      <c r="H57" s="7">
        <v>3</v>
      </c>
      <c r="I57" s="7">
        <v>1</v>
      </c>
      <c r="J57" s="7">
        <v>8</v>
      </c>
      <c r="K57" s="30">
        <v>0</v>
      </c>
      <c r="L57" s="7">
        <v>33</v>
      </c>
      <c r="M57" s="7">
        <v>24</v>
      </c>
      <c r="N57" s="7">
        <v>63</v>
      </c>
      <c r="O57" s="7">
        <v>14</v>
      </c>
      <c r="P57" s="7">
        <v>3</v>
      </c>
      <c r="Q57" s="7">
        <v>1</v>
      </c>
      <c r="R57" s="7">
        <v>10</v>
      </c>
      <c r="S57" s="7">
        <v>0</v>
      </c>
      <c r="V57" s="9">
        <f t="shared" si="14"/>
        <v>4.8742138364779874</v>
      </c>
      <c r="W57" s="9">
        <f t="shared" si="15"/>
        <v>3.3018867924528301</v>
      </c>
      <c r="X57" s="9">
        <f t="shared" si="16"/>
        <v>9.1194968553459113</v>
      </c>
      <c r="Y57" s="9">
        <f t="shared" si="17"/>
        <v>1.8867924528301887</v>
      </c>
      <c r="Z57" s="9">
        <f t="shared" si="18"/>
        <v>0.47169811320754718</v>
      </c>
      <c r="AA57" s="9">
        <f t="shared" si="19"/>
        <v>0.15723270440251574</v>
      </c>
      <c r="AB57" s="9">
        <f t="shared" si="20"/>
        <v>1.257861635220126</v>
      </c>
      <c r="AC57" s="22">
        <f t="shared" si="21"/>
        <v>0</v>
      </c>
      <c r="AD57" s="9">
        <f t="shared" si="22"/>
        <v>5.1886792452830193</v>
      </c>
      <c r="AE57" s="9">
        <f t="shared" si="23"/>
        <v>3.7735849056603774</v>
      </c>
      <c r="AF57" s="9">
        <f t="shared" si="24"/>
        <v>9.9056603773584904</v>
      </c>
      <c r="AG57" s="9">
        <f t="shared" si="25"/>
        <v>2.2012578616352201</v>
      </c>
      <c r="AH57" s="9">
        <f t="shared" si="26"/>
        <v>0.47169811320754718</v>
      </c>
      <c r="AI57" s="9">
        <f t="shared" si="10"/>
        <v>0.15723270440251574</v>
      </c>
      <c r="AJ57" s="9">
        <f t="shared" si="11"/>
        <v>1.5723270440251573</v>
      </c>
      <c r="AK57" s="9">
        <f t="shared" si="12"/>
        <v>0</v>
      </c>
    </row>
    <row r="58" spans="1:37" s="10" customFormat="1" x14ac:dyDescent="0.25">
      <c r="A58" s="41" t="s">
        <v>60</v>
      </c>
      <c r="B58" s="10" t="s">
        <v>43</v>
      </c>
      <c r="C58" s="11">
        <v>667</v>
      </c>
      <c r="D58" s="11">
        <v>25</v>
      </c>
      <c r="E58" s="11">
        <v>37</v>
      </c>
      <c r="F58" s="11">
        <v>62</v>
      </c>
      <c r="G58" s="10">
        <v>7</v>
      </c>
      <c r="H58" s="10">
        <v>1</v>
      </c>
      <c r="I58" s="10">
        <v>2</v>
      </c>
      <c r="J58" s="10">
        <v>10</v>
      </c>
      <c r="K58" s="31">
        <v>0</v>
      </c>
      <c r="L58" s="10">
        <v>27</v>
      </c>
      <c r="M58" s="10">
        <v>38</v>
      </c>
      <c r="N58" s="10">
        <v>64</v>
      </c>
      <c r="O58" s="10">
        <v>7</v>
      </c>
      <c r="P58" s="10">
        <v>1</v>
      </c>
      <c r="Q58" s="10">
        <v>2</v>
      </c>
      <c r="R58" s="10">
        <v>13</v>
      </c>
      <c r="S58" s="10">
        <v>0</v>
      </c>
      <c r="V58" s="12">
        <f t="shared" si="14"/>
        <v>3.7481259370314843</v>
      </c>
      <c r="W58" s="12">
        <f t="shared" si="15"/>
        <v>5.5472263868065967</v>
      </c>
      <c r="X58" s="12">
        <f t="shared" si="16"/>
        <v>9.2953523238380811</v>
      </c>
      <c r="Y58" s="12">
        <f t="shared" si="17"/>
        <v>1.0494752623688157</v>
      </c>
      <c r="Z58" s="12">
        <f t="shared" si="18"/>
        <v>0.14992503748125938</v>
      </c>
      <c r="AA58" s="12">
        <f t="shared" si="19"/>
        <v>0.29985007496251875</v>
      </c>
      <c r="AB58" s="12">
        <f t="shared" si="20"/>
        <v>1.4992503748125936</v>
      </c>
      <c r="AC58" s="23">
        <f t="shared" si="21"/>
        <v>0</v>
      </c>
      <c r="AD58" s="12">
        <f t="shared" si="22"/>
        <v>4.0479760119940025</v>
      </c>
      <c r="AE58" s="12">
        <f t="shared" si="23"/>
        <v>5.6971514242878563</v>
      </c>
      <c r="AF58" s="12">
        <f t="shared" si="24"/>
        <v>9.5952023988006001</v>
      </c>
      <c r="AG58" s="12">
        <f t="shared" si="25"/>
        <v>1.0494752623688157</v>
      </c>
      <c r="AH58" s="12">
        <f t="shared" si="26"/>
        <v>0.14992503748125938</v>
      </c>
      <c r="AI58" s="12">
        <f t="shared" si="10"/>
        <v>0.29985007496251875</v>
      </c>
      <c r="AJ58" s="12">
        <f t="shared" si="11"/>
        <v>1.9490254872563717</v>
      </c>
      <c r="AK58" s="12">
        <f t="shared" si="12"/>
        <v>0</v>
      </c>
    </row>
    <row r="59" spans="1:37" s="10" customFormat="1" x14ac:dyDescent="0.25">
      <c r="A59" s="41"/>
      <c r="B59" s="10" t="s">
        <v>44</v>
      </c>
      <c r="C59" s="11">
        <v>790</v>
      </c>
      <c r="D59" s="11">
        <v>52</v>
      </c>
      <c r="E59" s="11">
        <v>31</v>
      </c>
      <c r="F59" s="11">
        <v>66</v>
      </c>
      <c r="G59" s="10">
        <v>16</v>
      </c>
      <c r="H59" s="10">
        <v>2</v>
      </c>
      <c r="I59" s="10">
        <v>2</v>
      </c>
      <c r="J59" s="10">
        <v>8</v>
      </c>
      <c r="K59" s="31">
        <v>1</v>
      </c>
      <c r="L59" s="10">
        <v>55</v>
      </c>
      <c r="M59" s="10">
        <v>34</v>
      </c>
      <c r="N59" s="10">
        <v>68</v>
      </c>
      <c r="O59" s="10">
        <v>18</v>
      </c>
      <c r="P59" s="10">
        <v>2</v>
      </c>
      <c r="Q59" s="10">
        <v>2</v>
      </c>
      <c r="R59" s="10">
        <v>9</v>
      </c>
      <c r="S59" s="10">
        <v>1</v>
      </c>
      <c r="V59" s="12">
        <f t="shared" si="14"/>
        <v>6.5822784810126587</v>
      </c>
      <c r="W59" s="12">
        <f t="shared" si="15"/>
        <v>3.9240506329113924</v>
      </c>
      <c r="X59" s="12">
        <f t="shared" si="16"/>
        <v>8.3544303797468356</v>
      </c>
      <c r="Y59" s="12">
        <f t="shared" si="17"/>
        <v>2.0253164556962027</v>
      </c>
      <c r="Z59" s="12">
        <f t="shared" si="18"/>
        <v>0.25316455696202533</v>
      </c>
      <c r="AA59" s="12">
        <f t="shared" si="19"/>
        <v>0.25316455696202533</v>
      </c>
      <c r="AB59" s="12">
        <f t="shared" si="20"/>
        <v>1.0126582278481013</v>
      </c>
      <c r="AC59" s="23">
        <f t="shared" si="21"/>
        <v>0.12658227848101267</v>
      </c>
      <c r="AD59" s="12">
        <f t="shared" si="22"/>
        <v>6.962025316455696</v>
      </c>
      <c r="AE59" s="12">
        <f t="shared" si="23"/>
        <v>4.3037974683544302</v>
      </c>
      <c r="AF59" s="12">
        <f t="shared" si="24"/>
        <v>8.6075949367088604</v>
      </c>
      <c r="AG59" s="12">
        <f t="shared" si="25"/>
        <v>2.278481012658228</v>
      </c>
      <c r="AH59" s="12">
        <f t="shared" si="26"/>
        <v>0.25316455696202533</v>
      </c>
      <c r="AI59" s="12">
        <f t="shared" si="10"/>
        <v>0.25316455696202533</v>
      </c>
      <c r="AJ59" s="12">
        <f t="shared" si="11"/>
        <v>1.139240506329114</v>
      </c>
      <c r="AK59" s="12">
        <f t="shared" si="12"/>
        <v>0.12658227848101267</v>
      </c>
    </row>
    <row r="60" spans="1:37" s="10" customFormat="1" x14ac:dyDescent="0.25">
      <c r="A60" s="41"/>
      <c r="B60" s="10" t="s">
        <v>45</v>
      </c>
      <c r="C60" s="11">
        <v>172</v>
      </c>
      <c r="D60" s="11">
        <v>6</v>
      </c>
      <c r="E60" s="11">
        <v>4</v>
      </c>
      <c r="F60" s="11">
        <v>6</v>
      </c>
      <c r="G60" s="10">
        <v>2</v>
      </c>
      <c r="H60" s="10">
        <v>0</v>
      </c>
      <c r="I60" s="10">
        <v>0</v>
      </c>
      <c r="J60" s="10">
        <v>3</v>
      </c>
      <c r="K60" s="31">
        <v>0</v>
      </c>
      <c r="L60" s="10">
        <v>7</v>
      </c>
      <c r="M60" s="10">
        <v>4</v>
      </c>
      <c r="N60" s="10">
        <v>6</v>
      </c>
      <c r="O60" s="10">
        <v>2</v>
      </c>
      <c r="P60" s="10">
        <v>0</v>
      </c>
      <c r="Q60" s="10">
        <v>0</v>
      </c>
      <c r="R60" s="10">
        <v>4</v>
      </c>
      <c r="S60" s="10">
        <v>0</v>
      </c>
      <c r="V60" s="12">
        <f t="shared" si="14"/>
        <v>3.4883720930232558</v>
      </c>
      <c r="W60" s="12">
        <f t="shared" si="15"/>
        <v>2.3255813953488373</v>
      </c>
      <c r="X60" s="12">
        <f t="shared" si="16"/>
        <v>3.4883720930232558</v>
      </c>
      <c r="Y60" s="12">
        <f t="shared" si="17"/>
        <v>1.1627906976744187</v>
      </c>
      <c r="Z60" s="12">
        <f t="shared" si="18"/>
        <v>0</v>
      </c>
      <c r="AA60" s="12">
        <f t="shared" si="19"/>
        <v>0</v>
      </c>
      <c r="AB60" s="12">
        <f t="shared" si="20"/>
        <v>1.7441860465116279</v>
      </c>
      <c r="AC60" s="23">
        <f t="shared" si="21"/>
        <v>0</v>
      </c>
      <c r="AD60" s="12">
        <f t="shared" si="22"/>
        <v>4.0697674418604652</v>
      </c>
      <c r="AE60" s="12">
        <f t="shared" si="23"/>
        <v>2.3255813953488373</v>
      </c>
      <c r="AF60" s="12">
        <f t="shared" si="24"/>
        <v>3.4883720930232558</v>
      </c>
      <c r="AG60" s="12">
        <f t="shared" si="25"/>
        <v>1.1627906976744187</v>
      </c>
      <c r="AH60" s="12">
        <f t="shared" si="26"/>
        <v>0</v>
      </c>
      <c r="AI60" s="12">
        <f t="shared" si="10"/>
        <v>0</v>
      </c>
      <c r="AJ60" s="12">
        <f t="shared" si="11"/>
        <v>2.3255813953488373</v>
      </c>
      <c r="AK60" s="12">
        <f t="shared" si="12"/>
        <v>0</v>
      </c>
    </row>
    <row r="61" spans="1:37" s="10" customFormat="1" x14ac:dyDescent="0.25">
      <c r="A61" s="41"/>
      <c r="B61" s="10" t="s">
        <v>46</v>
      </c>
      <c r="C61" s="11">
        <v>446</v>
      </c>
      <c r="D61" s="11">
        <v>26</v>
      </c>
      <c r="E61" s="11">
        <v>14</v>
      </c>
      <c r="F61" s="11">
        <v>15</v>
      </c>
      <c r="G61" s="10">
        <v>4</v>
      </c>
      <c r="H61" s="10">
        <v>3</v>
      </c>
      <c r="I61" s="10">
        <v>0</v>
      </c>
      <c r="J61" s="10">
        <v>2</v>
      </c>
      <c r="K61" s="31">
        <v>0</v>
      </c>
      <c r="L61" s="10">
        <v>27</v>
      </c>
      <c r="M61" s="10">
        <v>14</v>
      </c>
      <c r="N61" s="10">
        <v>16</v>
      </c>
      <c r="O61" s="10">
        <v>4</v>
      </c>
      <c r="P61" s="10">
        <v>3</v>
      </c>
      <c r="Q61" s="10">
        <v>0</v>
      </c>
      <c r="R61" s="10">
        <v>2</v>
      </c>
      <c r="S61" s="10">
        <v>0</v>
      </c>
      <c r="V61" s="12">
        <f t="shared" si="14"/>
        <v>5.8295964125560538</v>
      </c>
      <c r="W61" s="12">
        <f t="shared" si="15"/>
        <v>3.1390134529147984</v>
      </c>
      <c r="X61" s="12">
        <f t="shared" si="16"/>
        <v>3.3632286995515694</v>
      </c>
      <c r="Y61" s="12">
        <f t="shared" si="17"/>
        <v>0.89686098654708524</v>
      </c>
      <c r="Z61" s="12">
        <f t="shared" si="18"/>
        <v>0.67264573991031396</v>
      </c>
      <c r="AA61" s="12">
        <f t="shared" si="19"/>
        <v>0</v>
      </c>
      <c r="AB61" s="12">
        <f t="shared" si="20"/>
        <v>0.44843049327354262</v>
      </c>
      <c r="AC61" s="23">
        <f t="shared" si="21"/>
        <v>0</v>
      </c>
      <c r="AD61" s="12">
        <f t="shared" si="22"/>
        <v>6.0538116591928253</v>
      </c>
      <c r="AE61" s="12">
        <f t="shared" si="23"/>
        <v>3.1390134529147984</v>
      </c>
      <c r="AF61" s="12">
        <f t="shared" si="24"/>
        <v>3.5874439461883409</v>
      </c>
      <c r="AG61" s="12">
        <f t="shared" si="25"/>
        <v>0.89686098654708524</v>
      </c>
      <c r="AH61" s="12">
        <f t="shared" si="26"/>
        <v>0.67264573991031396</v>
      </c>
      <c r="AI61" s="12">
        <f t="shared" si="10"/>
        <v>0</v>
      </c>
      <c r="AJ61" s="12">
        <f t="shared" si="11"/>
        <v>0.44843049327354262</v>
      </c>
      <c r="AK61" s="12">
        <f t="shared" si="12"/>
        <v>0</v>
      </c>
    </row>
    <row r="62" spans="1:37" s="10" customFormat="1" x14ac:dyDescent="0.25">
      <c r="A62" s="41"/>
      <c r="B62" s="10" t="s">
        <v>47</v>
      </c>
      <c r="C62" s="11">
        <v>644</v>
      </c>
      <c r="D62" s="11">
        <v>46</v>
      </c>
      <c r="E62" s="11">
        <v>30</v>
      </c>
      <c r="F62" s="11">
        <v>59</v>
      </c>
      <c r="G62" s="10">
        <v>13</v>
      </c>
      <c r="H62" s="10">
        <v>3</v>
      </c>
      <c r="I62" s="10">
        <v>2</v>
      </c>
      <c r="J62" s="10">
        <v>7</v>
      </c>
      <c r="K62" s="31">
        <v>1</v>
      </c>
      <c r="L62" s="10">
        <v>47</v>
      </c>
      <c r="M62" s="10">
        <v>30</v>
      </c>
      <c r="N62" s="10">
        <v>60</v>
      </c>
      <c r="O62" s="10">
        <v>13</v>
      </c>
      <c r="P62" s="10">
        <v>3</v>
      </c>
      <c r="Q62" s="10">
        <v>2</v>
      </c>
      <c r="R62" s="10">
        <v>9</v>
      </c>
      <c r="S62" s="10">
        <v>1</v>
      </c>
      <c r="V62" s="12">
        <f t="shared" si="14"/>
        <v>7.1428571428571423</v>
      </c>
      <c r="W62" s="12">
        <f t="shared" si="15"/>
        <v>4.658385093167702</v>
      </c>
      <c r="X62" s="12">
        <f t="shared" si="16"/>
        <v>9.1614906832298146</v>
      </c>
      <c r="Y62" s="12">
        <f t="shared" si="17"/>
        <v>2.018633540372671</v>
      </c>
      <c r="Z62" s="12">
        <f t="shared" si="18"/>
        <v>0.46583850931677018</v>
      </c>
      <c r="AA62" s="12">
        <f t="shared" si="19"/>
        <v>0.3105590062111801</v>
      </c>
      <c r="AB62" s="12">
        <f t="shared" si="20"/>
        <v>1.0869565217391304</v>
      </c>
      <c r="AC62" s="23">
        <f t="shared" si="21"/>
        <v>0.15527950310559005</v>
      </c>
      <c r="AD62" s="12">
        <f t="shared" si="22"/>
        <v>7.2981366459627326</v>
      </c>
      <c r="AE62" s="12">
        <f t="shared" si="23"/>
        <v>4.658385093167702</v>
      </c>
      <c r="AF62" s="12">
        <f t="shared" si="24"/>
        <v>9.316770186335404</v>
      </c>
      <c r="AG62" s="12">
        <f t="shared" si="25"/>
        <v>2.018633540372671</v>
      </c>
      <c r="AH62" s="12">
        <f t="shared" si="26"/>
        <v>0.46583850931677018</v>
      </c>
      <c r="AI62" s="12">
        <f t="shared" si="10"/>
        <v>0.3105590062111801</v>
      </c>
      <c r="AJ62" s="12">
        <f t="shared" si="11"/>
        <v>1.3975155279503106</v>
      </c>
      <c r="AK62" s="12">
        <f t="shared" si="12"/>
        <v>0.15527950310559005</v>
      </c>
    </row>
    <row r="63" spans="1:37" s="13" customFormat="1" x14ac:dyDescent="0.25">
      <c r="A63" s="42" t="s">
        <v>61</v>
      </c>
      <c r="B63" s="13" t="s">
        <v>48</v>
      </c>
      <c r="C63" s="14">
        <v>583</v>
      </c>
      <c r="D63" s="14">
        <v>30</v>
      </c>
      <c r="E63" s="14">
        <v>21</v>
      </c>
      <c r="F63" s="14">
        <v>49</v>
      </c>
      <c r="G63" s="13">
        <v>9</v>
      </c>
      <c r="H63" s="13">
        <v>3</v>
      </c>
      <c r="I63" s="13">
        <v>2</v>
      </c>
      <c r="J63" s="13">
        <v>8</v>
      </c>
      <c r="K63" s="32">
        <v>1</v>
      </c>
      <c r="L63" s="13">
        <v>31</v>
      </c>
      <c r="M63" s="13">
        <v>21</v>
      </c>
      <c r="N63" s="13">
        <v>51</v>
      </c>
      <c r="O63" s="13">
        <v>9</v>
      </c>
      <c r="P63" s="13">
        <v>3</v>
      </c>
      <c r="Q63" s="13">
        <v>2</v>
      </c>
      <c r="R63" s="13">
        <v>8</v>
      </c>
      <c r="S63" s="13">
        <v>1</v>
      </c>
      <c r="V63" s="15">
        <f t="shared" si="14"/>
        <v>5.1457975986277873</v>
      </c>
      <c r="W63" s="15">
        <f t="shared" si="15"/>
        <v>3.6020583190394513</v>
      </c>
      <c r="X63" s="15">
        <f t="shared" si="16"/>
        <v>8.4048027444253854</v>
      </c>
      <c r="Y63" s="15">
        <f t="shared" si="17"/>
        <v>1.5437392795883362</v>
      </c>
      <c r="Z63" s="15">
        <f t="shared" si="18"/>
        <v>0.51457975986277882</v>
      </c>
      <c r="AA63" s="15">
        <f t="shared" si="19"/>
        <v>0.34305317324185247</v>
      </c>
      <c r="AB63" s="15">
        <f t="shared" si="20"/>
        <v>1.3722126929674099</v>
      </c>
      <c r="AC63" s="24">
        <f t="shared" si="21"/>
        <v>0.17152658662092624</v>
      </c>
      <c r="AD63" s="15">
        <f t="shared" si="22"/>
        <v>5.3173241852487134</v>
      </c>
      <c r="AE63" s="15">
        <f t="shared" si="23"/>
        <v>3.6020583190394513</v>
      </c>
      <c r="AF63" s="15">
        <f t="shared" si="24"/>
        <v>8.7478559176672377</v>
      </c>
      <c r="AG63" s="15">
        <f t="shared" si="25"/>
        <v>1.5437392795883362</v>
      </c>
      <c r="AH63" s="15">
        <f t="shared" si="26"/>
        <v>0.51457975986277882</v>
      </c>
      <c r="AI63" s="15">
        <f t="shared" si="10"/>
        <v>0.34305317324185247</v>
      </c>
      <c r="AJ63" s="15">
        <f t="shared" si="11"/>
        <v>1.3722126929674099</v>
      </c>
      <c r="AK63" s="15">
        <f t="shared" si="12"/>
        <v>0.17152658662092624</v>
      </c>
    </row>
    <row r="64" spans="1:37" s="13" customFormat="1" x14ac:dyDescent="0.25">
      <c r="A64" s="42"/>
      <c r="B64" s="13" t="s">
        <v>49</v>
      </c>
      <c r="C64" s="14">
        <v>583</v>
      </c>
      <c r="D64" s="14">
        <v>40</v>
      </c>
      <c r="E64" s="14">
        <v>14</v>
      </c>
      <c r="F64" s="14">
        <v>35</v>
      </c>
      <c r="G64" s="13">
        <v>5</v>
      </c>
      <c r="H64" s="13">
        <v>6</v>
      </c>
      <c r="I64" s="13">
        <v>5</v>
      </c>
      <c r="J64" s="13">
        <v>16</v>
      </c>
      <c r="K64" s="32">
        <v>1</v>
      </c>
      <c r="L64" s="13">
        <v>42</v>
      </c>
      <c r="M64" s="13">
        <v>14</v>
      </c>
      <c r="N64" s="13">
        <v>37</v>
      </c>
      <c r="O64" s="13">
        <v>5</v>
      </c>
      <c r="P64" s="13">
        <v>8</v>
      </c>
      <c r="Q64" s="13">
        <v>8</v>
      </c>
      <c r="R64" s="13">
        <v>20</v>
      </c>
      <c r="S64" s="13">
        <v>2</v>
      </c>
      <c r="V64" s="15">
        <f t="shared" si="14"/>
        <v>6.8610634648370503</v>
      </c>
      <c r="W64" s="15">
        <f t="shared" si="15"/>
        <v>2.4013722126929671</v>
      </c>
      <c r="X64" s="15">
        <f t="shared" si="16"/>
        <v>6.0034305317324188</v>
      </c>
      <c r="Y64" s="15">
        <f t="shared" si="17"/>
        <v>0.85763293310463129</v>
      </c>
      <c r="Z64" s="15">
        <f t="shared" si="18"/>
        <v>1.0291595197255576</v>
      </c>
      <c r="AA64" s="15">
        <f t="shared" si="19"/>
        <v>0.85763293310463129</v>
      </c>
      <c r="AB64" s="15">
        <f t="shared" si="20"/>
        <v>2.7444253859348198</v>
      </c>
      <c r="AC64" s="24">
        <f t="shared" si="21"/>
        <v>0.17152658662092624</v>
      </c>
      <c r="AD64" s="15">
        <f t="shared" si="22"/>
        <v>7.2041166380789026</v>
      </c>
      <c r="AE64" s="15">
        <f t="shared" si="23"/>
        <v>2.4013722126929671</v>
      </c>
      <c r="AF64" s="15">
        <f t="shared" si="24"/>
        <v>6.3464837049742702</v>
      </c>
      <c r="AG64" s="15">
        <f t="shared" si="25"/>
        <v>0.85763293310463129</v>
      </c>
      <c r="AH64" s="15">
        <f t="shared" si="26"/>
        <v>1.3722126929674099</v>
      </c>
      <c r="AI64" s="15">
        <f t="shared" si="10"/>
        <v>1.3722126929674099</v>
      </c>
      <c r="AJ64" s="15">
        <f t="shared" si="11"/>
        <v>3.4305317324185252</v>
      </c>
      <c r="AK64" s="15">
        <f t="shared" si="12"/>
        <v>0.34305317324185247</v>
      </c>
    </row>
    <row r="65" spans="1:37" s="13" customFormat="1" x14ac:dyDescent="0.25">
      <c r="A65" s="42"/>
      <c r="B65" s="13" t="s">
        <v>50</v>
      </c>
      <c r="C65" s="14">
        <v>583</v>
      </c>
      <c r="D65" s="14">
        <v>47</v>
      </c>
      <c r="E65" s="14">
        <v>44</v>
      </c>
      <c r="F65" s="14">
        <v>67</v>
      </c>
      <c r="G65" s="13">
        <v>24</v>
      </c>
      <c r="H65" s="13">
        <v>10</v>
      </c>
      <c r="I65" s="13">
        <v>10</v>
      </c>
      <c r="J65" s="13">
        <v>21</v>
      </c>
      <c r="K65" s="32">
        <v>6</v>
      </c>
      <c r="L65" s="13">
        <v>52</v>
      </c>
      <c r="M65" s="13">
        <v>45</v>
      </c>
      <c r="N65" s="13">
        <v>68</v>
      </c>
      <c r="O65" s="13">
        <v>25</v>
      </c>
      <c r="P65" s="13">
        <v>15</v>
      </c>
      <c r="Q65" s="13">
        <v>16</v>
      </c>
      <c r="R65" s="13">
        <v>29</v>
      </c>
      <c r="S65" s="13">
        <v>10</v>
      </c>
      <c r="V65" s="15">
        <f t="shared" si="14"/>
        <v>8.0617495711835332</v>
      </c>
      <c r="W65" s="15">
        <f t="shared" si="15"/>
        <v>7.5471698113207548</v>
      </c>
      <c r="X65" s="15">
        <f t="shared" si="16"/>
        <v>11.492281303602059</v>
      </c>
      <c r="Y65" s="15">
        <f t="shared" si="17"/>
        <v>4.1166380789022305</v>
      </c>
      <c r="Z65" s="15">
        <f t="shared" si="18"/>
        <v>1.7152658662092626</v>
      </c>
      <c r="AA65" s="15">
        <f t="shared" si="19"/>
        <v>1.7152658662092626</v>
      </c>
      <c r="AB65" s="15">
        <f t="shared" si="20"/>
        <v>3.6020583190394513</v>
      </c>
      <c r="AC65" s="24">
        <f t="shared" si="21"/>
        <v>1.0291595197255576</v>
      </c>
      <c r="AD65" s="15">
        <f t="shared" si="22"/>
        <v>8.9193825042881656</v>
      </c>
      <c r="AE65" s="15">
        <f t="shared" si="23"/>
        <v>7.7186963979416809</v>
      </c>
      <c r="AF65" s="15">
        <f t="shared" si="24"/>
        <v>11.663807890222985</v>
      </c>
      <c r="AG65" s="15">
        <f t="shared" si="25"/>
        <v>4.2881646655231558</v>
      </c>
      <c r="AH65" s="15">
        <f t="shared" si="26"/>
        <v>2.5728987993138936</v>
      </c>
      <c r="AI65" s="15">
        <f t="shared" si="10"/>
        <v>2.7444253859348198</v>
      </c>
      <c r="AJ65" s="15">
        <f t="shared" si="11"/>
        <v>4.9742710120068612</v>
      </c>
      <c r="AK65" s="15">
        <f t="shared" si="12"/>
        <v>1.7152658662092626</v>
      </c>
    </row>
    <row r="66" spans="1:37" s="13" customFormat="1" x14ac:dyDescent="0.25">
      <c r="A66" s="42"/>
      <c r="B66" s="13" t="s">
        <v>51</v>
      </c>
      <c r="C66" s="14">
        <v>583</v>
      </c>
      <c r="D66" s="14">
        <v>25</v>
      </c>
      <c r="E66" s="14">
        <v>34</v>
      </c>
      <c r="F66" s="14">
        <v>54</v>
      </c>
      <c r="G66" s="13">
        <v>12</v>
      </c>
      <c r="H66" s="13">
        <v>4</v>
      </c>
      <c r="I66" s="13">
        <v>5</v>
      </c>
      <c r="J66" s="13">
        <v>17</v>
      </c>
      <c r="K66" s="32">
        <v>4</v>
      </c>
      <c r="L66" s="13">
        <v>25</v>
      </c>
      <c r="M66" s="13">
        <v>34</v>
      </c>
      <c r="N66" s="13">
        <v>55</v>
      </c>
      <c r="O66" s="13">
        <v>12</v>
      </c>
      <c r="P66" s="13">
        <v>4</v>
      </c>
      <c r="Q66" s="13">
        <v>6</v>
      </c>
      <c r="R66" s="13">
        <v>19</v>
      </c>
      <c r="S66" s="13">
        <v>4</v>
      </c>
      <c r="V66" s="15">
        <f t="shared" si="14"/>
        <v>4.2881646655231558</v>
      </c>
      <c r="W66" s="15">
        <f t="shared" si="15"/>
        <v>5.8319039451114927</v>
      </c>
      <c r="X66" s="15">
        <f t="shared" si="16"/>
        <v>9.2624356775300178</v>
      </c>
      <c r="Y66" s="15">
        <f t="shared" si="17"/>
        <v>2.0583190394511153</v>
      </c>
      <c r="Z66" s="15">
        <f t="shared" si="18"/>
        <v>0.68610634648370494</v>
      </c>
      <c r="AA66" s="15">
        <f t="shared" si="19"/>
        <v>0.85763293310463129</v>
      </c>
      <c r="AB66" s="15">
        <f t="shared" si="20"/>
        <v>2.9159519725557463</v>
      </c>
      <c r="AC66" s="24">
        <f t="shared" si="21"/>
        <v>0.68610634648370494</v>
      </c>
      <c r="AD66" s="15">
        <f t="shared" si="22"/>
        <v>4.2881646655231558</v>
      </c>
      <c r="AE66" s="15">
        <f t="shared" si="23"/>
        <v>5.8319039451114927</v>
      </c>
      <c r="AF66" s="15">
        <f t="shared" si="24"/>
        <v>9.433962264150944</v>
      </c>
      <c r="AG66" s="15">
        <f t="shared" si="25"/>
        <v>2.0583190394511153</v>
      </c>
      <c r="AH66" s="15">
        <f t="shared" si="26"/>
        <v>0.68610634648370494</v>
      </c>
      <c r="AI66" s="15">
        <f t="shared" si="10"/>
        <v>1.0291595197255576</v>
      </c>
      <c r="AJ66" s="15">
        <f t="shared" si="11"/>
        <v>3.2590051457975986</v>
      </c>
      <c r="AK66" s="15">
        <f t="shared" si="12"/>
        <v>0.68610634648370494</v>
      </c>
    </row>
    <row r="67" spans="1:37" s="13" customFormat="1" x14ac:dyDescent="0.25">
      <c r="A67" s="42"/>
      <c r="B67" s="13" t="s">
        <v>52</v>
      </c>
      <c r="C67" s="14">
        <v>583</v>
      </c>
      <c r="D67" s="14">
        <v>42</v>
      </c>
      <c r="E67" s="14">
        <v>36</v>
      </c>
      <c r="F67" s="14">
        <v>62</v>
      </c>
      <c r="G67" s="13">
        <v>17</v>
      </c>
      <c r="H67" s="13">
        <v>4</v>
      </c>
      <c r="I67" s="13">
        <v>4</v>
      </c>
      <c r="J67" s="13">
        <v>12</v>
      </c>
      <c r="K67" s="32">
        <v>2</v>
      </c>
      <c r="L67" s="13">
        <v>43</v>
      </c>
      <c r="M67" s="13">
        <v>37</v>
      </c>
      <c r="N67" s="13">
        <v>63</v>
      </c>
      <c r="O67" s="13">
        <v>17</v>
      </c>
      <c r="P67" s="13">
        <v>4</v>
      </c>
      <c r="Q67" s="13">
        <v>4</v>
      </c>
      <c r="R67" s="13">
        <v>14</v>
      </c>
      <c r="S67" s="13">
        <v>2</v>
      </c>
      <c r="V67" s="15">
        <f t="shared" si="14"/>
        <v>7.2041166380789026</v>
      </c>
      <c r="W67" s="15">
        <f t="shared" si="15"/>
        <v>6.1749571183533449</v>
      </c>
      <c r="X67" s="15">
        <f t="shared" si="16"/>
        <v>10.634648370497427</v>
      </c>
      <c r="Y67" s="15">
        <f t="shared" si="17"/>
        <v>2.9159519725557463</v>
      </c>
      <c r="Z67" s="15">
        <f t="shared" si="18"/>
        <v>0.68610634648370494</v>
      </c>
      <c r="AA67" s="15">
        <f t="shared" si="19"/>
        <v>0.68610634648370494</v>
      </c>
      <c r="AB67" s="15">
        <f t="shared" si="20"/>
        <v>2.0583190394511153</v>
      </c>
      <c r="AC67" s="24">
        <f t="shared" si="21"/>
        <v>0.34305317324185247</v>
      </c>
      <c r="AD67" s="15">
        <f t="shared" si="22"/>
        <v>7.3756432246998278</v>
      </c>
      <c r="AE67" s="15">
        <f t="shared" si="23"/>
        <v>6.3464837049742702</v>
      </c>
      <c r="AF67" s="15">
        <f t="shared" si="24"/>
        <v>10.806174957118353</v>
      </c>
      <c r="AG67" s="15">
        <f t="shared" si="25"/>
        <v>2.9159519725557463</v>
      </c>
      <c r="AH67" s="15">
        <f t="shared" si="26"/>
        <v>0.68610634648370494</v>
      </c>
      <c r="AI67" s="15">
        <f t="shared" ref="AI67:AI76" si="27">(Q67/$C67)*100</f>
        <v>0.68610634648370494</v>
      </c>
      <c r="AJ67" s="15">
        <f t="shared" ref="AJ67:AJ76" si="28">(R67/$C67)*100</f>
        <v>2.4013722126929671</v>
      </c>
      <c r="AK67" s="15">
        <f t="shared" ref="AK67:AK76" si="29">(S67/$C67)*100</f>
        <v>0.34305317324185247</v>
      </c>
    </row>
    <row r="68" spans="1:37" s="13" customFormat="1" x14ac:dyDescent="0.25">
      <c r="A68" s="42"/>
      <c r="B68" s="13" t="s">
        <v>53</v>
      </c>
      <c r="C68" s="14">
        <v>583</v>
      </c>
      <c r="D68" s="14">
        <v>34</v>
      </c>
      <c r="E68" s="14">
        <v>32</v>
      </c>
      <c r="F68" s="14">
        <v>52</v>
      </c>
      <c r="G68" s="13">
        <v>12</v>
      </c>
      <c r="H68" s="13">
        <v>6</v>
      </c>
      <c r="I68" s="13">
        <v>4</v>
      </c>
      <c r="J68" s="13">
        <v>10</v>
      </c>
      <c r="K68" s="32">
        <v>2</v>
      </c>
      <c r="L68" s="13">
        <v>35</v>
      </c>
      <c r="M68" s="13">
        <v>37</v>
      </c>
      <c r="N68" s="13">
        <v>55</v>
      </c>
      <c r="O68" s="13">
        <v>14</v>
      </c>
      <c r="P68" s="13">
        <v>6</v>
      </c>
      <c r="Q68" s="13">
        <v>4</v>
      </c>
      <c r="R68" s="13">
        <v>10</v>
      </c>
      <c r="S68" s="13">
        <v>2</v>
      </c>
      <c r="V68" s="15">
        <f t="shared" si="14"/>
        <v>5.8319039451114927</v>
      </c>
      <c r="W68" s="15">
        <f t="shared" si="15"/>
        <v>5.4888507718696395</v>
      </c>
      <c r="X68" s="15">
        <f t="shared" si="16"/>
        <v>8.9193825042881656</v>
      </c>
      <c r="Y68" s="15">
        <f t="shared" si="17"/>
        <v>2.0583190394511153</v>
      </c>
      <c r="Z68" s="15">
        <f t="shared" si="18"/>
        <v>1.0291595197255576</v>
      </c>
      <c r="AA68" s="15">
        <f t="shared" si="19"/>
        <v>0.68610634648370494</v>
      </c>
      <c r="AB68" s="15">
        <f t="shared" si="20"/>
        <v>1.7152658662092626</v>
      </c>
      <c r="AC68" s="24">
        <f t="shared" si="21"/>
        <v>0.34305317324185247</v>
      </c>
      <c r="AD68" s="15">
        <f t="shared" si="22"/>
        <v>6.0034305317324188</v>
      </c>
      <c r="AE68" s="15">
        <f t="shared" si="23"/>
        <v>6.3464837049742702</v>
      </c>
      <c r="AF68" s="15">
        <f t="shared" si="24"/>
        <v>9.433962264150944</v>
      </c>
      <c r="AG68" s="15">
        <f t="shared" si="25"/>
        <v>2.4013722126929671</v>
      </c>
      <c r="AH68" s="15">
        <f t="shared" si="26"/>
        <v>1.0291595197255576</v>
      </c>
      <c r="AI68" s="15">
        <f t="shared" si="27"/>
        <v>0.68610634648370494</v>
      </c>
      <c r="AJ68" s="15">
        <f t="shared" si="28"/>
        <v>1.7152658662092626</v>
      </c>
      <c r="AK68" s="15">
        <f t="shared" si="29"/>
        <v>0.34305317324185247</v>
      </c>
    </row>
    <row r="69" spans="1:37" s="13" customFormat="1" x14ac:dyDescent="0.25">
      <c r="A69" s="42"/>
      <c r="B69" s="13" t="s">
        <v>54</v>
      </c>
      <c r="C69" s="14">
        <v>583</v>
      </c>
      <c r="D69" s="14">
        <v>34</v>
      </c>
      <c r="E69" s="14">
        <v>32</v>
      </c>
      <c r="F69" s="14">
        <v>87</v>
      </c>
      <c r="G69" s="13">
        <v>22</v>
      </c>
      <c r="H69" s="13">
        <v>4</v>
      </c>
      <c r="I69" s="13">
        <v>3</v>
      </c>
      <c r="J69" s="13">
        <v>26</v>
      </c>
      <c r="K69" s="32">
        <v>3</v>
      </c>
      <c r="L69" s="13">
        <v>34</v>
      </c>
      <c r="M69" s="13">
        <v>34</v>
      </c>
      <c r="N69" s="13">
        <v>87</v>
      </c>
      <c r="O69" s="13">
        <v>22</v>
      </c>
      <c r="P69" s="13">
        <v>4</v>
      </c>
      <c r="Q69" s="13">
        <v>3</v>
      </c>
      <c r="R69" s="13">
        <v>32</v>
      </c>
      <c r="S69" s="13">
        <v>3</v>
      </c>
      <c r="V69" s="15">
        <f t="shared" si="14"/>
        <v>5.8319039451114927</v>
      </c>
      <c r="W69" s="15">
        <f t="shared" si="15"/>
        <v>5.4888507718696395</v>
      </c>
      <c r="X69" s="15">
        <f t="shared" si="16"/>
        <v>14.922813036020582</v>
      </c>
      <c r="Y69" s="15">
        <f t="shared" si="17"/>
        <v>3.7735849056603774</v>
      </c>
      <c r="Z69" s="15">
        <f t="shared" si="18"/>
        <v>0.68610634648370494</v>
      </c>
      <c r="AA69" s="15">
        <f t="shared" si="19"/>
        <v>0.51457975986277882</v>
      </c>
      <c r="AB69" s="15">
        <f t="shared" si="20"/>
        <v>4.4596912521440828</v>
      </c>
      <c r="AC69" s="24">
        <f t="shared" si="21"/>
        <v>0.51457975986277882</v>
      </c>
      <c r="AD69" s="15">
        <f t="shared" si="22"/>
        <v>5.8319039451114927</v>
      </c>
      <c r="AE69" s="15">
        <f t="shared" si="23"/>
        <v>5.8319039451114927</v>
      </c>
      <c r="AF69" s="15">
        <f t="shared" si="24"/>
        <v>14.922813036020582</v>
      </c>
      <c r="AG69" s="15">
        <f t="shared" si="25"/>
        <v>3.7735849056603774</v>
      </c>
      <c r="AH69" s="15">
        <f t="shared" si="26"/>
        <v>0.68610634648370494</v>
      </c>
      <c r="AI69" s="15">
        <f t="shared" si="27"/>
        <v>0.51457975986277882</v>
      </c>
      <c r="AJ69" s="15">
        <f t="shared" si="28"/>
        <v>5.4888507718696395</v>
      </c>
      <c r="AK69" s="15">
        <f t="shared" si="29"/>
        <v>0.51457975986277882</v>
      </c>
    </row>
    <row r="70" spans="1:37" s="16" customFormat="1" x14ac:dyDescent="0.25">
      <c r="A70" s="43" t="s">
        <v>62</v>
      </c>
      <c r="B70" s="16" t="s">
        <v>48</v>
      </c>
      <c r="C70" s="17">
        <v>583</v>
      </c>
      <c r="D70" s="17">
        <v>26</v>
      </c>
      <c r="E70" s="17">
        <v>26</v>
      </c>
      <c r="F70" s="17">
        <v>49</v>
      </c>
      <c r="G70" s="16">
        <v>10</v>
      </c>
      <c r="H70" s="16">
        <v>3</v>
      </c>
      <c r="I70" s="16">
        <v>4</v>
      </c>
      <c r="J70" s="16">
        <v>4</v>
      </c>
      <c r="K70" s="33">
        <v>1</v>
      </c>
      <c r="L70" s="16">
        <v>28</v>
      </c>
      <c r="M70" s="16">
        <v>26</v>
      </c>
      <c r="N70" s="16">
        <v>51</v>
      </c>
      <c r="O70" s="16">
        <v>10</v>
      </c>
      <c r="P70" s="16">
        <v>3</v>
      </c>
      <c r="Q70" s="16">
        <v>4</v>
      </c>
      <c r="R70" s="16">
        <v>4</v>
      </c>
      <c r="S70" s="16">
        <v>1</v>
      </c>
      <c r="V70" s="18">
        <f t="shared" si="14"/>
        <v>4.4596912521440828</v>
      </c>
      <c r="W70" s="18">
        <f t="shared" si="15"/>
        <v>4.4596912521440828</v>
      </c>
      <c r="X70" s="18">
        <f t="shared" si="16"/>
        <v>8.4048027444253854</v>
      </c>
      <c r="Y70" s="18">
        <f t="shared" si="17"/>
        <v>1.7152658662092626</v>
      </c>
      <c r="Z70" s="18">
        <f t="shared" si="18"/>
        <v>0.51457975986277882</v>
      </c>
      <c r="AA70" s="18">
        <f t="shared" si="19"/>
        <v>0.68610634648370494</v>
      </c>
      <c r="AB70" s="18">
        <f t="shared" si="20"/>
        <v>0.68610634648370494</v>
      </c>
      <c r="AC70" s="25">
        <f t="shared" si="21"/>
        <v>0.17152658662092624</v>
      </c>
      <c r="AD70" s="18">
        <f t="shared" si="22"/>
        <v>4.8027444253859342</v>
      </c>
      <c r="AE70" s="18">
        <f t="shared" si="23"/>
        <v>4.4596912521440828</v>
      </c>
      <c r="AF70" s="18">
        <f t="shared" si="24"/>
        <v>8.7478559176672377</v>
      </c>
      <c r="AG70" s="18">
        <f t="shared" si="25"/>
        <v>1.7152658662092626</v>
      </c>
      <c r="AH70" s="18">
        <f t="shared" si="26"/>
        <v>0.51457975986277882</v>
      </c>
      <c r="AI70" s="18">
        <f t="shared" si="27"/>
        <v>0.68610634648370494</v>
      </c>
      <c r="AJ70" s="18">
        <f t="shared" si="28"/>
        <v>0.68610634648370494</v>
      </c>
      <c r="AK70" s="18">
        <f t="shared" si="29"/>
        <v>0.17152658662092624</v>
      </c>
    </row>
    <row r="71" spans="1:37" s="16" customFormat="1" x14ac:dyDescent="0.25">
      <c r="A71" s="43"/>
      <c r="B71" s="16" t="s">
        <v>49</v>
      </c>
      <c r="C71" s="17">
        <v>583</v>
      </c>
      <c r="D71" s="17">
        <v>31</v>
      </c>
      <c r="E71" s="17">
        <v>15</v>
      </c>
      <c r="F71" s="17">
        <v>37</v>
      </c>
      <c r="G71" s="16">
        <v>6</v>
      </c>
      <c r="H71" s="16">
        <v>5</v>
      </c>
      <c r="I71" s="16">
        <v>3</v>
      </c>
      <c r="J71" s="16">
        <v>14</v>
      </c>
      <c r="K71" s="33">
        <v>0</v>
      </c>
      <c r="L71" s="16">
        <v>35</v>
      </c>
      <c r="M71" s="16">
        <v>15</v>
      </c>
      <c r="N71" s="16">
        <v>37</v>
      </c>
      <c r="O71" s="16">
        <v>6</v>
      </c>
      <c r="P71" s="16">
        <v>7</v>
      </c>
      <c r="Q71" s="16">
        <v>4</v>
      </c>
      <c r="R71" s="16">
        <v>17</v>
      </c>
      <c r="S71" s="16">
        <v>0</v>
      </c>
      <c r="V71" s="18">
        <f t="shared" si="14"/>
        <v>5.3173241852487134</v>
      </c>
      <c r="W71" s="18">
        <f t="shared" si="15"/>
        <v>2.5728987993138936</v>
      </c>
      <c r="X71" s="18">
        <f t="shared" si="16"/>
        <v>6.3464837049742702</v>
      </c>
      <c r="Y71" s="18">
        <f t="shared" si="17"/>
        <v>1.0291595197255576</v>
      </c>
      <c r="Z71" s="18">
        <f t="shared" si="18"/>
        <v>0.85763293310463129</v>
      </c>
      <c r="AA71" s="18">
        <f t="shared" si="19"/>
        <v>0.51457975986277882</v>
      </c>
      <c r="AB71" s="18">
        <f t="shared" si="20"/>
        <v>2.4013722126929671</v>
      </c>
      <c r="AC71" s="25">
        <f t="shared" si="21"/>
        <v>0</v>
      </c>
      <c r="AD71" s="18">
        <f t="shared" si="22"/>
        <v>6.0034305317324188</v>
      </c>
      <c r="AE71" s="18">
        <f t="shared" si="23"/>
        <v>2.5728987993138936</v>
      </c>
      <c r="AF71" s="18">
        <f t="shared" si="24"/>
        <v>6.3464837049742702</v>
      </c>
      <c r="AG71" s="18">
        <f t="shared" si="25"/>
        <v>1.0291595197255576</v>
      </c>
      <c r="AH71" s="18">
        <f t="shared" si="26"/>
        <v>1.2006861063464835</v>
      </c>
      <c r="AI71" s="18">
        <f t="shared" si="27"/>
        <v>0.68610634648370494</v>
      </c>
      <c r="AJ71" s="18">
        <f t="shared" si="28"/>
        <v>2.9159519725557463</v>
      </c>
      <c r="AK71" s="18">
        <f t="shared" si="29"/>
        <v>0</v>
      </c>
    </row>
    <row r="72" spans="1:37" s="16" customFormat="1" x14ac:dyDescent="0.25">
      <c r="A72" s="43"/>
      <c r="B72" s="16" t="s">
        <v>50</v>
      </c>
      <c r="C72" s="17">
        <v>583</v>
      </c>
      <c r="D72" s="17">
        <v>26</v>
      </c>
      <c r="E72" s="17">
        <v>29</v>
      </c>
      <c r="F72" s="17">
        <v>73</v>
      </c>
      <c r="G72" s="16">
        <v>14</v>
      </c>
      <c r="H72" s="16">
        <v>6</v>
      </c>
      <c r="I72" s="16">
        <v>6</v>
      </c>
      <c r="J72" s="16">
        <v>19</v>
      </c>
      <c r="K72" s="33">
        <v>4</v>
      </c>
      <c r="L72" s="16">
        <v>27</v>
      </c>
      <c r="M72" s="16">
        <v>29</v>
      </c>
      <c r="N72" s="16">
        <v>75</v>
      </c>
      <c r="O72" s="16">
        <v>14</v>
      </c>
      <c r="P72" s="16">
        <v>7</v>
      </c>
      <c r="Q72" s="16">
        <v>6</v>
      </c>
      <c r="R72" s="16">
        <v>23</v>
      </c>
      <c r="S72" s="16">
        <v>4</v>
      </c>
      <c r="V72" s="18">
        <f t="shared" si="14"/>
        <v>4.4596912521440828</v>
      </c>
      <c r="W72" s="18">
        <f t="shared" si="15"/>
        <v>4.9742710120068612</v>
      </c>
      <c r="X72" s="18">
        <f t="shared" si="16"/>
        <v>12.521440823327614</v>
      </c>
      <c r="Y72" s="18">
        <f t="shared" si="17"/>
        <v>2.4013722126929671</v>
      </c>
      <c r="Z72" s="18">
        <f t="shared" si="18"/>
        <v>1.0291595197255576</v>
      </c>
      <c r="AA72" s="18">
        <f t="shared" si="19"/>
        <v>1.0291595197255576</v>
      </c>
      <c r="AB72" s="18">
        <f t="shared" si="20"/>
        <v>3.2590051457975986</v>
      </c>
      <c r="AC72" s="25">
        <f t="shared" si="21"/>
        <v>0.68610634648370494</v>
      </c>
      <c r="AD72" s="18">
        <f t="shared" si="22"/>
        <v>4.6312178387650089</v>
      </c>
      <c r="AE72" s="18">
        <f t="shared" si="23"/>
        <v>4.9742710120068612</v>
      </c>
      <c r="AF72" s="18">
        <f t="shared" si="24"/>
        <v>12.864493996569468</v>
      </c>
      <c r="AG72" s="18">
        <f t="shared" si="25"/>
        <v>2.4013722126929671</v>
      </c>
      <c r="AH72" s="18">
        <f t="shared" si="26"/>
        <v>1.2006861063464835</v>
      </c>
      <c r="AI72" s="18">
        <f t="shared" si="27"/>
        <v>1.0291595197255576</v>
      </c>
      <c r="AJ72" s="18">
        <f t="shared" si="28"/>
        <v>3.9451114922813035</v>
      </c>
      <c r="AK72" s="18">
        <f t="shared" si="29"/>
        <v>0.68610634648370494</v>
      </c>
    </row>
    <row r="73" spans="1:37" s="16" customFormat="1" x14ac:dyDescent="0.25">
      <c r="A73" s="43"/>
      <c r="B73" s="16" t="s">
        <v>51</v>
      </c>
      <c r="C73" s="17">
        <v>583</v>
      </c>
      <c r="D73" s="17">
        <v>25</v>
      </c>
      <c r="E73" s="17">
        <v>35</v>
      </c>
      <c r="F73" s="17">
        <v>48</v>
      </c>
      <c r="G73" s="16">
        <v>10</v>
      </c>
      <c r="H73" s="16">
        <v>8</v>
      </c>
      <c r="I73" s="16">
        <v>4</v>
      </c>
      <c r="J73" s="16">
        <v>16</v>
      </c>
      <c r="K73" s="33">
        <v>2</v>
      </c>
      <c r="L73" s="16">
        <v>26</v>
      </c>
      <c r="M73" s="16">
        <v>36</v>
      </c>
      <c r="N73" s="16">
        <v>50</v>
      </c>
      <c r="O73" s="16">
        <v>10</v>
      </c>
      <c r="P73" s="16">
        <v>8</v>
      </c>
      <c r="Q73" s="16">
        <v>4</v>
      </c>
      <c r="R73" s="16">
        <v>21</v>
      </c>
      <c r="S73" s="16">
        <v>2</v>
      </c>
      <c r="V73" s="18">
        <f t="shared" si="14"/>
        <v>4.2881646655231558</v>
      </c>
      <c r="W73" s="18">
        <f t="shared" si="15"/>
        <v>6.0034305317324188</v>
      </c>
      <c r="X73" s="18">
        <f t="shared" si="16"/>
        <v>8.2332761578044611</v>
      </c>
      <c r="Y73" s="18">
        <f t="shared" si="17"/>
        <v>1.7152658662092626</v>
      </c>
      <c r="Z73" s="18">
        <f t="shared" si="18"/>
        <v>1.3722126929674099</v>
      </c>
      <c r="AA73" s="18">
        <f t="shared" si="19"/>
        <v>0.68610634648370494</v>
      </c>
      <c r="AB73" s="18">
        <f t="shared" si="20"/>
        <v>2.7444253859348198</v>
      </c>
      <c r="AC73" s="25">
        <f t="shared" si="21"/>
        <v>0.34305317324185247</v>
      </c>
      <c r="AD73" s="18">
        <f t="shared" si="22"/>
        <v>4.4596912521440828</v>
      </c>
      <c r="AE73" s="18">
        <f t="shared" si="23"/>
        <v>6.1749571183533449</v>
      </c>
      <c r="AF73" s="18">
        <f t="shared" si="24"/>
        <v>8.5763293310463116</v>
      </c>
      <c r="AG73" s="18">
        <f t="shared" si="25"/>
        <v>1.7152658662092626</v>
      </c>
      <c r="AH73" s="18">
        <f t="shared" si="26"/>
        <v>1.3722126929674099</v>
      </c>
      <c r="AI73" s="18">
        <f t="shared" si="27"/>
        <v>0.68610634648370494</v>
      </c>
      <c r="AJ73" s="18">
        <f t="shared" si="28"/>
        <v>3.6020583190394513</v>
      </c>
      <c r="AK73" s="18">
        <f t="shared" si="29"/>
        <v>0.34305317324185247</v>
      </c>
    </row>
    <row r="74" spans="1:37" s="16" customFormat="1" x14ac:dyDescent="0.25">
      <c r="A74" s="43"/>
      <c r="B74" s="16" t="s">
        <v>52</v>
      </c>
      <c r="C74" s="17">
        <v>583</v>
      </c>
      <c r="D74" s="17">
        <v>24</v>
      </c>
      <c r="E74" s="17">
        <v>25</v>
      </c>
      <c r="F74" s="17">
        <v>60</v>
      </c>
      <c r="G74" s="16">
        <v>7</v>
      </c>
      <c r="H74" s="16">
        <v>3</v>
      </c>
      <c r="I74" s="16">
        <v>2</v>
      </c>
      <c r="J74" s="16">
        <v>15</v>
      </c>
      <c r="K74" s="33">
        <v>1</v>
      </c>
      <c r="L74" s="16">
        <v>25</v>
      </c>
      <c r="M74" s="16">
        <v>26</v>
      </c>
      <c r="N74" s="16">
        <v>60</v>
      </c>
      <c r="O74" s="16">
        <v>7</v>
      </c>
      <c r="P74" s="16">
        <v>3</v>
      </c>
      <c r="Q74" s="16">
        <v>2</v>
      </c>
      <c r="R74" s="16">
        <v>16</v>
      </c>
      <c r="S74" s="16">
        <v>1</v>
      </c>
      <c r="V74" s="18">
        <f t="shared" si="14"/>
        <v>4.1166380789022305</v>
      </c>
      <c r="W74" s="18">
        <f t="shared" si="15"/>
        <v>4.2881646655231558</v>
      </c>
      <c r="X74" s="18">
        <f t="shared" si="16"/>
        <v>10.291595197255575</v>
      </c>
      <c r="Y74" s="18">
        <f t="shared" si="17"/>
        <v>1.2006861063464835</v>
      </c>
      <c r="Z74" s="18">
        <f t="shared" si="18"/>
        <v>0.51457975986277882</v>
      </c>
      <c r="AA74" s="18">
        <f t="shared" si="19"/>
        <v>0.34305317324185247</v>
      </c>
      <c r="AB74" s="18">
        <f t="shared" si="20"/>
        <v>2.5728987993138936</v>
      </c>
      <c r="AC74" s="25">
        <f t="shared" si="21"/>
        <v>0.17152658662092624</v>
      </c>
      <c r="AD74" s="18">
        <f t="shared" si="22"/>
        <v>4.2881646655231558</v>
      </c>
      <c r="AE74" s="18">
        <f t="shared" si="23"/>
        <v>4.4596912521440828</v>
      </c>
      <c r="AF74" s="18">
        <f t="shared" si="24"/>
        <v>10.291595197255575</v>
      </c>
      <c r="AG74" s="18">
        <f t="shared" si="25"/>
        <v>1.2006861063464835</v>
      </c>
      <c r="AH74" s="18">
        <f t="shared" si="26"/>
        <v>0.51457975986277882</v>
      </c>
      <c r="AI74" s="18">
        <f t="shared" si="27"/>
        <v>0.34305317324185247</v>
      </c>
      <c r="AJ74" s="18">
        <f t="shared" si="28"/>
        <v>2.7444253859348198</v>
      </c>
      <c r="AK74" s="18">
        <f t="shared" si="29"/>
        <v>0.17152658662092624</v>
      </c>
    </row>
    <row r="75" spans="1:37" s="16" customFormat="1" x14ac:dyDescent="0.25">
      <c r="A75" s="43"/>
      <c r="B75" s="16" t="s">
        <v>53</v>
      </c>
      <c r="C75" s="17">
        <v>583</v>
      </c>
      <c r="D75" s="17">
        <v>17</v>
      </c>
      <c r="E75" s="17">
        <v>24</v>
      </c>
      <c r="F75" s="17">
        <v>42</v>
      </c>
      <c r="G75" s="16">
        <v>3</v>
      </c>
      <c r="H75" s="16">
        <v>3</v>
      </c>
      <c r="I75" s="16">
        <v>4</v>
      </c>
      <c r="J75" s="16">
        <v>11</v>
      </c>
      <c r="K75" s="33">
        <v>1</v>
      </c>
      <c r="L75" s="16">
        <v>19</v>
      </c>
      <c r="M75" s="16">
        <v>24</v>
      </c>
      <c r="N75" s="16">
        <v>46</v>
      </c>
      <c r="O75" s="16">
        <v>3</v>
      </c>
      <c r="P75" s="16">
        <v>3</v>
      </c>
      <c r="Q75" s="16">
        <v>5</v>
      </c>
      <c r="R75" s="16">
        <v>14</v>
      </c>
      <c r="S75" s="16">
        <v>1</v>
      </c>
      <c r="V75" s="18">
        <f t="shared" si="14"/>
        <v>2.9159519725557463</v>
      </c>
      <c r="W75" s="18">
        <f t="shared" si="15"/>
        <v>4.1166380789022305</v>
      </c>
      <c r="X75" s="18">
        <f t="shared" si="16"/>
        <v>7.2041166380789026</v>
      </c>
      <c r="Y75" s="18">
        <f t="shared" si="17"/>
        <v>0.51457975986277882</v>
      </c>
      <c r="Z75" s="18">
        <f t="shared" si="18"/>
        <v>0.51457975986277882</v>
      </c>
      <c r="AA75" s="18">
        <f t="shared" si="19"/>
        <v>0.68610634648370494</v>
      </c>
      <c r="AB75" s="18">
        <f t="shared" si="20"/>
        <v>1.8867924528301887</v>
      </c>
      <c r="AC75" s="25">
        <f t="shared" si="21"/>
        <v>0.17152658662092624</v>
      </c>
      <c r="AD75" s="18">
        <f t="shared" si="22"/>
        <v>3.2590051457975986</v>
      </c>
      <c r="AE75" s="18">
        <f t="shared" si="23"/>
        <v>4.1166380789022305</v>
      </c>
      <c r="AF75" s="18">
        <f t="shared" si="24"/>
        <v>7.8902229845626071</v>
      </c>
      <c r="AG75" s="18">
        <f t="shared" si="25"/>
        <v>0.51457975986277882</v>
      </c>
      <c r="AH75" s="18">
        <f t="shared" si="26"/>
        <v>0.51457975986277882</v>
      </c>
      <c r="AI75" s="18">
        <f t="shared" si="27"/>
        <v>0.85763293310463129</v>
      </c>
      <c r="AJ75" s="18">
        <f t="shared" si="28"/>
        <v>2.4013722126929671</v>
      </c>
      <c r="AK75" s="18">
        <f t="shared" si="29"/>
        <v>0.17152658662092624</v>
      </c>
    </row>
    <row r="76" spans="1:37" s="16" customFormat="1" x14ac:dyDescent="0.25">
      <c r="A76" s="43"/>
      <c r="B76" s="16" t="s">
        <v>54</v>
      </c>
      <c r="C76" s="17">
        <v>583</v>
      </c>
      <c r="D76" s="17">
        <v>26</v>
      </c>
      <c r="E76" s="17">
        <v>21</v>
      </c>
      <c r="F76" s="17">
        <v>95</v>
      </c>
      <c r="G76" s="16">
        <v>18</v>
      </c>
      <c r="H76" s="16">
        <v>4</v>
      </c>
      <c r="I76" s="16">
        <v>4</v>
      </c>
      <c r="J76" s="16">
        <v>13</v>
      </c>
      <c r="K76" s="33">
        <v>3</v>
      </c>
      <c r="L76" s="16">
        <v>28</v>
      </c>
      <c r="M76" s="16">
        <v>21</v>
      </c>
      <c r="N76" s="16">
        <v>101</v>
      </c>
      <c r="O76" s="16">
        <v>18</v>
      </c>
      <c r="P76" s="16">
        <v>4</v>
      </c>
      <c r="Q76" s="16">
        <v>4</v>
      </c>
      <c r="R76" s="16">
        <v>17</v>
      </c>
      <c r="S76" s="16">
        <v>3</v>
      </c>
      <c r="V76" s="18">
        <f t="shared" si="14"/>
        <v>4.4596912521440828</v>
      </c>
      <c r="W76" s="18">
        <f t="shared" si="15"/>
        <v>3.6020583190394513</v>
      </c>
      <c r="X76" s="18">
        <f t="shared" si="16"/>
        <v>16.295025728987994</v>
      </c>
      <c r="Y76" s="18">
        <f t="shared" si="17"/>
        <v>3.0874785591766725</v>
      </c>
      <c r="Z76" s="18">
        <f t="shared" si="18"/>
        <v>0.68610634648370494</v>
      </c>
      <c r="AA76" s="18">
        <f t="shared" si="19"/>
        <v>0.68610634648370494</v>
      </c>
      <c r="AB76" s="18">
        <f t="shared" si="20"/>
        <v>2.2298456260720414</v>
      </c>
      <c r="AC76" s="25">
        <f t="shared" si="21"/>
        <v>0.51457975986277882</v>
      </c>
      <c r="AD76" s="18">
        <f t="shared" si="22"/>
        <v>4.8027444253859342</v>
      </c>
      <c r="AE76" s="18">
        <f t="shared" si="23"/>
        <v>3.6020583190394513</v>
      </c>
      <c r="AF76" s="18">
        <f t="shared" si="24"/>
        <v>17.324185248713551</v>
      </c>
      <c r="AG76" s="18">
        <f t="shared" si="25"/>
        <v>3.0874785591766725</v>
      </c>
      <c r="AH76" s="18">
        <f t="shared" si="26"/>
        <v>0.68610634648370494</v>
      </c>
      <c r="AI76" s="18">
        <f t="shared" si="27"/>
        <v>0.68610634648370494</v>
      </c>
      <c r="AJ76" s="18">
        <f t="shared" si="28"/>
        <v>2.9159519725557463</v>
      </c>
      <c r="AK76" s="18">
        <f t="shared" si="29"/>
        <v>0.51457975986277882</v>
      </c>
    </row>
    <row r="77" spans="1:37" s="35" customFormat="1" x14ac:dyDescent="0.25">
      <c r="A77" s="34"/>
      <c r="C77" s="36"/>
      <c r="D77" s="36"/>
      <c r="E77" s="36"/>
      <c r="F77" s="36"/>
      <c r="K77" s="37"/>
      <c r="V77" s="38"/>
      <c r="W77" s="38"/>
      <c r="X77" s="38"/>
      <c r="Y77" s="38"/>
      <c r="Z77" s="38"/>
      <c r="AA77" s="38"/>
      <c r="AB77" s="38"/>
      <c r="AC77" s="39"/>
      <c r="AD77" s="38"/>
      <c r="AE77" s="38"/>
      <c r="AF77" s="38"/>
      <c r="AG77" s="38"/>
      <c r="AH77" s="38"/>
      <c r="AI77" s="38"/>
      <c r="AJ77" s="38"/>
      <c r="AK77" s="38"/>
    </row>
    <row r="78" spans="1:37" ht="32.25" customHeight="1" thickBot="1" x14ac:dyDescent="0.3">
      <c r="V78" s="19" t="s">
        <v>64</v>
      </c>
      <c r="W78" s="19" t="s">
        <v>65</v>
      </c>
      <c r="X78" s="19" t="s">
        <v>66</v>
      </c>
      <c r="Y78" s="19" t="s">
        <v>67</v>
      </c>
      <c r="Z78" s="19" t="s">
        <v>68</v>
      </c>
      <c r="AA78" s="19" t="s">
        <v>69</v>
      </c>
      <c r="AB78" s="19" t="s">
        <v>70</v>
      </c>
      <c r="AC78" s="20" t="s">
        <v>71</v>
      </c>
      <c r="AD78" s="19" t="s">
        <v>64</v>
      </c>
      <c r="AE78" s="19" t="s">
        <v>65</v>
      </c>
      <c r="AF78" s="19" t="s">
        <v>66</v>
      </c>
      <c r="AG78" s="19" t="s">
        <v>67</v>
      </c>
      <c r="AH78" s="19" t="s">
        <v>68</v>
      </c>
      <c r="AI78" s="19" t="s">
        <v>69</v>
      </c>
      <c r="AJ78" s="19" t="s">
        <v>70</v>
      </c>
      <c r="AK78" s="19" t="s">
        <v>71</v>
      </c>
    </row>
    <row r="79" spans="1:37" x14ac:dyDescent="0.25">
      <c r="B79" s="1" t="s">
        <v>2</v>
      </c>
      <c r="C79" s="2">
        <f>AVERAGE(C3:C10)</f>
        <v>604.125</v>
      </c>
      <c r="D79" s="2">
        <f t="shared" ref="D79:S79" si="30">AVERAGE(D3:D10)</f>
        <v>86.875</v>
      </c>
      <c r="E79" s="2">
        <f t="shared" si="30"/>
        <v>74</v>
      </c>
      <c r="F79" s="2">
        <f t="shared" si="30"/>
        <v>68.875</v>
      </c>
      <c r="G79" s="2">
        <f t="shared" si="30"/>
        <v>38.875</v>
      </c>
      <c r="H79" s="2">
        <f t="shared" si="30"/>
        <v>13.125</v>
      </c>
      <c r="I79" s="2">
        <f t="shared" si="30"/>
        <v>14.375</v>
      </c>
      <c r="J79" s="2">
        <f t="shared" si="30"/>
        <v>12.875</v>
      </c>
      <c r="K79" s="26">
        <f t="shared" si="30"/>
        <v>6.75</v>
      </c>
      <c r="L79" s="2">
        <f t="shared" si="30"/>
        <v>91.25</v>
      </c>
      <c r="M79" s="2">
        <f t="shared" si="30"/>
        <v>77.125</v>
      </c>
      <c r="N79" s="2">
        <f t="shared" si="30"/>
        <v>71.5</v>
      </c>
      <c r="O79" s="2">
        <f t="shared" si="30"/>
        <v>40.625</v>
      </c>
      <c r="P79" s="2">
        <f t="shared" si="30"/>
        <v>15.625</v>
      </c>
      <c r="Q79" s="2">
        <f t="shared" si="30"/>
        <v>16</v>
      </c>
      <c r="R79" s="2">
        <f t="shared" si="30"/>
        <v>15.5</v>
      </c>
      <c r="S79" s="2">
        <f t="shared" si="30"/>
        <v>7.625</v>
      </c>
      <c r="U79" s="1" t="s">
        <v>2</v>
      </c>
      <c r="V79" s="2">
        <f>AVERAGE(V3:V10)</f>
        <v>14.881920873145926</v>
      </c>
      <c r="W79" s="2">
        <f t="shared" ref="W79:AK79" si="31">AVERAGE(W3:W10)</f>
        <v>12.191228090032368</v>
      </c>
      <c r="X79" s="2">
        <f t="shared" si="31"/>
        <v>11.506391852423208</v>
      </c>
      <c r="Y79" s="2">
        <f t="shared" si="31"/>
        <v>6.4985585112841644</v>
      </c>
      <c r="Z79" s="2">
        <f t="shared" si="31"/>
        <v>2.0904684444574881</v>
      </c>
      <c r="AA79" s="2">
        <f t="shared" si="31"/>
        <v>2.3723404654101126</v>
      </c>
      <c r="AB79" s="2">
        <f t="shared" si="31"/>
        <v>2.1099221680557938</v>
      </c>
      <c r="AC79" s="61">
        <f t="shared" si="31"/>
        <v>1.0268743515576964</v>
      </c>
      <c r="AD79" s="62">
        <f t="shared" si="31"/>
        <v>15.599133368526786</v>
      </c>
      <c r="AE79" s="63">
        <f t="shared" si="31"/>
        <v>12.766604318292607</v>
      </c>
      <c r="AF79" s="63">
        <f t="shared" si="31"/>
        <v>11.985073905859318</v>
      </c>
      <c r="AG79" s="64">
        <f t="shared" si="31"/>
        <v>6.7913463172240505</v>
      </c>
      <c r="AH79" s="2">
        <f t="shared" si="31"/>
        <v>2.4384188065529369</v>
      </c>
      <c r="AI79" s="70">
        <f t="shared" si="31"/>
        <v>2.6593252746686655</v>
      </c>
      <c r="AJ79" s="2">
        <f t="shared" si="31"/>
        <v>2.4833308259266502</v>
      </c>
      <c r="AK79" s="2">
        <f t="shared" si="31"/>
        <v>1.1532602432582328</v>
      </c>
    </row>
    <row r="80" spans="1:37" x14ac:dyDescent="0.25">
      <c r="B80" s="1" t="s">
        <v>3</v>
      </c>
      <c r="C80" s="2">
        <f>AVERAGE(C11:C18)</f>
        <v>667</v>
      </c>
      <c r="D80" s="2">
        <f t="shared" ref="D80:S80" si="32">AVERAGE(D11:D18)</f>
        <v>65.25</v>
      </c>
      <c r="E80" s="2">
        <f t="shared" si="32"/>
        <v>53.125</v>
      </c>
      <c r="F80" s="2">
        <f t="shared" si="32"/>
        <v>64.5</v>
      </c>
      <c r="G80" s="2">
        <f t="shared" si="32"/>
        <v>25.375</v>
      </c>
      <c r="H80" s="2">
        <f t="shared" si="32"/>
        <v>8.625</v>
      </c>
      <c r="I80" s="2">
        <f t="shared" si="32"/>
        <v>5.125</v>
      </c>
      <c r="J80" s="2">
        <f t="shared" si="32"/>
        <v>12.75</v>
      </c>
      <c r="K80" s="26">
        <f t="shared" si="32"/>
        <v>3.75</v>
      </c>
      <c r="L80" s="2">
        <f t="shared" si="32"/>
        <v>68.25</v>
      </c>
      <c r="M80" s="2">
        <f t="shared" si="32"/>
        <v>57.625</v>
      </c>
      <c r="N80" s="2">
        <f t="shared" si="32"/>
        <v>67.75</v>
      </c>
      <c r="O80" s="2">
        <f t="shared" si="32"/>
        <v>27.375</v>
      </c>
      <c r="P80" s="2">
        <f t="shared" si="32"/>
        <v>10.375</v>
      </c>
      <c r="Q80" s="2">
        <f t="shared" si="32"/>
        <v>5.75</v>
      </c>
      <c r="R80" s="2">
        <f t="shared" si="32"/>
        <v>15.5</v>
      </c>
      <c r="S80" s="2">
        <f t="shared" si="32"/>
        <v>4.375</v>
      </c>
      <c r="U80" s="1" t="s">
        <v>3</v>
      </c>
      <c r="V80" s="2">
        <f>AVERAGE(V11:V18)</f>
        <v>9.9594034375917389</v>
      </c>
      <c r="W80" s="2">
        <f t="shared" ref="W80:AK80" si="33">AVERAGE(W11:W18)</f>
        <v>8.0629063599210191</v>
      </c>
      <c r="X80" s="2">
        <f t="shared" si="33"/>
        <v>9.8658996177320013</v>
      </c>
      <c r="Y80" s="2">
        <f t="shared" si="33"/>
        <v>3.8998731293016671</v>
      </c>
      <c r="Z80" s="2">
        <f t="shared" si="33"/>
        <v>1.3039801076789674</v>
      </c>
      <c r="AA80" s="2">
        <f t="shared" si="33"/>
        <v>0.76678028804731235</v>
      </c>
      <c r="AB80" s="2">
        <f t="shared" si="33"/>
        <v>1.9553633259963092</v>
      </c>
      <c r="AC80" s="61">
        <f t="shared" si="33"/>
        <v>0.55739779571957149</v>
      </c>
      <c r="AD80" s="65">
        <f t="shared" si="33"/>
        <v>10.448741109035636</v>
      </c>
      <c r="AE80" s="61">
        <f t="shared" si="33"/>
        <v>8.7761185163065072</v>
      </c>
      <c r="AF80" s="61">
        <f t="shared" si="33"/>
        <v>10.36455148888524</v>
      </c>
      <c r="AG80" s="66">
        <f t="shared" si="33"/>
        <v>4.2156435723520485</v>
      </c>
      <c r="AH80" s="2">
        <f t="shared" si="33"/>
        <v>1.5784079037243501</v>
      </c>
      <c r="AI80" s="71">
        <f t="shared" si="33"/>
        <v>0.860579116479951</v>
      </c>
      <c r="AJ80" s="2">
        <f t="shared" si="33"/>
        <v>2.3883541986346977</v>
      </c>
      <c r="AK80" s="2">
        <f t="shared" si="33"/>
        <v>0.65119662415221025</v>
      </c>
    </row>
    <row r="81" spans="2:37" x14ac:dyDescent="0.25">
      <c r="B81" s="1" t="s">
        <v>8</v>
      </c>
      <c r="C81" s="2">
        <f>AVERAGE(C19:C26)</f>
        <v>678</v>
      </c>
      <c r="D81" s="2">
        <f t="shared" ref="D81:S81" si="34">AVERAGE(D19:D26)</f>
        <v>68.875</v>
      </c>
      <c r="E81" s="2">
        <f t="shared" si="34"/>
        <v>48.625</v>
      </c>
      <c r="F81" s="2">
        <f t="shared" si="34"/>
        <v>66</v>
      </c>
      <c r="G81" s="2">
        <f t="shared" si="34"/>
        <v>27.25</v>
      </c>
      <c r="H81" s="2">
        <f t="shared" si="34"/>
        <v>9.75</v>
      </c>
      <c r="I81" s="2">
        <f t="shared" si="34"/>
        <v>5.75</v>
      </c>
      <c r="J81" s="2">
        <f t="shared" si="34"/>
        <v>15</v>
      </c>
      <c r="K81" s="26">
        <f t="shared" si="34"/>
        <v>4.25</v>
      </c>
      <c r="L81" s="2">
        <f t="shared" si="34"/>
        <v>73.375</v>
      </c>
      <c r="M81" s="2">
        <f t="shared" si="34"/>
        <v>52.125</v>
      </c>
      <c r="N81" s="2">
        <f t="shared" si="34"/>
        <v>67.75</v>
      </c>
      <c r="O81" s="2">
        <f t="shared" si="34"/>
        <v>28.75</v>
      </c>
      <c r="P81" s="2">
        <f t="shared" si="34"/>
        <v>11.75</v>
      </c>
      <c r="Q81" s="2">
        <f t="shared" si="34"/>
        <v>6.25</v>
      </c>
      <c r="R81" s="2">
        <f t="shared" si="34"/>
        <v>17.25</v>
      </c>
      <c r="S81" s="2">
        <f t="shared" si="34"/>
        <v>4.625</v>
      </c>
      <c r="U81" s="1" t="s">
        <v>8</v>
      </c>
      <c r="V81" s="2">
        <f>AVERAGE(V19:V26)</f>
        <v>10.25569036849323</v>
      </c>
      <c r="W81" s="2">
        <f t="shared" ref="W81:AK81" si="35">AVERAGE(W19:W26)</f>
        <v>7.2973385782045312</v>
      </c>
      <c r="X81" s="2">
        <f t="shared" si="35"/>
        <v>9.8667119124558287</v>
      </c>
      <c r="Y81" s="2">
        <f t="shared" si="35"/>
        <v>4.1652329658341722</v>
      </c>
      <c r="Z81" s="2">
        <f t="shared" si="35"/>
        <v>1.4615026523630281</v>
      </c>
      <c r="AA81" s="2">
        <f t="shared" si="35"/>
        <v>0.85632585705234876</v>
      </c>
      <c r="AB81" s="2">
        <f t="shared" si="35"/>
        <v>2.2291166261775577</v>
      </c>
      <c r="AC81" s="61">
        <f t="shared" si="35"/>
        <v>0.64102561666185753</v>
      </c>
      <c r="AD81" s="65">
        <f t="shared" si="35"/>
        <v>10.944371007515011</v>
      </c>
      <c r="AE81" s="61">
        <f t="shared" si="35"/>
        <v>7.8342648148315401</v>
      </c>
      <c r="AF81" s="61">
        <f t="shared" si="35"/>
        <v>10.12273591062047</v>
      </c>
      <c r="AG81" s="66">
        <f t="shared" si="35"/>
        <v>4.3956699489551356</v>
      </c>
      <c r="AH81" s="2">
        <f t="shared" si="35"/>
        <v>1.7790190974791347</v>
      </c>
      <c r="AI81" s="71">
        <f t="shared" si="35"/>
        <v>0.92660330168064375</v>
      </c>
      <c r="AJ81" s="2">
        <f t="shared" si="35"/>
        <v>2.5541829930922058</v>
      </c>
      <c r="AK81" s="2">
        <f t="shared" si="35"/>
        <v>0.6907099805652761</v>
      </c>
    </row>
    <row r="82" spans="2:37" x14ac:dyDescent="0.25">
      <c r="B82" s="1" t="s">
        <v>0</v>
      </c>
      <c r="C82" s="2">
        <f>AVERAGE(C27:C35)</f>
        <v>574.33333333333337</v>
      </c>
      <c r="D82" s="2">
        <f t="shared" ref="D82:S82" si="36">AVERAGE(D27:D35)</f>
        <v>48.444444444444443</v>
      </c>
      <c r="E82" s="2">
        <f t="shared" si="36"/>
        <v>41.222222222222221</v>
      </c>
      <c r="F82" s="2">
        <f t="shared" si="36"/>
        <v>62.333333333333336</v>
      </c>
      <c r="G82" s="2">
        <f t="shared" si="36"/>
        <v>22.222222222222221</v>
      </c>
      <c r="H82" s="2">
        <f t="shared" si="36"/>
        <v>8.1111111111111107</v>
      </c>
      <c r="I82" s="2">
        <f t="shared" si="36"/>
        <v>6</v>
      </c>
      <c r="J82" s="2">
        <f t="shared" si="36"/>
        <v>13.666666666666666</v>
      </c>
      <c r="K82" s="26">
        <f t="shared" si="36"/>
        <v>3.2222222222222223</v>
      </c>
      <c r="L82" s="2">
        <f t="shared" si="36"/>
        <v>52</v>
      </c>
      <c r="M82" s="2">
        <f t="shared" si="36"/>
        <v>43.222222222222221</v>
      </c>
      <c r="N82" s="2">
        <f t="shared" si="36"/>
        <v>64.444444444444443</v>
      </c>
      <c r="O82" s="2">
        <f t="shared" si="36"/>
        <v>23.777777777777779</v>
      </c>
      <c r="P82" s="2">
        <f t="shared" si="36"/>
        <v>10.333333333333334</v>
      </c>
      <c r="Q82" s="2">
        <f t="shared" si="36"/>
        <v>7.1111111111111107</v>
      </c>
      <c r="R82" s="2">
        <f t="shared" si="36"/>
        <v>17.222222222222221</v>
      </c>
      <c r="S82" s="2">
        <f t="shared" si="36"/>
        <v>4</v>
      </c>
      <c r="U82" s="1" t="s">
        <v>0</v>
      </c>
      <c r="V82" s="2">
        <f>AVERAGE(V27:V35)</f>
        <v>8.6417473469653512</v>
      </c>
      <c r="W82" s="2">
        <f t="shared" ref="W82:AK82" si="37">AVERAGE(W27:W35)</f>
        <v>7.3715866621124837</v>
      </c>
      <c r="X82" s="2">
        <f t="shared" si="37"/>
        <v>10.784132661541422</v>
      </c>
      <c r="Y82" s="2">
        <f t="shared" si="37"/>
        <v>3.9357148233115931</v>
      </c>
      <c r="Z82" s="2">
        <f t="shared" si="37"/>
        <v>1.3345421938203197</v>
      </c>
      <c r="AA82" s="2">
        <f t="shared" si="37"/>
        <v>1.0595514994120847</v>
      </c>
      <c r="AB82" s="2">
        <f t="shared" si="37"/>
        <v>2.2695327196148267</v>
      </c>
      <c r="AC82" s="61">
        <f t="shared" si="37"/>
        <v>0.50890395741094485</v>
      </c>
      <c r="AD82" s="65">
        <f t="shared" si="37"/>
        <v>9.3738972505016935</v>
      </c>
      <c r="AE82" s="61">
        <f t="shared" si="37"/>
        <v>7.7475275722536026</v>
      </c>
      <c r="AF82" s="61">
        <f t="shared" si="37"/>
        <v>11.177543872171707</v>
      </c>
      <c r="AG82" s="66">
        <f t="shared" si="37"/>
        <v>4.2941890599318793</v>
      </c>
      <c r="AH82" s="2">
        <f t="shared" si="37"/>
        <v>1.6839482036036884</v>
      </c>
      <c r="AI82" s="71">
        <f t="shared" si="37"/>
        <v>1.2342545043037687</v>
      </c>
      <c r="AJ82" s="2">
        <f t="shared" si="37"/>
        <v>2.8832621069291196</v>
      </c>
      <c r="AK82" s="2">
        <f t="shared" si="37"/>
        <v>0.63119606083512392</v>
      </c>
    </row>
    <row r="83" spans="2:37" x14ac:dyDescent="0.25">
      <c r="B83" s="1" t="s">
        <v>1</v>
      </c>
      <c r="C83" s="2">
        <f>AVERAGE(C36:C44)</f>
        <v>573</v>
      </c>
      <c r="D83" s="2">
        <f t="shared" ref="D83:S83" si="38">AVERAGE(D36:D44)</f>
        <v>33.888888888888886</v>
      </c>
      <c r="E83" s="2">
        <f t="shared" si="38"/>
        <v>26.777777777777779</v>
      </c>
      <c r="F83" s="2">
        <f t="shared" si="38"/>
        <v>55</v>
      </c>
      <c r="G83" s="2">
        <f t="shared" si="38"/>
        <v>13.111111111111111</v>
      </c>
      <c r="H83" s="2">
        <f t="shared" si="38"/>
        <v>4.8888888888888893</v>
      </c>
      <c r="I83" s="2">
        <f t="shared" si="38"/>
        <v>3.7777777777777777</v>
      </c>
      <c r="J83" s="2">
        <f t="shared" si="38"/>
        <v>11.111111111111111</v>
      </c>
      <c r="K83" s="26">
        <f t="shared" si="38"/>
        <v>1.5555555555555556</v>
      </c>
      <c r="L83" s="2">
        <f t="shared" si="38"/>
        <v>35.444444444444443</v>
      </c>
      <c r="M83" s="2">
        <f t="shared" si="38"/>
        <v>28.666666666666668</v>
      </c>
      <c r="N83" s="2">
        <f t="shared" si="38"/>
        <v>56.555555555555557</v>
      </c>
      <c r="O83" s="2">
        <f t="shared" si="38"/>
        <v>13.555555555555555</v>
      </c>
      <c r="P83" s="2">
        <f t="shared" si="38"/>
        <v>5.333333333333333</v>
      </c>
      <c r="Q83" s="2">
        <f t="shared" si="38"/>
        <v>4.1111111111111107</v>
      </c>
      <c r="R83" s="2">
        <f t="shared" si="38"/>
        <v>13</v>
      </c>
      <c r="S83" s="2">
        <f t="shared" si="38"/>
        <v>1.5555555555555556</v>
      </c>
      <c r="U83" s="1" t="s">
        <v>1</v>
      </c>
      <c r="V83" s="2">
        <f>AVERAGE(V36:V44)</f>
        <v>5.7755321948689886</v>
      </c>
      <c r="W83" s="2">
        <f t="shared" ref="W83:AK83" si="39">AVERAGE(W36:W44)</f>
        <v>4.7235505769439117</v>
      </c>
      <c r="X83" s="2">
        <f t="shared" si="39"/>
        <v>9.4910304713831923</v>
      </c>
      <c r="Y83" s="2">
        <f t="shared" si="39"/>
        <v>2.2546040485338814</v>
      </c>
      <c r="Z83" s="2">
        <f t="shared" si="39"/>
        <v>0.82956658557201601</v>
      </c>
      <c r="AA83" s="2">
        <f t="shared" si="39"/>
        <v>0.76349968544480384</v>
      </c>
      <c r="AB83" s="2">
        <f t="shared" si="39"/>
        <v>1.8792652756802444</v>
      </c>
      <c r="AC83" s="61">
        <f t="shared" si="39"/>
        <v>0.30021332156386776</v>
      </c>
      <c r="AD83" s="65">
        <f t="shared" si="39"/>
        <v>6.0201164017173472</v>
      </c>
      <c r="AE83" s="61">
        <f t="shared" si="39"/>
        <v>5.0866632986414766</v>
      </c>
      <c r="AF83" s="61">
        <f t="shared" si="39"/>
        <v>9.7461031768977406</v>
      </c>
      <c r="AG83" s="66">
        <f t="shared" si="39"/>
        <v>2.3244852504905555</v>
      </c>
      <c r="AH83" s="2">
        <f t="shared" si="39"/>
        <v>0.89944778752868948</v>
      </c>
      <c r="AI83" s="71">
        <f t="shared" si="39"/>
        <v>0.815910586912309</v>
      </c>
      <c r="AJ83" s="2">
        <f t="shared" si="39"/>
        <v>2.2318894987116176</v>
      </c>
      <c r="AK83" s="2">
        <f t="shared" si="39"/>
        <v>0.30021332156386776</v>
      </c>
    </row>
    <row r="84" spans="2:37" x14ac:dyDescent="0.25">
      <c r="B84" s="1" t="s">
        <v>4</v>
      </c>
      <c r="C84" s="2">
        <f>AVERAGE(C45:C52)</f>
        <v>614.625</v>
      </c>
      <c r="D84" s="2">
        <f t="shared" ref="D84:S84" si="40">AVERAGE(D45:D52)</f>
        <v>32.125</v>
      </c>
      <c r="E84" s="2">
        <f t="shared" si="40"/>
        <v>36</v>
      </c>
      <c r="F84" s="2">
        <f t="shared" si="40"/>
        <v>51.75</v>
      </c>
      <c r="G84" s="2">
        <f t="shared" si="40"/>
        <v>14.25</v>
      </c>
      <c r="H84" s="2">
        <f t="shared" si="40"/>
        <v>5.125</v>
      </c>
      <c r="I84" s="2">
        <f t="shared" si="40"/>
        <v>4.75</v>
      </c>
      <c r="J84" s="2">
        <f t="shared" si="40"/>
        <v>12.375</v>
      </c>
      <c r="K84" s="26">
        <f t="shared" si="40"/>
        <v>2.875</v>
      </c>
      <c r="L84" s="2">
        <f t="shared" si="40"/>
        <v>33.375</v>
      </c>
      <c r="M84" s="2">
        <f t="shared" si="40"/>
        <v>37.375</v>
      </c>
      <c r="N84" s="2">
        <f t="shared" si="40"/>
        <v>54.375</v>
      </c>
      <c r="O84" s="2">
        <f t="shared" si="40"/>
        <v>15.125</v>
      </c>
      <c r="P84" s="2">
        <f t="shared" si="40"/>
        <v>6</v>
      </c>
      <c r="Q84" s="2">
        <f t="shared" si="40"/>
        <v>5.625</v>
      </c>
      <c r="R84" s="2">
        <f t="shared" si="40"/>
        <v>15.375</v>
      </c>
      <c r="S84" s="2">
        <f t="shared" si="40"/>
        <v>3.5</v>
      </c>
      <c r="U84" s="1" t="s">
        <v>4</v>
      </c>
      <c r="V84" s="2">
        <f>AVERAGE(V45:V52)</f>
        <v>5.0167365908583186</v>
      </c>
      <c r="W84" s="2">
        <f t="shared" ref="W84:AK84" si="41">AVERAGE(W45:W52)</f>
        <v>5.3454628756251505</v>
      </c>
      <c r="X84" s="2">
        <f t="shared" si="41"/>
        <v>8.2563720961135854</v>
      </c>
      <c r="Y84" s="2">
        <f t="shared" si="41"/>
        <v>2.0982689204040512</v>
      </c>
      <c r="Z84" s="2">
        <f t="shared" si="41"/>
        <v>0.82358477266036201</v>
      </c>
      <c r="AA84" s="2">
        <f t="shared" si="41"/>
        <v>0.73601425660270148</v>
      </c>
      <c r="AB84" s="2">
        <f t="shared" si="41"/>
        <v>2.0612266529123753</v>
      </c>
      <c r="AC84" s="61">
        <f t="shared" si="41"/>
        <v>0.48656942474190434</v>
      </c>
      <c r="AD84" s="65">
        <f t="shared" si="41"/>
        <v>5.1754430849200501</v>
      </c>
      <c r="AE84" s="61">
        <f t="shared" si="41"/>
        <v>5.5325270633179793</v>
      </c>
      <c r="AF84" s="61">
        <f t="shared" si="41"/>
        <v>8.6921205487444109</v>
      </c>
      <c r="AG84" s="66">
        <f t="shared" si="41"/>
        <v>2.2104245926935042</v>
      </c>
      <c r="AH84" s="2">
        <f t="shared" si="41"/>
        <v>1.0054695535681191</v>
      </c>
      <c r="AI84" s="71">
        <f t="shared" si="41"/>
        <v>0.89600770254663442</v>
      </c>
      <c r="AJ84" s="2">
        <f t="shared" si="41"/>
        <v>2.6159966506054397</v>
      </c>
      <c r="AK84" s="2">
        <f t="shared" si="41"/>
        <v>0.61396140694664914</v>
      </c>
    </row>
    <row r="85" spans="2:37" x14ac:dyDescent="0.25">
      <c r="B85" s="1" t="s">
        <v>5</v>
      </c>
      <c r="C85" s="2">
        <f>AVERAGE(C53:C57)</f>
        <v>533.20000000000005</v>
      </c>
      <c r="D85" s="2">
        <f t="shared" ref="D85:S85" si="42">AVERAGE(D53:D57)</f>
        <v>20</v>
      </c>
      <c r="E85" s="2">
        <f t="shared" si="42"/>
        <v>15.4</v>
      </c>
      <c r="F85" s="2">
        <f t="shared" si="42"/>
        <v>39.4</v>
      </c>
      <c r="G85" s="2">
        <f t="shared" si="42"/>
        <v>6.2</v>
      </c>
      <c r="H85" s="2">
        <f t="shared" si="42"/>
        <v>2.4</v>
      </c>
      <c r="I85" s="2">
        <f t="shared" si="42"/>
        <v>1.8</v>
      </c>
      <c r="J85" s="2">
        <f t="shared" si="42"/>
        <v>7</v>
      </c>
      <c r="K85" s="26">
        <f t="shared" si="42"/>
        <v>0.8</v>
      </c>
      <c r="L85" s="2">
        <f t="shared" si="42"/>
        <v>20.6</v>
      </c>
      <c r="M85" s="2">
        <f t="shared" si="42"/>
        <v>16.399999999999999</v>
      </c>
      <c r="N85" s="2">
        <f t="shared" si="42"/>
        <v>40.6</v>
      </c>
      <c r="O85" s="2">
        <f t="shared" si="42"/>
        <v>6.6</v>
      </c>
      <c r="P85" s="2">
        <f t="shared" si="42"/>
        <v>2.8</v>
      </c>
      <c r="Q85" s="2">
        <f t="shared" si="42"/>
        <v>2.2000000000000002</v>
      </c>
      <c r="R85" s="2">
        <f t="shared" si="42"/>
        <v>9.1999999999999993</v>
      </c>
      <c r="S85" s="2">
        <f t="shared" si="42"/>
        <v>1</v>
      </c>
      <c r="U85" s="1" t="s">
        <v>5</v>
      </c>
      <c r="V85" s="2">
        <f>AVERAGE(V53:V57)</f>
        <v>3.5584914344702625</v>
      </c>
      <c r="W85" s="2">
        <f t="shared" ref="W85:AK85" si="43">AVERAGE(W53:W57)</f>
        <v>2.6504690072839403</v>
      </c>
      <c r="X85" s="2">
        <f t="shared" si="43"/>
        <v>7.038009765701065</v>
      </c>
      <c r="Y85" s="2">
        <f t="shared" si="43"/>
        <v>1.1005372547070538</v>
      </c>
      <c r="Z85" s="2">
        <f t="shared" si="43"/>
        <v>0.41678917343025512</v>
      </c>
      <c r="AA85" s="2">
        <f t="shared" si="43"/>
        <v>0.4005279340208398</v>
      </c>
      <c r="AB85" s="2">
        <f t="shared" si="43"/>
        <v>1.5455947231432812</v>
      </c>
      <c r="AC85" s="61">
        <f t="shared" si="43"/>
        <v>0.14830487875354598</v>
      </c>
      <c r="AD85" s="65">
        <f t="shared" si="43"/>
        <v>3.6472243095129229</v>
      </c>
      <c r="AE85" s="61">
        <f t="shared" si="43"/>
        <v>2.8062525623371242</v>
      </c>
      <c r="AF85" s="61">
        <f t="shared" si="43"/>
        <v>7.22596443630942</v>
      </c>
      <c r="AG85" s="66">
        <f t="shared" si="43"/>
        <v>1.16343033646806</v>
      </c>
      <c r="AH85" s="2">
        <f t="shared" si="43"/>
        <v>0.4885005263449364</v>
      </c>
      <c r="AI85" s="71">
        <f t="shared" si="43"/>
        <v>0.56474268892013957</v>
      </c>
      <c r="AJ85" s="2">
        <f t="shared" si="43"/>
        <v>2.0656132064565162</v>
      </c>
      <c r="AK85" s="2">
        <f t="shared" si="43"/>
        <v>0.19417643838657353</v>
      </c>
    </row>
    <row r="86" spans="2:37" x14ac:dyDescent="0.25">
      <c r="B86" s="1" t="s">
        <v>9</v>
      </c>
      <c r="C86" s="2">
        <f>AVERAGE(C58:C62)</f>
        <v>543.79999999999995</v>
      </c>
      <c r="D86" s="2">
        <f t="shared" ref="D86:S86" si="44">AVERAGE(D58:D62)</f>
        <v>31</v>
      </c>
      <c r="E86" s="2">
        <f t="shared" si="44"/>
        <v>23.2</v>
      </c>
      <c r="F86" s="2">
        <f t="shared" si="44"/>
        <v>41.6</v>
      </c>
      <c r="G86" s="2">
        <f t="shared" si="44"/>
        <v>8.4</v>
      </c>
      <c r="H86" s="2">
        <f t="shared" si="44"/>
        <v>1.8</v>
      </c>
      <c r="I86" s="2">
        <f t="shared" si="44"/>
        <v>1.2</v>
      </c>
      <c r="J86" s="2">
        <f t="shared" si="44"/>
        <v>6</v>
      </c>
      <c r="K86" s="26">
        <f t="shared" si="44"/>
        <v>0.4</v>
      </c>
      <c r="L86" s="2">
        <f t="shared" si="44"/>
        <v>32.6</v>
      </c>
      <c r="M86" s="2">
        <f t="shared" si="44"/>
        <v>24</v>
      </c>
      <c r="N86" s="2">
        <f t="shared" si="44"/>
        <v>42.8</v>
      </c>
      <c r="O86" s="2">
        <f t="shared" si="44"/>
        <v>8.8000000000000007</v>
      </c>
      <c r="P86" s="2">
        <f t="shared" si="44"/>
        <v>1.8</v>
      </c>
      <c r="Q86" s="2">
        <f t="shared" si="44"/>
        <v>1.2</v>
      </c>
      <c r="R86" s="2">
        <f t="shared" si="44"/>
        <v>7.4</v>
      </c>
      <c r="S86" s="2">
        <f t="shared" si="44"/>
        <v>0.4</v>
      </c>
      <c r="U86" s="1" t="s">
        <v>9</v>
      </c>
      <c r="V86" s="2">
        <f>AVERAGE(V58:V62)</f>
        <v>5.3582460132961192</v>
      </c>
      <c r="W86" s="2">
        <f t="shared" ref="W86:AK86" si="45">AVERAGE(W58:W62)</f>
        <v>3.9188513922298656</v>
      </c>
      <c r="X86" s="2">
        <f t="shared" si="45"/>
        <v>6.7325748358779123</v>
      </c>
      <c r="Y86" s="2">
        <f t="shared" si="45"/>
        <v>1.4306153885318387</v>
      </c>
      <c r="Z86" s="2">
        <f t="shared" si="45"/>
        <v>0.30831476873407376</v>
      </c>
      <c r="AA86" s="2">
        <f t="shared" si="45"/>
        <v>0.17271472762714485</v>
      </c>
      <c r="AB86" s="2">
        <f t="shared" si="45"/>
        <v>1.1582963328369993</v>
      </c>
      <c r="AC86" s="61">
        <f t="shared" si="45"/>
        <v>5.6372356317320536E-2</v>
      </c>
      <c r="AD86" s="65">
        <f t="shared" si="45"/>
        <v>5.6863434150931438</v>
      </c>
      <c r="AE86" s="61">
        <f t="shared" si="45"/>
        <v>4.0247857668147251</v>
      </c>
      <c r="AF86" s="61">
        <f t="shared" si="45"/>
        <v>6.9190767122112913</v>
      </c>
      <c r="AG86" s="66">
        <f t="shared" si="45"/>
        <v>1.4812482999242438</v>
      </c>
      <c r="AH86" s="2">
        <f t="shared" si="45"/>
        <v>0.30831476873407376</v>
      </c>
      <c r="AI86" s="71">
        <f t="shared" si="45"/>
        <v>0.17271472762714485</v>
      </c>
      <c r="AJ86" s="2">
        <f t="shared" si="45"/>
        <v>1.4519586820316355</v>
      </c>
      <c r="AK86" s="2">
        <f t="shared" si="45"/>
        <v>5.6372356317320536E-2</v>
      </c>
    </row>
    <row r="87" spans="2:37" x14ac:dyDescent="0.25">
      <c r="B87" s="1" t="s">
        <v>6</v>
      </c>
      <c r="C87" s="2">
        <f>AVERAGE(C63:C69)</f>
        <v>583</v>
      </c>
      <c r="D87" s="2">
        <f t="shared" ref="D87:S87" si="46">AVERAGE(D63:D69)</f>
        <v>36</v>
      </c>
      <c r="E87" s="2">
        <f t="shared" si="46"/>
        <v>30.428571428571427</v>
      </c>
      <c r="F87" s="2">
        <f t="shared" si="46"/>
        <v>58</v>
      </c>
      <c r="G87" s="2">
        <f t="shared" si="46"/>
        <v>14.428571428571429</v>
      </c>
      <c r="H87" s="2">
        <f t="shared" si="46"/>
        <v>5.2857142857142856</v>
      </c>
      <c r="I87" s="2">
        <f t="shared" si="46"/>
        <v>4.7142857142857144</v>
      </c>
      <c r="J87" s="2">
        <f t="shared" si="46"/>
        <v>15.714285714285714</v>
      </c>
      <c r="K87" s="26">
        <f t="shared" si="46"/>
        <v>2.7142857142857144</v>
      </c>
      <c r="L87" s="2">
        <f t="shared" si="46"/>
        <v>37.428571428571431</v>
      </c>
      <c r="M87" s="2">
        <f t="shared" si="46"/>
        <v>31.714285714285715</v>
      </c>
      <c r="N87" s="2">
        <f t="shared" si="46"/>
        <v>59.428571428571431</v>
      </c>
      <c r="O87" s="2">
        <f t="shared" si="46"/>
        <v>14.857142857142858</v>
      </c>
      <c r="P87" s="2">
        <f t="shared" si="46"/>
        <v>6.2857142857142856</v>
      </c>
      <c r="Q87" s="2">
        <f t="shared" si="46"/>
        <v>6.1428571428571432</v>
      </c>
      <c r="R87" s="2">
        <f t="shared" si="46"/>
        <v>18.857142857142858</v>
      </c>
      <c r="S87" s="2">
        <f t="shared" si="46"/>
        <v>3.4285714285714284</v>
      </c>
      <c r="U87" s="1" t="s">
        <v>6</v>
      </c>
      <c r="V87" s="2">
        <f>AVERAGE(V63:V69)</f>
        <v>6.1749571183533449</v>
      </c>
      <c r="W87" s="2">
        <f t="shared" ref="W87:AK87" si="47">AVERAGE(W63:W69)</f>
        <v>5.2193089928938985</v>
      </c>
      <c r="X87" s="2">
        <f t="shared" si="47"/>
        <v>9.9485420240137223</v>
      </c>
      <c r="Y87" s="2">
        <f t="shared" si="47"/>
        <v>2.4748836069590787</v>
      </c>
      <c r="Z87" s="2">
        <f t="shared" si="47"/>
        <v>0.90664052928203887</v>
      </c>
      <c r="AA87" s="2">
        <f t="shared" si="47"/>
        <v>0.80862533692722371</v>
      </c>
      <c r="AB87" s="2">
        <f t="shared" si="47"/>
        <v>2.6954177897574128</v>
      </c>
      <c r="AC87" s="61">
        <f t="shared" si="47"/>
        <v>0.46557216368537124</v>
      </c>
      <c r="AD87" s="65">
        <f t="shared" si="47"/>
        <v>6.4199950992403823</v>
      </c>
      <c r="AE87" s="61">
        <f t="shared" si="47"/>
        <v>5.4398431756922321</v>
      </c>
      <c r="AF87" s="61">
        <f t="shared" si="47"/>
        <v>10.193580004900758</v>
      </c>
      <c r="AG87" s="66">
        <f t="shared" si="47"/>
        <v>2.5483950012251895</v>
      </c>
      <c r="AH87" s="2">
        <f t="shared" si="47"/>
        <v>1.0781671159029649</v>
      </c>
      <c r="AI87" s="71">
        <f t="shared" si="47"/>
        <v>1.0536633178142609</v>
      </c>
      <c r="AJ87" s="2">
        <f t="shared" si="47"/>
        <v>3.2345013477088949</v>
      </c>
      <c r="AK87" s="2">
        <f t="shared" si="47"/>
        <v>0.58809115412889013</v>
      </c>
    </row>
    <row r="88" spans="2:37" ht="15.75" thickBot="1" x14ac:dyDescent="0.3">
      <c r="B88" s="1" t="s">
        <v>7</v>
      </c>
      <c r="C88" s="2">
        <f>AVERAGE(C70:C76)</f>
        <v>583</v>
      </c>
      <c r="D88" s="2">
        <f t="shared" ref="D88:S88" si="48">AVERAGE(D70:D76)</f>
        <v>25</v>
      </c>
      <c r="E88" s="2">
        <f t="shared" si="48"/>
        <v>25</v>
      </c>
      <c r="F88" s="2">
        <f t="shared" si="48"/>
        <v>57.714285714285715</v>
      </c>
      <c r="G88" s="2">
        <f t="shared" si="48"/>
        <v>9.7142857142857135</v>
      </c>
      <c r="H88" s="2">
        <f t="shared" si="48"/>
        <v>4.5714285714285712</v>
      </c>
      <c r="I88" s="2">
        <f t="shared" si="48"/>
        <v>3.8571428571428572</v>
      </c>
      <c r="J88" s="2">
        <f t="shared" si="48"/>
        <v>13.142857142857142</v>
      </c>
      <c r="K88" s="26">
        <f t="shared" si="48"/>
        <v>1.7142857142857142</v>
      </c>
      <c r="L88" s="2">
        <f t="shared" si="48"/>
        <v>26.857142857142858</v>
      </c>
      <c r="M88" s="2">
        <f t="shared" si="48"/>
        <v>25.285714285714285</v>
      </c>
      <c r="N88" s="2">
        <f t="shared" si="48"/>
        <v>60</v>
      </c>
      <c r="O88" s="2">
        <f t="shared" si="48"/>
        <v>9.7142857142857135</v>
      </c>
      <c r="P88" s="2">
        <f t="shared" si="48"/>
        <v>5</v>
      </c>
      <c r="Q88" s="2">
        <f t="shared" si="48"/>
        <v>4.1428571428571432</v>
      </c>
      <c r="R88" s="2">
        <f t="shared" si="48"/>
        <v>16</v>
      </c>
      <c r="S88" s="2">
        <f t="shared" si="48"/>
        <v>1.7142857142857142</v>
      </c>
      <c r="U88" s="1" t="s">
        <v>7</v>
      </c>
      <c r="V88" s="2">
        <f>AVERAGE(V70:V76)</f>
        <v>4.2881646655231567</v>
      </c>
      <c r="W88" s="2">
        <f t="shared" ref="W88:AK88" si="49">AVERAGE(W70:W76)</f>
        <v>4.2881646655231558</v>
      </c>
      <c r="X88" s="2">
        <f t="shared" si="49"/>
        <v>9.8995344278363149</v>
      </c>
      <c r="Y88" s="2">
        <f t="shared" si="49"/>
        <v>1.6662582700318549</v>
      </c>
      <c r="Z88" s="2">
        <f t="shared" si="49"/>
        <v>0.78412153883851998</v>
      </c>
      <c r="AA88" s="2">
        <f t="shared" si="49"/>
        <v>0.66160254839500132</v>
      </c>
      <c r="AB88" s="2">
        <f t="shared" si="49"/>
        <v>2.2543494241607447</v>
      </c>
      <c r="AC88" s="61">
        <f t="shared" si="49"/>
        <v>0.29404557706444495</v>
      </c>
      <c r="AD88" s="67">
        <f t="shared" si="49"/>
        <v>4.6067140406763043</v>
      </c>
      <c r="AE88" s="68">
        <f t="shared" si="49"/>
        <v>4.3371722617005641</v>
      </c>
      <c r="AF88" s="68">
        <f t="shared" si="49"/>
        <v>10.291595197255575</v>
      </c>
      <c r="AG88" s="69">
        <f t="shared" si="49"/>
        <v>1.6662582700318549</v>
      </c>
      <c r="AH88" s="2">
        <f t="shared" si="49"/>
        <v>0.85763293310463118</v>
      </c>
      <c r="AI88" s="72">
        <f t="shared" si="49"/>
        <v>0.71061014457240879</v>
      </c>
      <c r="AJ88" s="2">
        <f t="shared" si="49"/>
        <v>2.7444253859348202</v>
      </c>
      <c r="AK88" s="2">
        <f t="shared" si="49"/>
        <v>0.29404557706444495</v>
      </c>
    </row>
    <row r="89" spans="2:37" ht="15.75" thickBot="1" x14ac:dyDescent="0.3"/>
    <row r="90" spans="2:37" x14ac:dyDescent="0.25">
      <c r="U90" s="1" t="s">
        <v>2</v>
      </c>
      <c r="V90" s="2">
        <f>_xlfn.STDEV.S(V3:V10)/SQRT(COUNT(V3:V10))</f>
        <v>1.2200009831711793</v>
      </c>
      <c r="W90" s="40">
        <f t="shared" ref="W90:AK90" si="50">_xlfn.STDEV.S(W3:W10)/SQRT(COUNT(W3:W10))</f>
        <v>1.2314689502109795</v>
      </c>
      <c r="X90" s="40">
        <f t="shared" si="50"/>
        <v>1.1260495289292138</v>
      </c>
      <c r="Y90" s="40">
        <f t="shared" si="50"/>
        <v>0.74396703426579269</v>
      </c>
      <c r="Z90" s="40">
        <f t="shared" si="50"/>
        <v>0.29165197397859505</v>
      </c>
      <c r="AA90" s="40">
        <f t="shared" si="50"/>
        <v>0.27021747014358816</v>
      </c>
      <c r="AB90" s="40">
        <f t="shared" si="50"/>
        <v>0.20355352789502831</v>
      </c>
      <c r="AC90" s="49">
        <f t="shared" si="50"/>
        <v>0.17107464847322196</v>
      </c>
      <c r="AD90" s="50">
        <f t="shared" si="50"/>
        <v>1.2347943124496306</v>
      </c>
      <c r="AE90" s="51">
        <f t="shared" si="50"/>
        <v>1.3543973130683178</v>
      </c>
      <c r="AF90" s="51">
        <f t="shared" si="50"/>
        <v>1.1507611047011421</v>
      </c>
      <c r="AG90" s="52">
        <f t="shared" si="50"/>
        <v>0.74171393215213699</v>
      </c>
      <c r="AH90" s="40">
        <f t="shared" si="50"/>
        <v>0.33920654863923361</v>
      </c>
      <c r="AI90" s="58">
        <f t="shared" si="50"/>
        <v>0.31663591522828549</v>
      </c>
      <c r="AJ90" s="40">
        <f t="shared" si="50"/>
        <v>0.23468696060656766</v>
      </c>
      <c r="AK90" s="40">
        <f t="shared" si="50"/>
        <v>0.18531176451655204</v>
      </c>
    </row>
    <row r="91" spans="2:37" x14ac:dyDescent="0.25">
      <c r="U91" s="1" t="s">
        <v>3</v>
      </c>
      <c r="V91" s="2">
        <f>_xlfn.STDEV.S(V11:V18)/SQRT(COUNT(V11:V18))</f>
        <v>0.72548787721355368</v>
      </c>
      <c r="W91" s="40">
        <f t="shared" ref="W91:AK91" si="51">_xlfn.STDEV.S(W11:W18)/SQRT(COUNT(W11:W18))</f>
        <v>0.78391736094357145</v>
      </c>
      <c r="X91" s="40">
        <f t="shared" si="51"/>
        <v>0.82279615688576013</v>
      </c>
      <c r="Y91" s="40">
        <f t="shared" si="51"/>
        <v>0.5311903472627616</v>
      </c>
      <c r="Z91" s="40">
        <f t="shared" si="51"/>
        <v>0.16082301840163366</v>
      </c>
      <c r="AA91" s="40">
        <f t="shared" si="51"/>
        <v>0.1506352695863617</v>
      </c>
      <c r="AB91" s="40">
        <f t="shared" si="51"/>
        <v>0.29214857153010715</v>
      </c>
      <c r="AC91" s="49">
        <f t="shared" si="51"/>
        <v>0.11390736553366539</v>
      </c>
      <c r="AD91" s="53">
        <f t="shared" si="51"/>
        <v>0.86236472427440791</v>
      </c>
      <c r="AE91" s="49">
        <f t="shared" si="51"/>
        <v>0.81159072458627091</v>
      </c>
      <c r="AF91" s="49">
        <f t="shared" si="51"/>
        <v>0.88248116550541311</v>
      </c>
      <c r="AG91" s="54">
        <f t="shared" si="51"/>
        <v>0.56504796795702106</v>
      </c>
      <c r="AH91" s="40">
        <f t="shared" si="51"/>
        <v>0.24064513098173382</v>
      </c>
      <c r="AI91" s="59">
        <f t="shared" si="51"/>
        <v>0.20094978421924833</v>
      </c>
      <c r="AJ91" s="40">
        <f t="shared" si="51"/>
        <v>0.39116743432476392</v>
      </c>
      <c r="AK91" s="40">
        <f t="shared" si="51"/>
        <v>0.16239126749466806</v>
      </c>
    </row>
    <row r="92" spans="2:37" x14ac:dyDescent="0.25">
      <c r="U92" s="1" t="s">
        <v>8</v>
      </c>
      <c r="V92" s="2">
        <f>_xlfn.STDEV.S(V19:V26)/SQRT(COUNT(V19:V26))</f>
        <v>0.58065616961196542</v>
      </c>
      <c r="W92" s="40">
        <f t="shared" ref="W92:AK92" si="52">_xlfn.STDEV.S(W19:W26)/SQRT(COUNT(W19:W26))</f>
        <v>0.72752554956815696</v>
      </c>
      <c r="X92" s="40">
        <f t="shared" si="52"/>
        <v>0.83794548226223509</v>
      </c>
      <c r="Y92" s="40">
        <f t="shared" si="52"/>
        <v>0.49659378719264996</v>
      </c>
      <c r="Z92" s="40">
        <f t="shared" si="52"/>
        <v>0.21888940826788966</v>
      </c>
      <c r="AA92" s="40">
        <f t="shared" si="52"/>
        <v>0.10569187106587348</v>
      </c>
      <c r="AB92" s="40">
        <f t="shared" si="52"/>
        <v>0.16508518832732438</v>
      </c>
      <c r="AC92" s="49">
        <f t="shared" si="52"/>
        <v>0.11577859863801993</v>
      </c>
      <c r="AD92" s="53">
        <f t="shared" si="52"/>
        <v>0.61059958384775814</v>
      </c>
      <c r="AE92" s="49">
        <f t="shared" si="52"/>
        <v>0.75057862360035588</v>
      </c>
      <c r="AF92" s="49">
        <f t="shared" si="52"/>
        <v>0.85769680573721119</v>
      </c>
      <c r="AG92" s="54">
        <f t="shared" si="52"/>
        <v>0.53390266841931688</v>
      </c>
      <c r="AH92" s="40">
        <f t="shared" si="52"/>
        <v>0.29236891925562153</v>
      </c>
      <c r="AI92" s="59">
        <f t="shared" si="52"/>
        <v>8.8184411567095833E-2</v>
      </c>
      <c r="AJ92" s="40">
        <f t="shared" si="52"/>
        <v>0.19753520348049391</v>
      </c>
      <c r="AK92" s="40">
        <f t="shared" si="52"/>
        <v>0.11172918813307442</v>
      </c>
    </row>
    <row r="93" spans="2:37" x14ac:dyDescent="0.25">
      <c r="U93" s="1" t="s">
        <v>0</v>
      </c>
      <c r="V93" s="2">
        <f>_xlfn.STDEV.S(V27:V35)/SQRT(COUNT(V27:V35))</f>
        <v>0.77079874575505281</v>
      </c>
      <c r="W93" s="40">
        <f t="shared" ref="W93:AK93" si="53">_xlfn.STDEV.S(W27:W35)/SQRT(COUNT(W27:W35))</f>
        <v>0.56292056358871079</v>
      </c>
      <c r="X93" s="40">
        <f t="shared" si="53"/>
        <v>0.98040699421392696</v>
      </c>
      <c r="Y93" s="40">
        <f t="shared" si="53"/>
        <v>0.30581877435523575</v>
      </c>
      <c r="Z93" s="40">
        <f t="shared" si="53"/>
        <v>0.19766684356218597</v>
      </c>
      <c r="AA93" s="40">
        <f t="shared" si="53"/>
        <v>0.18898116772975207</v>
      </c>
      <c r="AB93" s="40">
        <f t="shared" si="53"/>
        <v>0.42538650321414906</v>
      </c>
      <c r="AC93" s="49">
        <f t="shared" si="53"/>
        <v>0.17675981738925753</v>
      </c>
      <c r="AD93" s="53">
        <f t="shared" si="53"/>
        <v>0.84589206826297048</v>
      </c>
      <c r="AE93" s="49">
        <f t="shared" si="53"/>
        <v>0.62093634171604806</v>
      </c>
      <c r="AF93" s="49">
        <f t="shared" si="53"/>
        <v>1.0061873419111855</v>
      </c>
      <c r="AG93" s="54">
        <f t="shared" si="53"/>
        <v>0.39307145335461141</v>
      </c>
      <c r="AH93" s="40">
        <f t="shared" si="53"/>
        <v>0.29053840125227431</v>
      </c>
      <c r="AI93" s="59">
        <f t="shared" si="53"/>
        <v>0.24730922519800488</v>
      </c>
      <c r="AJ93" s="40">
        <f t="shared" si="53"/>
        <v>0.55652357565504385</v>
      </c>
      <c r="AK93" s="40">
        <f t="shared" si="53"/>
        <v>0.22787968941561823</v>
      </c>
    </row>
    <row r="94" spans="2:37" x14ac:dyDescent="0.25">
      <c r="U94" s="1" t="s">
        <v>1</v>
      </c>
      <c r="V94" s="2">
        <f>_xlfn.STDEV.S(V36:V44)/SQRT(COUNT(V36:V44))</f>
        <v>0.57012700292153029</v>
      </c>
      <c r="W94" s="40">
        <f t="shared" ref="W94:AK94" si="54">_xlfn.STDEV.S(W36:W44)/SQRT(COUNT(W36:W44))</f>
        <v>0.26143815487765759</v>
      </c>
      <c r="X94" s="40">
        <f t="shared" si="54"/>
        <v>1.0087494232852807</v>
      </c>
      <c r="Y94" s="40">
        <f t="shared" si="54"/>
        <v>0.3408242007051116</v>
      </c>
      <c r="Z94" s="40">
        <f t="shared" si="54"/>
        <v>0.15643220399788108</v>
      </c>
      <c r="AA94" s="40">
        <f t="shared" si="54"/>
        <v>0.20015634694414</v>
      </c>
      <c r="AB94" s="40">
        <f t="shared" si="54"/>
        <v>0.31172575441877287</v>
      </c>
      <c r="AC94" s="49">
        <f t="shared" si="54"/>
        <v>9.0203161805593457E-2</v>
      </c>
      <c r="AD94" s="53">
        <f t="shared" si="54"/>
        <v>0.63716616490077194</v>
      </c>
      <c r="AE94" s="49">
        <f t="shared" si="54"/>
        <v>0.32210614215789241</v>
      </c>
      <c r="AF94" s="49">
        <f t="shared" si="54"/>
        <v>1.0614605971096842</v>
      </c>
      <c r="AG94" s="54">
        <f t="shared" si="54"/>
        <v>0.36207755333445163</v>
      </c>
      <c r="AH94" s="40">
        <f t="shared" si="54"/>
        <v>0.18276551044746989</v>
      </c>
      <c r="AI94" s="59">
        <f t="shared" si="54"/>
        <v>0.20259873369912618</v>
      </c>
      <c r="AJ94" s="40">
        <f t="shared" si="54"/>
        <v>0.39516670517050589</v>
      </c>
      <c r="AK94" s="40">
        <f t="shared" si="54"/>
        <v>9.0203161805593457E-2</v>
      </c>
    </row>
    <row r="95" spans="2:37" x14ac:dyDescent="0.25">
      <c r="U95" s="1" t="s">
        <v>4</v>
      </c>
      <c r="V95" s="2">
        <f>_xlfn.STDEV.S(V45:V52)/SQRT(COUNT(V45:V52))</f>
        <v>0.65553899973910001</v>
      </c>
      <c r="W95" s="40">
        <f t="shared" ref="W95:AK95" si="55">_xlfn.STDEV.S(W45:W52)/SQRT(COUNT(W45:W52))</f>
        <v>0.8329521119149661</v>
      </c>
      <c r="X95" s="40">
        <f t="shared" si="55"/>
        <v>0.63407769292739868</v>
      </c>
      <c r="Y95" s="40">
        <f t="shared" si="55"/>
        <v>0.38032384706574107</v>
      </c>
      <c r="Z95" s="40">
        <f t="shared" si="55"/>
        <v>0.15499565943980889</v>
      </c>
      <c r="AA95" s="40">
        <f t="shared" si="55"/>
        <v>0.1463891732923169</v>
      </c>
      <c r="AB95" s="40">
        <f t="shared" si="55"/>
        <v>0.28227373375046894</v>
      </c>
      <c r="AC95" s="49">
        <f t="shared" si="55"/>
        <v>0.13505073861986086</v>
      </c>
      <c r="AD95" s="53">
        <f t="shared" si="55"/>
        <v>0.68044795723174212</v>
      </c>
      <c r="AE95" s="49">
        <f t="shared" si="55"/>
        <v>0.88450697265403688</v>
      </c>
      <c r="AF95" s="49">
        <f t="shared" si="55"/>
        <v>0.71761110115150084</v>
      </c>
      <c r="AG95" s="54">
        <f t="shared" si="55"/>
        <v>0.40118490698311243</v>
      </c>
      <c r="AH95" s="40">
        <f t="shared" si="55"/>
        <v>0.19313919966429813</v>
      </c>
      <c r="AI95" s="59">
        <f t="shared" si="55"/>
        <v>0.21290438740252693</v>
      </c>
      <c r="AJ95" s="40">
        <f t="shared" si="55"/>
        <v>0.41316374239657516</v>
      </c>
      <c r="AK95" s="40">
        <f t="shared" si="55"/>
        <v>0.1982142436380068</v>
      </c>
    </row>
    <row r="96" spans="2:37" x14ac:dyDescent="0.25">
      <c r="U96" s="1" t="s">
        <v>5</v>
      </c>
      <c r="V96" s="2">
        <f>_xlfn.STDEV.S(V53:V57)/SQRT(COUNT(V53:V57))</f>
        <v>0.58370553910713852</v>
      </c>
      <c r="W96" s="40">
        <f t="shared" ref="W96:AK96" si="56">_xlfn.STDEV.S(W53:W57)/SQRT(COUNT(W53:W57))</f>
        <v>0.37868266704746106</v>
      </c>
      <c r="X96" s="40">
        <f t="shared" si="56"/>
        <v>0.66015273441298294</v>
      </c>
      <c r="Y96" s="40">
        <f t="shared" si="56"/>
        <v>0.24431842404172074</v>
      </c>
      <c r="Z96" s="40">
        <f t="shared" si="56"/>
        <v>0.14836244552963673</v>
      </c>
      <c r="AA96" s="40">
        <f t="shared" si="56"/>
        <v>0.10181728708231563</v>
      </c>
      <c r="AB96" s="40">
        <f t="shared" si="56"/>
        <v>0.3811702662657282</v>
      </c>
      <c r="AC96" s="49">
        <f t="shared" si="56"/>
        <v>8.3885834953197E-2</v>
      </c>
      <c r="AD96" s="53">
        <f t="shared" si="56"/>
        <v>0.61642849601607241</v>
      </c>
      <c r="AE96" s="49">
        <f t="shared" si="56"/>
        <v>0.44369036540715123</v>
      </c>
      <c r="AF96" s="49">
        <f t="shared" si="56"/>
        <v>0.79681868602235928</v>
      </c>
      <c r="AG96" s="54">
        <f t="shared" si="56"/>
        <v>0.29727434852323514</v>
      </c>
      <c r="AH96" s="40">
        <f t="shared" si="56"/>
        <v>0.18787258525086356</v>
      </c>
      <c r="AI96" s="59">
        <f t="shared" si="56"/>
        <v>0.20413172122171069</v>
      </c>
      <c r="AJ96" s="40">
        <f t="shared" si="56"/>
        <v>0.55995479791401914</v>
      </c>
      <c r="AK96" s="40">
        <f t="shared" si="56"/>
        <v>0.12751684265220539</v>
      </c>
    </row>
    <row r="97" spans="2:37" x14ac:dyDescent="0.25">
      <c r="U97" s="1" t="s">
        <v>9</v>
      </c>
      <c r="V97" s="2">
        <f>_xlfn.STDEV.S(V58:V62)/SQRT(COUNT(V58:V62))</f>
        <v>0.74142358683706888</v>
      </c>
      <c r="W97" s="40">
        <f t="shared" ref="W97:AK97" si="57">_xlfn.STDEV.S(W58:W62)/SQRT(COUNT(W58:W62))</f>
        <v>0.56325832192900982</v>
      </c>
      <c r="X97" s="40">
        <f t="shared" si="57"/>
        <v>1.3596915252110284</v>
      </c>
      <c r="Y97" s="40">
        <f t="shared" si="57"/>
        <v>0.24508430474260054</v>
      </c>
      <c r="Z97" s="40">
        <f t="shared" si="57"/>
        <v>0.11847734695919153</v>
      </c>
      <c r="AA97" s="40">
        <f t="shared" si="57"/>
        <v>7.1167889879877835E-2</v>
      </c>
      <c r="AB97" s="40">
        <f t="shared" si="57"/>
        <v>0.2224551361264335</v>
      </c>
      <c r="AC97" s="49">
        <f t="shared" si="57"/>
        <v>3.4817800423295589E-2</v>
      </c>
      <c r="AD97" s="53">
        <f t="shared" si="57"/>
        <v>0.69490431959132859</v>
      </c>
      <c r="AE97" s="49">
        <f t="shared" si="57"/>
        <v>0.58940608311786935</v>
      </c>
      <c r="AF97" s="49">
        <f t="shared" si="57"/>
        <v>1.3898055179142292</v>
      </c>
      <c r="AG97" s="54">
        <f t="shared" si="57"/>
        <v>0.27872160190158612</v>
      </c>
      <c r="AH97" s="40">
        <f t="shared" si="57"/>
        <v>0.11847734695919153</v>
      </c>
      <c r="AI97" s="59">
        <f t="shared" si="57"/>
        <v>7.1167889879877835E-2</v>
      </c>
      <c r="AJ97" s="40">
        <f t="shared" si="57"/>
        <v>0.32543183573162959</v>
      </c>
      <c r="AK97" s="40">
        <f t="shared" si="57"/>
        <v>3.4817800423295589E-2</v>
      </c>
    </row>
    <row r="98" spans="2:37" x14ac:dyDescent="0.25">
      <c r="U98" s="1" t="s">
        <v>6</v>
      </c>
      <c r="V98" s="2">
        <f>_xlfn.STDEV.S(V63:V69)/SQRT(COUNT(V63:V69))</f>
        <v>0.48659220807339681</v>
      </c>
      <c r="W98" s="40">
        <f t="shared" ref="W98:AK98" si="58">_xlfn.STDEV.S(W63:W69)/SQRT(COUNT(W63:W69))</f>
        <v>0.64381757408931073</v>
      </c>
      <c r="X98" s="40">
        <f t="shared" si="58"/>
        <v>1.0586850769268727</v>
      </c>
      <c r="Y98" s="40">
        <f t="shared" si="58"/>
        <v>0.4473760985911675</v>
      </c>
      <c r="Z98" s="40">
        <f t="shared" si="58"/>
        <v>0.15302617001711336</v>
      </c>
      <c r="AA98" s="40">
        <f t="shared" si="58"/>
        <v>0.16619284447746316</v>
      </c>
      <c r="AB98" s="40">
        <f t="shared" si="58"/>
        <v>0.41124547497097469</v>
      </c>
      <c r="AC98" s="49">
        <f t="shared" si="58"/>
        <v>0.11666141351862863</v>
      </c>
      <c r="AD98" s="53">
        <f t="shared" si="58"/>
        <v>0.57848341777753154</v>
      </c>
      <c r="AE98" s="49">
        <f t="shared" si="58"/>
        <v>0.68581457256173584</v>
      </c>
      <c r="AF98" s="49">
        <f t="shared" si="58"/>
        <v>1.0112085411400829</v>
      </c>
      <c r="AG98" s="54">
        <f t="shared" si="58"/>
        <v>0.45755006368246109</v>
      </c>
      <c r="AH98" s="40">
        <f t="shared" si="58"/>
        <v>0.27176026724845415</v>
      </c>
      <c r="AI98" s="59">
        <f t="shared" si="58"/>
        <v>0.30962821891733838</v>
      </c>
      <c r="AJ98" s="40">
        <f t="shared" si="58"/>
        <v>0.58996000260538617</v>
      </c>
      <c r="AK98" s="40">
        <f t="shared" si="58"/>
        <v>0.19755593600339488</v>
      </c>
    </row>
    <row r="99" spans="2:37" ht="15.75" thickBot="1" x14ac:dyDescent="0.3">
      <c r="U99" s="1" t="s">
        <v>7</v>
      </c>
      <c r="V99" s="2">
        <f>_xlfn.STDEV.S(V70:V76)/SQRT(COUNT(V70:V76))</f>
        <v>0.26991279329998036</v>
      </c>
      <c r="W99" s="40">
        <f t="shared" ref="W99:AK99" si="59">_xlfn.STDEV.S(W70:W76)/SQRT(COUNT(W70:W76))</f>
        <v>0.40486918994997134</v>
      </c>
      <c r="X99" s="40">
        <f t="shared" si="59"/>
        <v>1.316836936294477</v>
      </c>
      <c r="Y99" s="40">
        <f t="shared" si="59"/>
        <v>0.32783847488996948</v>
      </c>
      <c r="Z99" s="40">
        <f t="shared" si="59"/>
        <v>0.12333307907001149</v>
      </c>
      <c r="AA99" s="40">
        <f t="shared" si="59"/>
        <v>7.8768690361781801E-2</v>
      </c>
      <c r="AB99" s="40">
        <f t="shared" si="59"/>
        <v>0.30735747320471746</v>
      </c>
      <c r="AC99" s="49">
        <f t="shared" si="59"/>
        <v>8.947521971823344E-2</v>
      </c>
      <c r="AD99" s="55">
        <f t="shared" si="59"/>
        <v>0.30735747320471829</v>
      </c>
      <c r="AE99" s="56">
        <f t="shared" si="59"/>
        <v>0.42300113946660334</v>
      </c>
      <c r="AF99" s="56">
        <f t="shared" si="59"/>
        <v>1.4035065966639462</v>
      </c>
      <c r="AG99" s="57">
        <f t="shared" si="59"/>
        <v>0.32783847488996948</v>
      </c>
      <c r="AH99" s="40">
        <f t="shared" si="59"/>
        <v>0.14496642448173525</v>
      </c>
      <c r="AI99" s="60">
        <f t="shared" si="59"/>
        <v>7.876869036178194E-2</v>
      </c>
      <c r="AJ99" s="40">
        <f t="shared" si="59"/>
        <v>0.39612368383507718</v>
      </c>
      <c r="AK99" s="40">
        <f t="shared" si="59"/>
        <v>8.947521971823344E-2</v>
      </c>
    </row>
    <row r="101" spans="2:37" x14ac:dyDescent="0.25">
      <c r="B101" s="1" t="s">
        <v>2</v>
      </c>
      <c r="C101">
        <f>D79/C79</f>
        <v>0.14380302089799296</v>
      </c>
      <c r="U101" s="1" t="s">
        <v>72</v>
      </c>
      <c r="V101" s="3">
        <f>TTEST(V3:V10,V11:V18,2,2)</f>
        <v>3.7674227416512615E-3</v>
      </c>
      <c r="W101" s="3">
        <f t="shared" ref="W101:AK101" si="60">TTEST(W3:W10,W11:W18,2,2)</f>
        <v>1.3419859941509155E-2</v>
      </c>
      <c r="X101" s="3">
        <f t="shared" si="60"/>
        <v>0.25909148416278549</v>
      </c>
      <c r="Y101" s="3">
        <f t="shared" si="60"/>
        <v>1.3034501792752919E-2</v>
      </c>
      <c r="Z101" s="3">
        <f t="shared" si="60"/>
        <v>3.3230189948677387E-2</v>
      </c>
      <c r="AA101" s="3">
        <f t="shared" si="60"/>
        <v>1.3711785536715812E-4</v>
      </c>
      <c r="AB101" s="3">
        <f t="shared" si="60"/>
        <v>0.67085207094091137</v>
      </c>
      <c r="AC101" s="28">
        <f t="shared" si="60"/>
        <v>3.848115678613017E-2</v>
      </c>
      <c r="AD101" s="3">
        <f t="shared" si="60"/>
        <v>4.1475862594964686E-3</v>
      </c>
      <c r="AE101" s="3">
        <f t="shared" si="60"/>
        <v>2.4156505532672401E-2</v>
      </c>
      <c r="AF101" s="3">
        <f t="shared" si="60"/>
        <v>0.28260701207634292</v>
      </c>
      <c r="AG101" s="3">
        <f t="shared" si="60"/>
        <v>1.526956818283691E-2</v>
      </c>
      <c r="AH101" s="3">
        <f t="shared" si="60"/>
        <v>5.7656097324990371E-2</v>
      </c>
      <c r="AI101" s="3">
        <f t="shared" si="60"/>
        <v>2.8447471200386375E-4</v>
      </c>
      <c r="AJ101" s="3">
        <f t="shared" si="60"/>
        <v>0.83806743322190858</v>
      </c>
      <c r="AK101" s="3">
        <f t="shared" si="60"/>
        <v>6.0948210112337933E-2</v>
      </c>
    </row>
    <row r="102" spans="2:37" x14ac:dyDescent="0.25">
      <c r="B102" s="1" t="s">
        <v>3</v>
      </c>
      <c r="C102">
        <f t="shared" ref="C102" si="61">D80/C80</f>
        <v>9.7826086956521743E-2</v>
      </c>
      <c r="U102" s="1" t="s">
        <v>73</v>
      </c>
      <c r="V102" s="3">
        <f>TTEST(V3:V10,V27:V35,2,2)</f>
        <v>4.8803326415936172E-4</v>
      </c>
      <c r="W102" s="3">
        <f t="shared" ref="W102:AK102" si="62">TTEST(W3:W10,W27:W35,2,2)</f>
        <v>2.1349299032558553E-3</v>
      </c>
      <c r="X102" s="3">
        <f t="shared" si="62"/>
        <v>0.6338746876995035</v>
      </c>
      <c r="Y102" s="3">
        <f t="shared" si="62"/>
        <v>4.61030186532904E-3</v>
      </c>
      <c r="Z102" s="3">
        <f t="shared" si="62"/>
        <v>4.4833125669811881E-2</v>
      </c>
      <c r="AA102" s="3">
        <f t="shared" si="62"/>
        <v>1.0378579039211234E-3</v>
      </c>
      <c r="AB102" s="3">
        <f t="shared" si="62"/>
        <v>0.74987732945411123</v>
      </c>
      <c r="AC102" s="28">
        <f t="shared" si="62"/>
        <v>5.3693883412395137E-2</v>
      </c>
      <c r="AD102" s="3">
        <f t="shared" si="62"/>
        <v>7.1195550664519586E-4</v>
      </c>
      <c r="AE102" s="3">
        <f t="shared" si="62"/>
        <v>3.2096670424689401E-3</v>
      </c>
      <c r="AF102" s="3">
        <f t="shared" si="62"/>
        <v>0.60334484576662528</v>
      </c>
      <c r="AG102" s="3">
        <f t="shared" si="62"/>
        <v>7.7211406927693857E-3</v>
      </c>
      <c r="AH102" s="3">
        <f t="shared" si="62"/>
        <v>0.10987192125339028</v>
      </c>
      <c r="AI102" s="3">
        <f t="shared" si="62"/>
        <v>2.6875095436303701E-3</v>
      </c>
      <c r="AJ102" s="3">
        <f t="shared" si="62"/>
        <v>0.53646165365737142</v>
      </c>
      <c r="AK102" s="3">
        <f t="shared" si="62"/>
        <v>0.10076225761086986</v>
      </c>
    </row>
    <row r="103" spans="2:37" x14ac:dyDescent="0.25">
      <c r="B103" s="1" t="s">
        <v>8</v>
      </c>
      <c r="C103">
        <f t="shared" ref="C103:C110" si="63">D81/C81</f>
        <v>0.10158554572271386</v>
      </c>
      <c r="U103" s="1" t="s">
        <v>76</v>
      </c>
      <c r="V103" s="3">
        <f>TTEST(V11:V18,V27:V35,2,2)</f>
        <v>0.23562339465951992</v>
      </c>
      <c r="W103" s="3">
        <f t="shared" ref="W103:AK103" si="64">TTEST(W11:W18,W27:W35,2,2)</f>
        <v>0.47759807357312689</v>
      </c>
      <c r="X103" s="3">
        <f t="shared" si="64"/>
        <v>0.49031655564824028</v>
      </c>
      <c r="Y103" s="3">
        <f t="shared" si="64"/>
        <v>0.95280724779759229</v>
      </c>
      <c r="Z103" s="3">
        <f t="shared" si="64"/>
        <v>0.90763267376707879</v>
      </c>
      <c r="AA103" s="3">
        <f t="shared" si="64"/>
        <v>0.25234773747396522</v>
      </c>
      <c r="AB103" s="3">
        <f t="shared" si="64"/>
        <v>0.56176203152064108</v>
      </c>
      <c r="AC103" s="28">
        <f t="shared" si="64"/>
        <v>0.82574123715955006</v>
      </c>
      <c r="AD103" s="3">
        <f t="shared" si="64"/>
        <v>0.3887761035550602</v>
      </c>
      <c r="AE103" s="3">
        <f t="shared" si="64"/>
        <v>0.32405241109516159</v>
      </c>
      <c r="AF103" s="3">
        <f t="shared" si="64"/>
        <v>0.55723791838344527</v>
      </c>
      <c r="AG103" s="3">
        <f t="shared" si="64"/>
        <v>0.90899929432000026</v>
      </c>
      <c r="AH103" s="3">
        <f t="shared" si="64"/>
        <v>0.78666214388395561</v>
      </c>
      <c r="AI103" s="3">
        <f t="shared" si="64"/>
        <v>0.26668625457140649</v>
      </c>
      <c r="AJ103" s="3">
        <f t="shared" si="64"/>
        <v>0.48859938929562063</v>
      </c>
      <c r="AK103" s="3">
        <f t="shared" si="64"/>
        <v>0.94527249002152103</v>
      </c>
    </row>
    <row r="104" spans="2:37" x14ac:dyDescent="0.25">
      <c r="B104" s="1" t="s">
        <v>0</v>
      </c>
      <c r="C104">
        <f t="shared" si="63"/>
        <v>8.4349003675759329E-2</v>
      </c>
      <c r="U104" s="1" t="s">
        <v>75</v>
      </c>
      <c r="V104" s="3">
        <f>TTEST(V11:V18,V36:V44,2,2)</f>
        <v>3.5679236938797033E-4</v>
      </c>
      <c r="W104" s="3">
        <f t="shared" ref="W104:AK104" si="65">TTEST(W11:W18,W36:W44,2,2)</f>
        <v>7.0741436517551912E-4</v>
      </c>
      <c r="X104" s="3">
        <f t="shared" si="65"/>
        <v>0.78076398640386557</v>
      </c>
      <c r="Y104" s="3">
        <f t="shared" si="65"/>
        <v>1.7559613624221194E-2</v>
      </c>
      <c r="Z104" s="3">
        <f t="shared" si="65"/>
        <v>5.2023136254345875E-2</v>
      </c>
      <c r="AA104" s="3">
        <f t="shared" si="65"/>
        <v>0.98993440291444323</v>
      </c>
      <c r="AB104" s="3">
        <f t="shared" si="65"/>
        <v>0.86206888448436592</v>
      </c>
      <c r="AC104" s="28">
        <f t="shared" si="65"/>
        <v>9.3765862077844181E-2</v>
      </c>
      <c r="AD104" s="3">
        <f t="shared" si="65"/>
        <v>7.8420197970885223E-4</v>
      </c>
      <c r="AE104" s="3">
        <f t="shared" si="65"/>
        <v>5.0119123347205897E-4</v>
      </c>
      <c r="AF104" s="3">
        <f t="shared" si="65"/>
        <v>0.66524367756952341</v>
      </c>
      <c r="AG104" s="3">
        <f t="shared" si="65"/>
        <v>1.1358830082060756E-2</v>
      </c>
      <c r="AH104" s="3">
        <f t="shared" si="65"/>
        <v>3.7860412788760046E-2</v>
      </c>
      <c r="AI104" s="3">
        <f t="shared" si="65"/>
        <v>0.87820534465278033</v>
      </c>
      <c r="AJ104" s="3">
        <f t="shared" si="65"/>
        <v>0.78316499039453413</v>
      </c>
      <c r="AK104" s="3">
        <f t="shared" si="65"/>
        <v>7.0392391988751857E-2</v>
      </c>
    </row>
    <row r="105" spans="2:37" x14ac:dyDescent="0.25">
      <c r="B105" s="1" t="s">
        <v>1</v>
      </c>
      <c r="C105">
        <f t="shared" si="63"/>
        <v>5.9142912546053902E-2</v>
      </c>
      <c r="V105" s="3"/>
      <c r="W105" s="3"/>
      <c r="X105" s="3"/>
      <c r="Y105" s="3"/>
      <c r="Z105" s="3"/>
      <c r="AA105" s="3"/>
      <c r="AB105" s="3"/>
      <c r="AC105" s="28"/>
      <c r="AD105" s="3"/>
      <c r="AE105" s="3"/>
      <c r="AF105" s="3"/>
      <c r="AG105" s="3"/>
      <c r="AH105" s="3"/>
      <c r="AI105" s="3"/>
      <c r="AJ105" s="3"/>
      <c r="AK105" s="3"/>
    </row>
    <row r="106" spans="2:37" x14ac:dyDescent="0.25">
      <c r="B106" s="1" t="s">
        <v>4</v>
      </c>
      <c r="C106">
        <f t="shared" si="63"/>
        <v>5.2267642871669719E-2</v>
      </c>
      <c r="U106" s="1" t="s">
        <v>74</v>
      </c>
      <c r="V106" s="3">
        <f>TTEST(V45:V52,V63:V69,2,2)</f>
        <v>0.18977764752104817</v>
      </c>
      <c r="W106" s="3">
        <f t="shared" ref="W106:AK106" si="66">TTEST(W45:W52,W63:W69,2,2)</f>
        <v>0.90851721470384628</v>
      </c>
      <c r="X106" s="3">
        <f t="shared" si="66"/>
        <v>0.18110143287711397</v>
      </c>
      <c r="Y106" s="3">
        <f t="shared" si="66"/>
        <v>0.52964901052773061</v>
      </c>
      <c r="Z106" s="3">
        <f t="shared" si="66"/>
        <v>0.71069143064849416</v>
      </c>
      <c r="AA106" s="3">
        <f t="shared" si="66"/>
        <v>0.74719371157218828</v>
      </c>
      <c r="AB106" s="3">
        <f t="shared" si="66"/>
        <v>0.21645644312950146</v>
      </c>
      <c r="AC106" s="28">
        <f t="shared" si="66"/>
        <v>0.9095043089834316</v>
      </c>
      <c r="AD106" s="3">
        <f t="shared" si="66"/>
        <v>0.19352706835442163</v>
      </c>
      <c r="AE106" s="3">
        <f t="shared" si="66"/>
        <v>0.93668639755273331</v>
      </c>
      <c r="AF106" s="3">
        <f t="shared" si="66"/>
        <v>0.23883990735993008</v>
      </c>
      <c r="AG106" s="3">
        <f t="shared" si="66"/>
        <v>0.58634143605277789</v>
      </c>
      <c r="AH106" s="3">
        <f t="shared" si="66"/>
        <v>0.82754131060973857</v>
      </c>
      <c r="AI106" s="3">
        <f t="shared" si="66"/>
        <v>0.67518655814356832</v>
      </c>
      <c r="AJ106" s="3">
        <f t="shared" si="66"/>
        <v>0.39676759047137067</v>
      </c>
      <c r="AK106" s="3">
        <f t="shared" si="66"/>
        <v>0.92811664735282107</v>
      </c>
    </row>
    <row r="107" spans="2:37" x14ac:dyDescent="0.25">
      <c r="B107" s="1" t="s">
        <v>5</v>
      </c>
      <c r="C107">
        <f t="shared" si="63"/>
        <v>3.7509377344336084E-2</v>
      </c>
    </row>
    <row r="108" spans="2:37" x14ac:dyDescent="0.25">
      <c r="B108" s="1" t="s">
        <v>9</v>
      </c>
      <c r="C108">
        <f t="shared" si="63"/>
        <v>5.7006252298639211E-2</v>
      </c>
    </row>
    <row r="109" spans="2:37" x14ac:dyDescent="0.25">
      <c r="B109" s="1" t="s">
        <v>6</v>
      </c>
      <c r="C109">
        <f t="shared" si="63"/>
        <v>6.1749571183533448E-2</v>
      </c>
    </row>
    <row r="110" spans="2:37" x14ac:dyDescent="0.25">
      <c r="B110" s="1" t="s">
        <v>7</v>
      </c>
      <c r="C110">
        <f t="shared" si="63"/>
        <v>4.2881646655231559E-2</v>
      </c>
    </row>
  </sheetData>
  <mergeCells count="14">
    <mergeCell ref="D1:K1"/>
    <mergeCell ref="L1:S1"/>
    <mergeCell ref="V1:AC1"/>
    <mergeCell ref="AD1:AK1"/>
    <mergeCell ref="A53:A57"/>
    <mergeCell ref="A58:A62"/>
    <mergeCell ref="A63:A69"/>
    <mergeCell ref="A70:A76"/>
    <mergeCell ref="A3:A10"/>
    <mergeCell ref="A11:A18"/>
    <mergeCell ref="A19:A26"/>
    <mergeCell ref="A27:A35"/>
    <mergeCell ref="A36:A44"/>
    <mergeCell ref="A45:A52"/>
  </mergeCells>
  <conditionalFormatting sqref="V101:AK104 V106:AK106">
    <cfRule type="cellIs" dxfId="1" priority="1" operator="lessThan">
      <formula>0.05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0"/>
  <sheetViews>
    <sheetView tabSelected="1" topLeftCell="Y103" workbookViewId="0">
      <selection activeCell="AK97" sqref="AK97"/>
    </sheetView>
  </sheetViews>
  <sheetFormatPr baseColWidth="10" defaultColWidth="9.140625" defaultRowHeight="15" x14ac:dyDescent="0.25"/>
  <cols>
    <col min="2" max="2" width="24.140625" bestFit="1" customWidth="1"/>
    <col min="3" max="3" width="12" bestFit="1" customWidth="1"/>
    <col min="4" max="4" width="10.42578125" bestFit="1" customWidth="1"/>
    <col min="5" max="6" width="10.28515625" bestFit="1" customWidth="1"/>
    <col min="7" max="7" width="6.140625" bestFit="1" customWidth="1"/>
    <col min="8" max="8" width="10.42578125" customWidth="1"/>
    <col min="9" max="10" width="10" customWidth="1"/>
    <col min="11" max="11" width="8" style="27" customWidth="1"/>
    <col min="12" max="19" width="8" customWidth="1"/>
    <col min="20" max="20" width="13.85546875" customWidth="1"/>
    <col min="21" max="21" width="19.28515625" bestFit="1" customWidth="1"/>
    <col min="22" max="22" width="10.42578125" bestFit="1" customWidth="1"/>
    <col min="23" max="24" width="10.28515625" bestFit="1" customWidth="1"/>
    <col min="25" max="25" width="6.140625" bestFit="1" customWidth="1"/>
    <col min="26" max="27" width="10.140625" customWidth="1"/>
    <col min="28" max="28" width="10" customWidth="1"/>
    <col min="29" max="29" width="7.5703125" style="27" customWidth="1"/>
    <col min="34" max="34" width="11.140625" customWidth="1"/>
    <col min="35" max="35" width="10.7109375" customWidth="1"/>
    <col min="36" max="36" width="10.42578125" customWidth="1"/>
  </cols>
  <sheetData>
    <row r="1" spans="1:37" x14ac:dyDescent="0.25">
      <c r="D1" s="46" t="s">
        <v>77</v>
      </c>
      <c r="E1" s="46"/>
      <c r="F1" s="46"/>
      <c r="G1" s="46"/>
      <c r="H1" s="46"/>
      <c r="I1" s="46"/>
      <c r="J1" s="46"/>
      <c r="K1" s="47"/>
      <c r="L1" s="48" t="s">
        <v>78</v>
      </c>
      <c r="M1" s="48"/>
      <c r="N1" s="48"/>
      <c r="O1" s="48"/>
      <c r="P1" s="48"/>
      <c r="Q1" s="48"/>
      <c r="R1" s="48"/>
      <c r="S1" s="48"/>
      <c r="V1" s="48" t="s">
        <v>77</v>
      </c>
      <c r="W1" s="48"/>
      <c r="X1" s="48"/>
      <c r="Y1" s="48"/>
      <c r="Z1" s="48"/>
      <c r="AA1" s="48"/>
      <c r="AB1" s="48"/>
      <c r="AC1" s="48"/>
      <c r="AD1" s="48" t="s">
        <v>78</v>
      </c>
      <c r="AE1" s="48"/>
      <c r="AF1" s="48"/>
      <c r="AG1" s="48"/>
      <c r="AH1" s="48"/>
      <c r="AI1" s="48"/>
      <c r="AJ1" s="48"/>
      <c r="AK1" s="48"/>
    </row>
    <row r="2" spans="1:37" s="19" customFormat="1" ht="33" customHeight="1" x14ac:dyDescent="0.25">
      <c r="C2" s="19" t="s">
        <v>63</v>
      </c>
      <c r="D2" s="19" t="s">
        <v>64</v>
      </c>
      <c r="E2" s="19" t="s">
        <v>65</v>
      </c>
      <c r="F2" s="19" t="s">
        <v>66</v>
      </c>
      <c r="G2" s="19" t="s">
        <v>67</v>
      </c>
      <c r="H2" s="19" t="s">
        <v>68</v>
      </c>
      <c r="I2" s="19" t="s">
        <v>69</v>
      </c>
      <c r="J2" s="19" t="s">
        <v>70</v>
      </c>
      <c r="K2" s="20" t="s">
        <v>71</v>
      </c>
      <c r="L2" s="19" t="s">
        <v>64</v>
      </c>
      <c r="M2" s="19" t="s">
        <v>65</v>
      </c>
      <c r="N2" s="19" t="s">
        <v>66</v>
      </c>
      <c r="O2" s="19" t="s">
        <v>67</v>
      </c>
      <c r="P2" s="19" t="s">
        <v>68</v>
      </c>
      <c r="Q2" s="19" t="s">
        <v>69</v>
      </c>
      <c r="R2" s="19" t="s">
        <v>70</v>
      </c>
      <c r="S2" s="19" t="s">
        <v>71</v>
      </c>
      <c r="V2" s="19" t="s">
        <v>64</v>
      </c>
      <c r="W2" s="19" t="s">
        <v>65</v>
      </c>
      <c r="X2" s="19" t="s">
        <v>66</v>
      </c>
      <c r="Y2" s="19" t="s">
        <v>67</v>
      </c>
      <c r="Z2" s="19" t="s">
        <v>68</v>
      </c>
      <c r="AA2" s="19" t="s">
        <v>69</v>
      </c>
      <c r="AB2" s="19" t="s">
        <v>70</v>
      </c>
      <c r="AC2" s="20" t="s">
        <v>71</v>
      </c>
      <c r="AD2" s="19" t="s">
        <v>64</v>
      </c>
      <c r="AE2" s="19" t="s">
        <v>65</v>
      </c>
      <c r="AF2" s="19" t="s">
        <v>66</v>
      </c>
      <c r="AG2" s="19" t="s">
        <v>67</v>
      </c>
      <c r="AH2" s="19" t="s">
        <v>68</v>
      </c>
      <c r="AI2" s="19" t="s">
        <v>69</v>
      </c>
      <c r="AJ2" s="19" t="s">
        <v>70</v>
      </c>
      <c r="AK2" s="19" t="s">
        <v>71</v>
      </c>
    </row>
    <row r="3" spans="1:37" s="4" customFormat="1" x14ac:dyDescent="0.25">
      <c r="A3" s="44" t="s">
        <v>55</v>
      </c>
      <c r="B3" s="4" t="s">
        <v>10</v>
      </c>
      <c r="C3" s="5">
        <v>169</v>
      </c>
      <c r="D3" s="5">
        <v>14</v>
      </c>
      <c r="E3" s="5">
        <v>9</v>
      </c>
      <c r="F3" s="5">
        <v>11</v>
      </c>
      <c r="G3" s="4">
        <v>5</v>
      </c>
      <c r="H3" s="4">
        <v>0</v>
      </c>
      <c r="I3" s="4">
        <v>2</v>
      </c>
      <c r="J3" s="4">
        <v>2</v>
      </c>
      <c r="K3" s="29">
        <v>0</v>
      </c>
      <c r="L3" s="4">
        <v>15</v>
      </c>
      <c r="M3" s="4">
        <v>9</v>
      </c>
      <c r="N3" s="4">
        <v>13</v>
      </c>
      <c r="O3" s="4">
        <v>6</v>
      </c>
      <c r="P3" s="4">
        <v>0</v>
      </c>
      <c r="Q3" s="4">
        <v>2</v>
      </c>
      <c r="R3" s="4">
        <v>2</v>
      </c>
      <c r="S3" s="4">
        <v>0</v>
      </c>
      <c r="V3" s="6">
        <f t="shared" ref="V3:AG34" si="0">(D3/$C3)*100</f>
        <v>8.2840236686390547</v>
      </c>
      <c r="W3" s="6">
        <f t="shared" si="0"/>
        <v>5.3254437869822491</v>
      </c>
      <c r="X3" s="6">
        <f t="shared" si="0"/>
        <v>6.5088757396449708</v>
      </c>
      <c r="Y3" s="6">
        <f t="shared" si="0"/>
        <v>2.9585798816568047</v>
      </c>
      <c r="Z3" s="6">
        <f t="shared" si="0"/>
        <v>0</v>
      </c>
      <c r="AA3" s="6">
        <f t="shared" si="0"/>
        <v>1.1834319526627219</v>
      </c>
      <c r="AB3" s="6">
        <f t="shared" si="0"/>
        <v>1.1834319526627219</v>
      </c>
      <c r="AC3" s="21">
        <f t="shared" si="0"/>
        <v>0</v>
      </c>
      <c r="AD3" s="6">
        <f>(L3/$C3)*100</f>
        <v>8.8757396449704142</v>
      </c>
      <c r="AE3" s="6">
        <f t="shared" ref="AD3:AG18" si="1">(M3/$C3)*100</f>
        <v>5.3254437869822491</v>
      </c>
      <c r="AF3" s="6">
        <f t="shared" si="1"/>
        <v>7.6923076923076925</v>
      </c>
      <c r="AG3" s="6">
        <f>(O3/$C3)*100</f>
        <v>3.5502958579881656</v>
      </c>
      <c r="AH3" s="6">
        <f t="shared" ref="AH3:AK34" si="2">(P3/$C3)*100</f>
        <v>0</v>
      </c>
      <c r="AI3" s="6">
        <f t="shared" si="2"/>
        <v>1.1834319526627219</v>
      </c>
      <c r="AJ3" s="6">
        <f t="shared" si="2"/>
        <v>1.1834319526627219</v>
      </c>
      <c r="AK3" s="6">
        <f t="shared" si="2"/>
        <v>0</v>
      </c>
    </row>
    <row r="4" spans="1:37" s="4" customFormat="1" x14ac:dyDescent="0.25">
      <c r="A4" s="44"/>
      <c r="B4" s="4" t="s">
        <v>11</v>
      </c>
      <c r="C4" s="5">
        <v>316</v>
      </c>
      <c r="D4" s="5">
        <v>17</v>
      </c>
      <c r="E4" s="5">
        <v>8</v>
      </c>
      <c r="F4" s="5">
        <v>9</v>
      </c>
      <c r="G4" s="4">
        <v>3</v>
      </c>
      <c r="H4" s="4">
        <v>3</v>
      </c>
      <c r="I4" s="4">
        <v>3</v>
      </c>
      <c r="J4" s="4">
        <v>2</v>
      </c>
      <c r="K4" s="29">
        <v>1</v>
      </c>
      <c r="L4" s="4">
        <v>19</v>
      </c>
      <c r="M4" s="4">
        <v>8</v>
      </c>
      <c r="N4" s="4">
        <v>9</v>
      </c>
      <c r="O4" s="4">
        <v>3</v>
      </c>
      <c r="P4" s="4">
        <v>3</v>
      </c>
      <c r="Q4" s="4">
        <v>3</v>
      </c>
      <c r="R4" s="4">
        <v>2</v>
      </c>
      <c r="S4" s="4">
        <v>1</v>
      </c>
      <c r="V4" s="6">
        <f t="shared" si="0"/>
        <v>5.3797468354430382</v>
      </c>
      <c r="W4" s="6">
        <f t="shared" si="0"/>
        <v>2.5316455696202533</v>
      </c>
      <c r="X4" s="6">
        <f t="shared" si="0"/>
        <v>2.8481012658227849</v>
      </c>
      <c r="Y4" s="6">
        <f t="shared" si="0"/>
        <v>0.949367088607595</v>
      </c>
      <c r="Z4" s="6">
        <f t="shared" si="0"/>
        <v>0.949367088607595</v>
      </c>
      <c r="AA4" s="6">
        <f t="shared" si="0"/>
        <v>0.949367088607595</v>
      </c>
      <c r="AB4" s="6">
        <f t="shared" si="0"/>
        <v>0.63291139240506333</v>
      </c>
      <c r="AC4" s="21">
        <f t="shared" si="0"/>
        <v>0.31645569620253167</v>
      </c>
      <c r="AD4" s="6">
        <f t="shared" si="1"/>
        <v>6.0126582278481013</v>
      </c>
      <c r="AE4" s="6">
        <f t="shared" si="1"/>
        <v>2.5316455696202533</v>
      </c>
      <c r="AF4" s="6">
        <f t="shared" si="1"/>
        <v>2.8481012658227849</v>
      </c>
      <c r="AG4" s="6">
        <f t="shared" si="1"/>
        <v>0.949367088607595</v>
      </c>
      <c r="AH4" s="6">
        <f t="shared" si="2"/>
        <v>0.949367088607595</v>
      </c>
      <c r="AI4" s="6">
        <f t="shared" si="2"/>
        <v>0.949367088607595</v>
      </c>
      <c r="AJ4" s="6">
        <f t="shared" si="2"/>
        <v>0.63291139240506333</v>
      </c>
      <c r="AK4" s="6">
        <f t="shared" si="2"/>
        <v>0.31645569620253167</v>
      </c>
    </row>
    <row r="5" spans="1:37" s="4" customFormat="1" x14ac:dyDescent="0.25">
      <c r="A5" s="44"/>
      <c r="B5" s="4" t="s">
        <v>12</v>
      </c>
      <c r="C5" s="5">
        <v>727</v>
      </c>
      <c r="D5" s="5">
        <v>39</v>
      </c>
      <c r="E5" s="5">
        <v>21</v>
      </c>
      <c r="F5" s="5">
        <v>19</v>
      </c>
      <c r="G5" s="4">
        <v>9</v>
      </c>
      <c r="H5" s="4">
        <v>6</v>
      </c>
      <c r="I5" s="4">
        <v>3</v>
      </c>
      <c r="J5" s="4">
        <v>3</v>
      </c>
      <c r="K5" s="29">
        <v>0</v>
      </c>
      <c r="L5" s="4">
        <v>41</v>
      </c>
      <c r="M5" s="4">
        <v>21</v>
      </c>
      <c r="N5" s="4">
        <v>19</v>
      </c>
      <c r="O5" s="4">
        <v>9</v>
      </c>
      <c r="P5" s="4">
        <v>7</v>
      </c>
      <c r="Q5" s="4">
        <v>3</v>
      </c>
      <c r="R5" s="4">
        <v>3</v>
      </c>
      <c r="S5" s="4">
        <v>0</v>
      </c>
      <c r="V5" s="6">
        <f t="shared" si="0"/>
        <v>5.3645116918844566</v>
      </c>
      <c r="W5" s="6">
        <f t="shared" si="0"/>
        <v>2.8885832187070153</v>
      </c>
      <c r="X5" s="6">
        <f t="shared" si="0"/>
        <v>2.613480055020633</v>
      </c>
      <c r="Y5" s="6">
        <f t="shared" si="0"/>
        <v>1.2379642365887207</v>
      </c>
      <c r="Z5" s="6">
        <f t="shared" si="0"/>
        <v>0.82530949105914708</v>
      </c>
      <c r="AA5" s="6">
        <f t="shared" si="0"/>
        <v>0.41265474552957354</v>
      </c>
      <c r="AB5" s="6">
        <f t="shared" si="0"/>
        <v>0.41265474552957354</v>
      </c>
      <c r="AC5" s="21">
        <f t="shared" si="0"/>
        <v>0</v>
      </c>
      <c r="AD5" s="6">
        <f t="shared" si="1"/>
        <v>5.639614855570839</v>
      </c>
      <c r="AE5" s="6">
        <f t="shared" si="1"/>
        <v>2.8885832187070153</v>
      </c>
      <c r="AF5" s="6">
        <f t="shared" si="1"/>
        <v>2.613480055020633</v>
      </c>
      <c r="AG5" s="6">
        <f t="shared" si="1"/>
        <v>1.2379642365887207</v>
      </c>
      <c r="AH5" s="6">
        <f t="shared" si="2"/>
        <v>0.96286107290233847</v>
      </c>
      <c r="AI5" s="6">
        <f t="shared" si="2"/>
        <v>0.41265474552957354</v>
      </c>
      <c r="AJ5" s="6">
        <f t="shared" si="2"/>
        <v>0.41265474552957354</v>
      </c>
      <c r="AK5" s="6">
        <f t="shared" si="2"/>
        <v>0</v>
      </c>
    </row>
    <row r="6" spans="1:37" s="4" customFormat="1" x14ac:dyDescent="0.25">
      <c r="A6" s="44"/>
      <c r="B6" s="4" t="s">
        <v>13</v>
      </c>
      <c r="C6" s="5">
        <v>650</v>
      </c>
      <c r="D6" s="5">
        <v>34</v>
      </c>
      <c r="E6" s="5">
        <v>21</v>
      </c>
      <c r="F6" s="5">
        <v>27</v>
      </c>
      <c r="G6" s="4">
        <v>10</v>
      </c>
      <c r="H6" s="4">
        <v>8</v>
      </c>
      <c r="I6" s="4">
        <v>6</v>
      </c>
      <c r="J6" s="4">
        <v>7</v>
      </c>
      <c r="K6" s="29">
        <v>3</v>
      </c>
      <c r="L6" s="4">
        <v>35</v>
      </c>
      <c r="M6" s="4">
        <v>22</v>
      </c>
      <c r="N6" s="4">
        <v>27</v>
      </c>
      <c r="O6" s="4">
        <v>10</v>
      </c>
      <c r="P6" s="4">
        <v>8</v>
      </c>
      <c r="Q6" s="4">
        <v>7</v>
      </c>
      <c r="R6" s="4">
        <v>7</v>
      </c>
      <c r="S6" s="4">
        <v>3</v>
      </c>
      <c r="V6" s="6">
        <f t="shared" si="0"/>
        <v>5.2307692307692308</v>
      </c>
      <c r="W6" s="6">
        <f t="shared" si="0"/>
        <v>3.2307692307692308</v>
      </c>
      <c r="X6" s="6">
        <f t="shared" si="0"/>
        <v>4.1538461538461542</v>
      </c>
      <c r="Y6" s="6">
        <f t="shared" si="0"/>
        <v>1.5384615384615385</v>
      </c>
      <c r="Z6" s="6">
        <f t="shared" si="0"/>
        <v>1.2307692307692308</v>
      </c>
      <c r="AA6" s="6">
        <f t="shared" si="0"/>
        <v>0.92307692307692313</v>
      </c>
      <c r="AB6" s="6">
        <f t="shared" si="0"/>
        <v>1.0769230769230769</v>
      </c>
      <c r="AC6" s="21">
        <f t="shared" si="0"/>
        <v>0.46153846153846156</v>
      </c>
      <c r="AD6" s="6">
        <f t="shared" si="1"/>
        <v>5.384615384615385</v>
      </c>
      <c r="AE6" s="6">
        <f t="shared" si="1"/>
        <v>3.3846153846153846</v>
      </c>
      <c r="AF6" s="6">
        <f t="shared" si="1"/>
        <v>4.1538461538461542</v>
      </c>
      <c r="AG6" s="6">
        <f t="shared" si="1"/>
        <v>1.5384615384615385</v>
      </c>
      <c r="AH6" s="6">
        <f t="shared" si="2"/>
        <v>1.2307692307692308</v>
      </c>
      <c r="AI6" s="6">
        <f t="shared" si="2"/>
        <v>1.0769230769230769</v>
      </c>
      <c r="AJ6" s="6">
        <f t="shared" si="2"/>
        <v>1.0769230769230769</v>
      </c>
      <c r="AK6" s="6">
        <f t="shared" si="2"/>
        <v>0.46153846153846156</v>
      </c>
    </row>
    <row r="7" spans="1:37" s="4" customFormat="1" x14ac:dyDescent="0.25">
      <c r="A7" s="44"/>
      <c r="B7" s="4" t="s">
        <v>14</v>
      </c>
      <c r="C7" s="5">
        <v>692</v>
      </c>
      <c r="D7" s="5">
        <v>55</v>
      </c>
      <c r="E7" s="5">
        <v>31</v>
      </c>
      <c r="F7" s="5">
        <v>41</v>
      </c>
      <c r="G7" s="4">
        <v>19</v>
      </c>
      <c r="H7" s="4">
        <v>3</v>
      </c>
      <c r="I7" s="4">
        <v>2</v>
      </c>
      <c r="J7" s="4">
        <v>4</v>
      </c>
      <c r="K7" s="29">
        <v>0</v>
      </c>
      <c r="L7" s="4">
        <v>59</v>
      </c>
      <c r="M7" s="4">
        <v>32</v>
      </c>
      <c r="N7" s="4">
        <v>43</v>
      </c>
      <c r="O7" s="4">
        <v>20</v>
      </c>
      <c r="P7" s="4">
        <v>4</v>
      </c>
      <c r="Q7" s="4">
        <v>2</v>
      </c>
      <c r="R7" s="4">
        <v>4</v>
      </c>
      <c r="S7" s="4">
        <v>0</v>
      </c>
      <c r="V7" s="6">
        <f t="shared" si="0"/>
        <v>7.9479768786127174</v>
      </c>
      <c r="W7" s="6">
        <f t="shared" si="0"/>
        <v>4.4797687861271678</v>
      </c>
      <c r="X7" s="6">
        <f t="shared" si="0"/>
        <v>5.9248554913294793</v>
      </c>
      <c r="Y7" s="6">
        <f t="shared" si="0"/>
        <v>2.745664739884393</v>
      </c>
      <c r="Z7" s="6">
        <f t="shared" si="0"/>
        <v>0.43352601156069359</v>
      </c>
      <c r="AA7" s="6">
        <f t="shared" si="0"/>
        <v>0.28901734104046239</v>
      </c>
      <c r="AB7" s="6">
        <f t="shared" si="0"/>
        <v>0.57803468208092479</v>
      </c>
      <c r="AC7" s="21">
        <f t="shared" si="0"/>
        <v>0</v>
      </c>
      <c r="AD7" s="6">
        <f t="shared" si="1"/>
        <v>8.5260115606936413</v>
      </c>
      <c r="AE7" s="6">
        <f t="shared" si="1"/>
        <v>4.6242774566473983</v>
      </c>
      <c r="AF7" s="6">
        <f t="shared" si="1"/>
        <v>6.2138728323699421</v>
      </c>
      <c r="AG7" s="6">
        <f t="shared" si="1"/>
        <v>2.8901734104046244</v>
      </c>
      <c r="AH7" s="6">
        <f t="shared" si="2"/>
        <v>0.57803468208092479</v>
      </c>
      <c r="AI7" s="6">
        <f t="shared" si="2"/>
        <v>0.28901734104046239</v>
      </c>
      <c r="AJ7" s="6">
        <f t="shared" si="2"/>
        <v>0.57803468208092479</v>
      </c>
      <c r="AK7" s="6">
        <f t="shared" si="2"/>
        <v>0</v>
      </c>
    </row>
    <row r="8" spans="1:37" s="4" customFormat="1" x14ac:dyDescent="0.25">
      <c r="A8" s="44"/>
      <c r="B8" s="4" t="s">
        <v>15</v>
      </c>
      <c r="C8" s="5">
        <v>591</v>
      </c>
      <c r="D8" s="5">
        <v>30</v>
      </c>
      <c r="E8" s="5">
        <v>23</v>
      </c>
      <c r="F8" s="5">
        <v>28</v>
      </c>
      <c r="G8" s="4">
        <v>12</v>
      </c>
      <c r="H8" s="4">
        <v>3</v>
      </c>
      <c r="I8" s="4">
        <v>4</v>
      </c>
      <c r="J8" s="4">
        <v>1</v>
      </c>
      <c r="K8" s="29">
        <v>0</v>
      </c>
      <c r="L8" s="4">
        <v>31</v>
      </c>
      <c r="M8" s="4">
        <v>23</v>
      </c>
      <c r="N8" s="4">
        <v>28</v>
      </c>
      <c r="O8" s="4">
        <v>12</v>
      </c>
      <c r="P8" s="4">
        <v>3</v>
      </c>
      <c r="Q8" s="4">
        <v>5</v>
      </c>
      <c r="R8" s="4">
        <v>1</v>
      </c>
      <c r="S8" s="4">
        <v>0</v>
      </c>
      <c r="V8" s="6">
        <f t="shared" si="0"/>
        <v>5.0761421319796955</v>
      </c>
      <c r="W8" s="6">
        <f t="shared" si="0"/>
        <v>3.8917089678511001</v>
      </c>
      <c r="X8" s="6">
        <f t="shared" si="0"/>
        <v>4.7377326565143827</v>
      </c>
      <c r="Y8" s="6">
        <f t="shared" si="0"/>
        <v>2.030456852791878</v>
      </c>
      <c r="Z8" s="6">
        <f t="shared" si="0"/>
        <v>0.50761421319796951</v>
      </c>
      <c r="AA8" s="6">
        <f t="shared" si="0"/>
        <v>0.67681895093062605</v>
      </c>
      <c r="AB8" s="6">
        <f t="shared" si="0"/>
        <v>0.16920473773265651</v>
      </c>
      <c r="AC8" s="21">
        <f t="shared" si="0"/>
        <v>0</v>
      </c>
      <c r="AD8" s="6">
        <f t="shared" si="1"/>
        <v>5.2453468697123524</v>
      </c>
      <c r="AE8" s="6">
        <f t="shared" si="1"/>
        <v>3.8917089678511001</v>
      </c>
      <c r="AF8" s="6">
        <f t="shared" si="1"/>
        <v>4.7377326565143827</v>
      </c>
      <c r="AG8" s="6">
        <f t="shared" si="1"/>
        <v>2.030456852791878</v>
      </c>
      <c r="AH8" s="6">
        <f t="shared" si="2"/>
        <v>0.50761421319796951</v>
      </c>
      <c r="AI8" s="6">
        <f t="shared" si="2"/>
        <v>0.84602368866328259</v>
      </c>
      <c r="AJ8" s="6">
        <f t="shared" si="2"/>
        <v>0.16920473773265651</v>
      </c>
      <c r="AK8" s="6">
        <f t="shared" si="2"/>
        <v>0</v>
      </c>
    </row>
    <row r="9" spans="1:37" s="4" customFormat="1" x14ac:dyDescent="0.25">
      <c r="A9" s="44"/>
      <c r="B9" s="4" t="s">
        <v>16</v>
      </c>
      <c r="C9" s="5">
        <v>807</v>
      </c>
      <c r="D9" s="5">
        <v>42</v>
      </c>
      <c r="E9" s="5">
        <v>40</v>
      </c>
      <c r="F9" s="5">
        <v>31</v>
      </c>
      <c r="G9" s="4">
        <v>14</v>
      </c>
      <c r="H9" s="4">
        <v>8</v>
      </c>
      <c r="I9" s="4">
        <v>8</v>
      </c>
      <c r="J9" s="4">
        <v>9</v>
      </c>
      <c r="K9" s="29">
        <v>4</v>
      </c>
      <c r="L9" s="4">
        <v>44</v>
      </c>
      <c r="M9" s="4">
        <v>42</v>
      </c>
      <c r="N9" s="4">
        <v>31</v>
      </c>
      <c r="O9" s="4">
        <v>14</v>
      </c>
      <c r="P9" s="4">
        <v>11</v>
      </c>
      <c r="Q9" s="4">
        <v>11</v>
      </c>
      <c r="R9" s="4">
        <v>11</v>
      </c>
      <c r="S9" s="4">
        <v>6</v>
      </c>
      <c r="V9" s="6">
        <f t="shared" si="0"/>
        <v>5.2044609665427508</v>
      </c>
      <c r="W9" s="6">
        <f t="shared" si="0"/>
        <v>4.9566294919454776</v>
      </c>
      <c r="X9" s="6">
        <f t="shared" si="0"/>
        <v>3.8413878562577448</v>
      </c>
      <c r="Y9" s="6">
        <f t="shared" si="0"/>
        <v>1.7348203221809171</v>
      </c>
      <c r="Z9" s="6">
        <f t="shared" si="0"/>
        <v>0.99132589838909546</v>
      </c>
      <c r="AA9" s="6">
        <f t="shared" si="0"/>
        <v>0.99132589838909546</v>
      </c>
      <c r="AB9" s="6">
        <f t="shared" si="0"/>
        <v>1.1152416356877324</v>
      </c>
      <c r="AC9" s="21">
        <f t="shared" si="0"/>
        <v>0.49566294919454773</v>
      </c>
      <c r="AD9" s="6">
        <f t="shared" si="1"/>
        <v>5.4522924411400249</v>
      </c>
      <c r="AE9" s="6">
        <f t="shared" si="1"/>
        <v>5.2044609665427508</v>
      </c>
      <c r="AF9" s="6">
        <f t="shared" si="1"/>
        <v>3.8413878562577448</v>
      </c>
      <c r="AG9" s="6">
        <f t="shared" si="1"/>
        <v>1.7348203221809171</v>
      </c>
      <c r="AH9" s="6">
        <f t="shared" si="2"/>
        <v>1.3630731102850062</v>
      </c>
      <c r="AI9" s="6">
        <f t="shared" si="2"/>
        <v>1.3630731102850062</v>
      </c>
      <c r="AJ9" s="6">
        <f t="shared" si="2"/>
        <v>1.3630731102850062</v>
      </c>
      <c r="AK9" s="6">
        <f t="shared" si="2"/>
        <v>0.74349442379182151</v>
      </c>
    </row>
    <row r="10" spans="1:37" s="4" customFormat="1" x14ac:dyDescent="0.25">
      <c r="A10" s="44"/>
      <c r="B10" s="4" t="s">
        <v>17</v>
      </c>
      <c r="C10" s="5">
        <v>881</v>
      </c>
      <c r="D10" s="5">
        <v>63</v>
      </c>
      <c r="E10" s="5">
        <v>41</v>
      </c>
      <c r="F10" s="5">
        <v>44</v>
      </c>
      <c r="G10" s="4">
        <v>23</v>
      </c>
      <c r="H10" s="4">
        <v>10</v>
      </c>
      <c r="I10" s="4">
        <v>8</v>
      </c>
      <c r="J10" s="4">
        <v>8</v>
      </c>
      <c r="K10" s="29">
        <v>3</v>
      </c>
      <c r="L10" s="4">
        <v>64</v>
      </c>
      <c r="M10" s="4">
        <v>43</v>
      </c>
      <c r="N10" s="4">
        <v>46</v>
      </c>
      <c r="O10" s="4">
        <v>25</v>
      </c>
      <c r="P10" s="4">
        <v>10</v>
      </c>
      <c r="Q10" s="4">
        <v>10</v>
      </c>
      <c r="R10" s="4">
        <v>10</v>
      </c>
      <c r="S10" s="4">
        <v>3</v>
      </c>
      <c r="V10" s="6">
        <f t="shared" si="0"/>
        <v>7.150964812712826</v>
      </c>
      <c r="W10" s="6">
        <f t="shared" si="0"/>
        <v>4.6538024971623155</v>
      </c>
      <c r="X10" s="6">
        <f t="shared" si="0"/>
        <v>4.994324631101021</v>
      </c>
      <c r="Y10" s="6">
        <f t="shared" si="0"/>
        <v>2.6106696935300793</v>
      </c>
      <c r="Z10" s="6">
        <f t="shared" si="0"/>
        <v>1.1350737797956867</v>
      </c>
      <c r="AA10" s="6">
        <f t="shared" si="0"/>
        <v>0.90805902383654935</v>
      </c>
      <c r="AB10" s="6">
        <f t="shared" si="0"/>
        <v>0.90805902383654935</v>
      </c>
      <c r="AC10" s="21">
        <f t="shared" si="0"/>
        <v>0.34052213393870601</v>
      </c>
      <c r="AD10" s="6">
        <f t="shared" si="1"/>
        <v>7.2644721906923948</v>
      </c>
      <c r="AE10" s="6">
        <f t="shared" si="1"/>
        <v>4.8808172531214531</v>
      </c>
      <c r="AF10" s="6">
        <f t="shared" si="1"/>
        <v>5.2213393870601585</v>
      </c>
      <c r="AG10" s="6">
        <f t="shared" si="1"/>
        <v>2.8376844494892168</v>
      </c>
      <c r="AH10" s="6">
        <f t="shared" si="2"/>
        <v>1.1350737797956867</v>
      </c>
      <c r="AI10" s="6">
        <f t="shared" si="2"/>
        <v>1.1350737797956867</v>
      </c>
      <c r="AJ10" s="6">
        <f t="shared" si="2"/>
        <v>1.1350737797956867</v>
      </c>
      <c r="AK10" s="6">
        <f t="shared" si="2"/>
        <v>0.34052213393870601</v>
      </c>
    </row>
    <row r="11" spans="1:37" s="7" customFormat="1" x14ac:dyDescent="0.25">
      <c r="A11" s="45" t="s">
        <v>56</v>
      </c>
      <c r="B11" s="7" t="s">
        <v>18</v>
      </c>
      <c r="C11" s="8">
        <v>600</v>
      </c>
      <c r="D11" s="8">
        <v>22</v>
      </c>
      <c r="E11" s="8">
        <v>7</v>
      </c>
      <c r="F11" s="8">
        <v>17</v>
      </c>
      <c r="G11" s="7">
        <v>2</v>
      </c>
      <c r="H11" s="7">
        <v>1</v>
      </c>
      <c r="I11" s="7">
        <v>1</v>
      </c>
      <c r="J11" s="7">
        <v>1</v>
      </c>
      <c r="K11" s="30">
        <v>0</v>
      </c>
      <c r="L11" s="7">
        <v>23</v>
      </c>
      <c r="M11" s="7">
        <v>7</v>
      </c>
      <c r="N11" s="7">
        <v>17</v>
      </c>
      <c r="O11" s="7">
        <v>2</v>
      </c>
      <c r="P11" s="7">
        <v>1</v>
      </c>
      <c r="Q11" s="7">
        <v>1</v>
      </c>
      <c r="R11" s="7">
        <v>1</v>
      </c>
      <c r="S11" s="7">
        <v>0</v>
      </c>
      <c r="V11" s="9">
        <f t="shared" si="0"/>
        <v>3.6666666666666665</v>
      </c>
      <c r="W11" s="9">
        <f t="shared" si="0"/>
        <v>1.1666666666666667</v>
      </c>
      <c r="X11" s="9">
        <f t="shared" si="0"/>
        <v>2.833333333333333</v>
      </c>
      <c r="Y11" s="9">
        <f t="shared" si="0"/>
        <v>0.33333333333333337</v>
      </c>
      <c r="Z11" s="9">
        <f t="shared" si="0"/>
        <v>0.16666666666666669</v>
      </c>
      <c r="AA11" s="9">
        <f t="shared" si="0"/>
        <v>0.16666666666666669</v>
      </c>
      <c r="AB11" s="9">
        <f t="shared" si="0"/>
        <v>0.16666666666666669</v>
      </c>
      <c r="AC11" s="22">
        <f t="shared" si="0"/>
        <v>0</v>
      </c>
      <c r="AD11" s="9">
        <f t="shared" si="1"/>
        <v>3.833333333333333</v>
      </c>
      <c r="AE11" s="9">
        <f t="shared" si="1"/>
        <v>1.1666666666666667</v>
      </c>
      <c r="AF11" s="9">
        <f t="shared" si="1"/>
        <v>2.833333333333333</v>
      </c>
      <c r="AG11" s="9">
        <f t="shared" si="1"/>
        <v>0.33333333333333337</v>
      </c>
      <c r="AH11" s="9">
        <f t="shared" si="2"/>
        <v>0.16666666666666669</v>
      </c>
      <c r="AI11" s="9">
        <f t="shared" si="2"/>
        <v>0.16666666666666669</v>
      </c>
      <c r="AJ11" s="9">
        <f t="shared" si="2"/>
        <v>0.16666666666666669</v>
      </c>
      <c r="AK11" s="9">
        <f t="shared" si="2"/>
        <v>0</v>
      </c>
    </row>
    <row r="12" spans="1:37" s="7" customFormat="1" x14ac:dyDescent="0.25">
      <c r="A12" s="45"/>
      <c r="B12" s="7" t="s">
        <v>19</v>
      </c>
      <c r="C12" s="8">
        <v>752</v>
      </c>
      <c r="D12" s="8">
        <v>35</v>
      </c>
      <c r="E12" s="8">
        <v>19</v>
      </c>
      <c r="F12" s="8">
        <v>23</v>
      </c>
      <c r="G12" s="7">
        <v>5</v>
      </c>
      <c r="H12" s="7">
        <v>2</v>
      </c>
      <c r="I12" s="7">
        <v>4</v>
      </c>
      <c r="J12" s="7">
        <v>5</v>
      </c>
      <c r="K12" s="30">
        <v>1</v>
      </c>
      <c r="L12" s="7">
        <v>36</v>
      </c>
      <c r="M12" s="7">
        <v>20</v>
      </c>
      <c r="N12" s="7">
        <v>23</v>
      </c>
      <c r="O12" s="7">
        <v>5</v>
      </c>
      <c r="P12" s="7">
        <v>2</v>
      </c>
      <c r="Q12" s="7">
        <v>4</v>
      </c>
      <c r="R12" s="7">
        <v>6</v>
      </c>
      <c r="S12" s="7">
        <v>1</v>
      </c>
      <c r="V12" s="9">
        <f t="shared" si="0"/>
        <v>4.6542553191489358</v>
      </c>
      <c r="W12" s="9">
        <f t="shared" si="0"/>
        <v>2.5265957446808507</v>
      </c>
      <c r="X12" s="9">
        <f t="shared" si="0"/>
        <v>3.0585106382978724</v>
      </c>
      <c r="Y12" s="9">
        <f t="shared" si="0"/>
        <v>0.66489361702127658</v>
      </c>
      <c r="Z12" s="9">
        <f t="shared" si="0"/>
        <v>0.26595744680851063</v>
      </c>
      <c r="AA12" s="9">
        <f t="shared" si="0"/>
        <v>0.53191489361702127</v>
      </c>
      <c r="AB12" s="9">
        <f t="shared" si="0"/>
        <v>0.66489361702127658</v>
      </c>
      <c r="AC12" s="22">
        <f t="shared" si="0"/>
        <v>0.13297872340425532</v>
      </c>
      <c r="AD12" s="9">
        <f t="shared" si="1"/>
        <v>4.7872340425531918</v>
      </c>
      <c r="AE12" s="9">
        <f t="shared" si="1"/>
        <v>2.6595744680851063</v>
      </c>
      <c r="AF12" s="9">
        <f t="shared" si="1"/>
        <v>3.0585106382978724</v>
      </c>
      <c r="AG12" s="9">
        <f t="shared" si="1"/>
        <v>0.66489361702127658</v>
      </c>
      <c r="AH12" s="9">
        <f t="shared" si="2"/>
        <v>0.26595744680851063</v>
      </c>
      <c r="AI12" s="9">
        <f t="shared" si="2"/>
        <v>0.53191489361702127</v>
      </c>
      <c r="AJ12" s="9">
        <f t="shared" si="2"/>
        <v>0.7978723404255319</v>
      </c>
      <c r="AK12" s="9">
        <f t="shared" si="2"/>
        <v>0.13297872340425532</v>
      </c>
    </row>
    <row r="13" spans="1:37" s="7" customFormat="1" x14ac:dyDescent="0.25">
      <c r="A13" s="45"/>
      <c r="B13" s="7" t="s">
        <v>20</v>
      </c>
      <c r="C13" s="8">
        <v>545</v>
      </c>
      <c r="D13" s="8">
        <v>43</v>
      </c>
      <c r="E13" s="8">
        <v>17</v>
      </c>
      <c r="F13" s="8">
        <v>17</v>
      </c>
      <c r="G13" s="7">
        <v>5</v>
      </c>
      <c r="H13" s="7">
        <v>4</v>
      </c>
      <c r="I13" s="7">
        <v>2</v>
      </c>
      <c r="J13" s="7">
        <v>3</v>
      </c>
      <c r="K13" s="30">
        <v>1</v>
      </c>
      <c r="L13" s="7">
        <v>49</v>
      </c>
      <c r="M13" s="7">
        <v>20</v>
      </c>
      <c r="N13" s="7">
        <v>17</v>
      </c>
      <c r="O13" s="7">
        <v>6</v>
      </c>
      <c r="P13" s="7">
        <v>4</v>
      </c>
      <c r="Q13" s="7">
        <v>2</v>
      </c>
      <c r="R13" s="7">
        <v>5</v>
      </c>
      <c r="S13" s="7">
        <v>1</v>
      </c>
      <c r="V13" s="9">
        <f t="shared" si="0"/>
        <v>7.8899082568807346</v>
      </c>
      <c r="W13" s="9">
        <f t="shared" si="0"/>
        <v>3.1192660550458715</v>
      </c>
      <c r="X13" s="9">
        <f t="shared" si="0"/>
        <v>3.1192660550458715</v>
      </c>
      <c r="Y13" s="9">
        <f t="shared" si="0"/>
        <v>0.91743119266055051</v>
      </c>
      <c r="Z13" s="9">
        <f t="shared" si="0"/>
        <v>0.73394495412844041</v>
      </c>
      <c r="AA13" s="9">
        <f t="shared" si="0"/>
        <v>0.3669724770642202</v>
      </c>
      <c r="AB13" s="9">
        <f t="shared" si="0"/>
        <v>0.55045871559633031</v>
      </c>
      <c r="AC13" s="22">
        <f t="shared" si="0"/>
        <v>0.1834862385321101</v>
      </c>
      <c r="AD13" s="9">
        <f t="shared" si="1"/>
        <v>8.9908256880733948</v>
      </c>
      <c r="AE13" s="9">
        <f t="shared" si="1"/>
        <v>3.669724770642202</v>
      </c>
      <c r="AF13" s="9">
        <f t="shared" si="1"/>
        <v>3.1192660550458715</v>
      </c>
      <c r="AG13" s="9">
        <f t="shared" si="1"/>
        <v>1.1009174311926606</v>
      </c>
      <c r="AH13" s="9">
        <f t="shared" si="2"/>
        <v>0.73394495412844041</v>
      </c>
      <c r="AI13" s="9">
        <f t="shared" si="2"/>
        <v>0.3669724770642202</v>
      </c>
      <c r="AJ13" s="9">
        <f t="shared" si="2"/>
        <v>0.91743119266055051</v>
      </c>
      <c r="AK13" s="9">
        <f t="shared" si="2"/>
        <v>0.1834862385321101</v>
      </c>
    </row>
    <row r="14" spans="1:37" s="7" customFormat="1" x14ac:dyDescent="0.25">
      <c r="A14" s="45"/>
      <c r="B14" s="7" t="s">
        <v>21</v>
      </c>
      <c r="C14" s="8">
        <v>903</v>
      </c>
      <c r="D14" s="8">
        <v>35</v>
      </c>
      <c r="E14" s="8">
        <v>21</v>
      </c>
      <c r="F14" s="8">
        <v>30</v>
      </c>
      <c r="G14" s="7">
        <v>5</v>
      </c>
      <c r="H14" s="7">
        <v>3</v>
      </c>
      <c r="I14" s="7">
        <v>1</v>
      </c>
      <c r="J14" s="7">
        <v>13</v>
      </c>
      <c r="K14" s="30">
        <v>1</v>
      </c>
      <c r="L14" s="7">
        <v>37</v>
      </c>
      <c r="M14" s="7">
        <v>22</v>
      </c>
      <c r="N14" s="7">
        <v>30</v>
      </c>
      <c r="O14" s="7">
        <v>5</v>
      </c>
      <c r="P14" s="7">
        <v>3</v>
      </c>
      <c r="Q14" s="7">
        <v>1</v>
      </c>
      <c r="R14" s="7">
        <v>14</v>
      </c>
      <c r="S14" s="7">
        <v>1</v>
      </c>
      <c r="V14" s="9">
        <f t="shared" si="0"/>
        <v>3.8759689922480618</v>
      </c>
      <c r="W14" s="9">
        <f t="shared" si="0"/>
        <v>2.3255813953488373</v>
      </c>
      <c r="X14" s="9">
        <f t="shared" si="0"/>
        <v>3.322259136212625</v>
      </c>
      <c r="Y14" s="9">
        <f t="shared" si="0"/>
        <v>0.55370985603543743</v>
      </c>
      <c r="Z14" s="9">
        <f t="shared" si="0"/>
        <v>0.33222591362126247</v>
      </c>
      <c r="AA14" s="9">
        <f t="shared" si="0"/>
        <v>0.11074197120708748</v>
      </c>
      <c r="AB14" s="9">
        <f t="shared" si="0"/>
        <v>1.4396456256921373</v>
      </c>
      <c r="AC14" s="22">
        <f t="shared" si="0"/>
        <v>0.11074197120708748</v>
      </c>
      <c r="AD14" s="9">
        <f t="shared" si="1"/>
        <v>4.097452934662237</v>
      </c>
      <c r="AE14" s="9">
        <f t="shared" si="1"/>
        <v>2.436323366555925</v>
      </c>
      <c r="AF14" s="9">
        <f t="shared" si="1"/>
        <v>3.322259136212625</v>
      </c>
      <c r="AG14" s="9">
        <f t="shared" si="1"/>
        <v>0.55370985603543743</v>
      </c>
      <c r="AH14" s="9">
        <f t="shared" si="2"/>
        <v>0.33222591362126247</v>
      </c>
      <c r="AI14" s="9">
        <f t="shared" si="2"/>
        <v>0.11074197120708748</v>
      </c>
      <c r="AJ14" s="9">
        <f t="shared" si="2"/>
        <v>1.5503875968992249</v>
      </c>
      <c r="AK14" s="9">
        <f t="shared" si="2"/>
        <v>0.11074197120708748</v>
      </c>
    </row>
    <row r="15" spans="1:37" s="7" customFormat="1" x14ac:dyDescent="0.25">
      <c r="A15" s="45"/>
      <c r="B15" s="7" t="s">
        <v>22</v>
      </c>
      <c r="C15" s="8">
        <v>660</v>
      </c>
      <c r="D15" s="8">
        <v>28</v>
      </c>
      <c r="E15" s="8">
        <v>27</v>
      </c>
      <c r="F15" s="8">
        <v>26</v>
      </c>
      <c r="G15" s="7">
        <v>13</v>
      </c>
      <c r="H15" s="7">
        <v>6</v>
      </c>
      <c r="I15" s="7">
        <v>3</v>
      </c>
      <c r="J15" s="7">
        <v>4</v>
      </c>
      <c r="K15" s="30">
        <v>2</v>
      </c>
      <c r="L15" s="7">
        <v>29</v>
      </c>
      <c r="M15" s="7">
        <v>28</v>
      </c>
      <c r="N15" s="7">
        <v>27</v>
      </c>
      <c r="O15" s="7">
        <v>13</v>
      </c>
      <c r="P15" s="7">
        <v>6</v>
      </c>
      <c r="Q15" s="7">
        <v>3</v>
      </c>
      <c r="R15" s="7">
        <v>5</v>
      </c>
      <c r="S15" s="7">
        <v>2</v>
      </c>
      <c r="V15" s="9">
        <f t="shared" si="0"/>
        <v>4.2424242424242431</v>
      </c>
      <c r="W15" s="9">
        <f t="shared" si="0"/>
        <v>4.0909090909090908</v>
      </c>
      <c r="X15" s="9">
        <f t="shared" si="0"/>
        <v>3.939393939393939</v>
      </c>
      <c r="Y15" s="9">
        <f t="shared" si="0"/>
        <v>1.9696969696969695</v>
      </c>
      <c r="Z15" s="9">
        <f t="shared" si="0"/>
        <v>0.90909090909090906</v>
      </c>
      <c r="AA15" s="9">
        <f t="shared" si="0"/>
        <v>0.45454545454545453</v>
      </c>
      <c r="AB15" s="9">
        <f t="shared" si="0"/>
        <v>0.60606060606060608</v>
      </c>
      <c r="AC15" s="22">
        <f t="shared" si="0"/>
        <v>0.30303030303030304</v>
      </c>
      <c r="AD15" s="9">
        <f t="shared" si="1"/>
        <v>4.3939393939393936</v>
      </c>
      <c r="AE15" s="9">
        <f t="shared" si="1"/>
        <v>4.2424242424242431</v>
      </c>
      <c r="AF15" s="9">
        <f t="shared" si="1"/>
        <v>4.0909090909090908</v>
      </c>
      <c r="AG15" s="9">
        <f t="shared" si="1"/>
        <v>1.9696969696969695</v>
      </c>
      <c r="AH15" s="9">
        <f t="shared" si="2"/>
        <v>0.90909090909090906</v>
      </c>
      <c r="AI15" s="9">
        <f t="shared" si="2"/>
        <v>0.45454545454545453</v>
      </c>
      <c r="AJ15" s="9">
        <f t="shared" si="2"/>
        <v>0.75757575757575757</v>
      </c>
      <c r="AK15" s="9">
        <f t="shared" si="2"/>
        <v>0.30303030303030304</v>
      </c>
    </row>
    <row r="16" spans="1:37" s="7" customFormat="1" x14ac:dyDescent="0.25">
      <c r="A16" s="45"/>
      <c r="B16" s="7" t="s">
        <v>23</v>
      </c>
      <c r="C16" s="8">
        <v>614</v>
      </c>
      <c r="D16" s="8">
        <v>23</v>
      </c>
      <c r="E16" s="8">
        <v>18</v>
      </c>
      <c r="F16" s="8">
        <v>38</v>
      </c>
      <c r="G16" s="7">
        <v>11</v>
      </c>
      <c r="H16" s="7">
        <v>2</v>
      </c>
      <c r="I16" s="7">
        <v>1</v>
      </c>
      <c r="J16" s="7">
        <v>3</v>
      </c>
      <c r="K16" s="30">
        <v>0</v>
      </c>
      <c r="L16" s="7">
        <v>23</v>
      </c>
      <c r="M16" s="7">
        <v>18</v>
      </c>
      <c r="N16" s="7">
        <v>40</v>
      </c>
      <c r="O16" s="7">
        <v>11</v>
      </c>
      <c r="P16" s="7">
        <v>3</v>
      </c>
      <c r="Q16" s="7">
        <v>1</v>
      </c>
      <c r="R16" s="7">
        <v>4</v>
      </c>
      <c r="S16" s="7">
        <v>0</v>
      </c>
      <c r="V16" s="9">
        <f t="shared" si="0"/>
        <v>3.7459283387622153</v>
      </c>
      <c r="W16" s="9">
        <f t="shared" si="0"/>
        <v>2.9315960912052117</v>
      </c>
      <c r="X16" s="9">
        <f t="shared" si="0"/>
        <v>6.1889250814332248</v>
      </c>
      <c r="Y16" s="9">
        <f t="shared" si="0"/>
        <v>1.7915309446254073</v>
      </c>
      <c r="Z16" s="9">
        <f t="shared" si="0"/>
        <v>0.32573289902280134</v>
      </c>
      <c r="AA16" s="9">
        <f t="shared" si="0"/>
        <v>0.16286644951140067</v>
      </c>
      <c r="AB16" s="9">
        <f t="shared" si="0"/>
        <v>0.48859934853420189</v>
      </c>
      <c r="AC16" s="22">
        <f t="shared" si="0"/>
        <v>0</v>
      </c>
      <c r="AD16" s="9">
        <f t="shared" si="1"/>
        <v>3.7459283387622153</v>
      </c>
      <c r="AE16" s="9">
        <f t="shared" si="1"/>
        <v>2.9315960912052117</v>
      </c>
      <c r="AF16" s="9">
        <f t="shared" si="1"/>
        <v>6.5146579804560263</v>
      </c>
      <c r="AG16" s="9">
        <f t="shared" si="1"/>
        <v>1.7915309446254073</v>
      </c>
      <c r="AH16" s="9">
        <f t="shared" si="2"/>
        <v>0.48859934853420189</v>
      </c>
      <c r="AI16" s="9">
        <f t="shared" si="2"/>
        <v>0.16286644951140067</v>
      </c>
      <c r="AJ16" s="9">
        <f t="shared" si="2"/>
        <v>0.65146579804560267</v>
      </c>
      <c r="AK16" s="9">
        <f t="shared" si="2"/>
        <v>0</v>
      </c>
    </row>
    <row r="17" spans="1:37" s="7" customFormat="1" x14ac:dyDescent="0.25">
      <c r="A17" s="45"/>
      <c r="B17" s="7" t="s">
        <v>24</v>
      </c>
      <c r="C17" s="8">
        <v>472</v>
      </c>
      <c r="D17" s="8">
        <v>16</v>
      </c>
      <c r="E17" s="8">
        <v>8</v>
      </c>
      <c r="F17" s="8">
        <v>16</v>
      </c>
      <c r="G17" s="7">
        <v>4</v>
      </c>
      <c r="H17" s="7">
        <v>2</v>
      </c>
      <c r="I17" s="7">
        <v>1</v>
      </c>
      <c r="J17" s="7">
        <v>4</v>
      </c>
      <c r="K17" s="30">
        <v>1</v>
      </c>
      <c r="L17" s="7">
        <v>16</v>
      </c>
      <c r="M17" s="7">
        <v>9</v>
      </c>
      <c r="N17" s="7">
        <v>16</v>
      </c>
      <c r="O17" s="7">
        <v>4</v>
      </c>
      <c r="P17" s="7">
        <v>3</v>
      </c>
      <c r="Q17" s="7">
        <v>2</v>
      </c>
      <c r="R17" s="7">
        <v>5</v>
      </c>
      <c r="S17" s="7">
        <v>2</v>
      </c>
      <c r="V17" s="9">
        <f t="shared" si="0"/>
        <v>3.3898305084745761</v>
      </c>
      <c r="W17" s="9">
        <f t="shared" si="0"/>
        <v>1.6949152542372881</v>
      </c>
      <c r="X17" s="9">
        <f t="shared" si="0"/>
        <v>3.3898305084745761</v>
      </c>
      <c r="Y17" s="9">
        <f t="shared" si="0"/>
        <v>0.84745762711864403</v>
      </c>
      <c r="Z17" s="9">
        <f t="shared" si="0"/>
        <v>0.42372881355932202</v>
      </c>
      <c r="AA17" s="9">
        <f t="shared" si="0"/>
        <v>0.21186440677966101</v>
      </c>
      <c r="AB17" s="9">
        <f t="shared" si="0"/>
        <v>0.84745762711864403</v>
      </c>
      <c r="AC17" s="22">
        <f t="shared" si="0"/>
        <v>0.21186440677966101</v>
      </c>
      <c r="AD17" s="9">
        <f t="shared" si="1"/>
        <v>3.3898305084745761</v>
      </c>
      <c r="AE17" s="9">
        <f t="shared" si="1"/>
        <v>1.9067796610169492</v>
      </c>
      <c r="AF17" s="9">
        <f t="shared" si="1"/>
        <v>3.3898305084745761</v>
      </c>
      <c r="AG17" s="9">
        <f t="shared" si="1"/>
        <v>0.84745762711864403</v>
      </c>
      <c r="AH17" s="9">
        <f t="shared" si="2"/>
        <v>0.63559322033898313</v>
      </c>
      <c r="AI17" s="9">
        <f t="shared" si="2"/>
        <v>0.42372881355932202</v>
      </c>
      <c r="AJ17" s="9">
        <f t="shared" si="2"/>
        <v>1.0593220338983049</v>
      </c>
      <c r="AK17" s="9">
        <f t="shared" si="2"/>
        <v>0.42372881355932202</v>
      </c>
    </row>
    <row r="18" spans="1:37" s="7" customFormat="1" x14ac:dyDescent="0.25">
      <c r="A18" s="45"/>
      <c r="B18" s="7" t="s">
        <v>25</v>
      </c>
      <c r="C18" s="8">
        <v>790</v>
      </c>
      <c r="D18" s="8">
        <v>19</v>
      </c>
      <c r="E18" s="8">
        <v>17</v>
      </c>
      <c r="F18" s="8">
        <v>28</v>
      </c>
      <c r="G18" s="7">
        <v>5</v>
      </c>
      <c r="H18" s="7">
        <v>3</v>
      </c>
      <c r="I18" s="7">
        <v>3</v>
      </c>
      <c r="J18" s="7">
        <v>5</v>
      </c>
      <c r="K18" s="30">
        <v>1</v>
      </c>
      <c r="L18" s="7">
        <v>21</v>
      </c>
      <c r="M18" s="7">
        <v>17</v>
      </c>
      <c r="N18" s="7">
        <v>28</v>
      </c>
      <c r="O18" s="7">
        <v>5</v>
      </c>
      <c r="P18" s="7">
        <v>3</v>
      </c>
      <c r="Q18" s="7">
        <v>4</v>
      </c>
      <c r="R18" s="7">
        <v>6</v>
      </c>
      <c r="S18" s="7">
        <v>1</v>
      </c>
      <c r="V18" s="9">
        <f t="shared" si="0"/>
        <v>2.4050632911392404</v>
      </c>
      <c r="W18" s="9">
        <f t="shared" si="0"/>
        <v>2.1518987341772151</v>
      </c>
      <c r="X18" s="9">
        <f t="shared" si="0"/>
        <v>3.5443037974683547</v>
      </c>
      <c r="Y18" s="9">
        <f t="shared" si="0"/>
        <v>0.63291139240506333</v>
      </c>
      <c r="Z18" s="9">
        <f t="shared" si="0"/>
        <v>0.37974683544303794</v>
      </c>
      <c r="AA18" s="9">
        <f t="shared" si="0"/>
        <v>0.37974683544303794</v>
      </c>
      <c r="AB18" s="9">
        <f t="shared" si="0"/>
        <v>0.63291139240506333</v>
      </c>
      <c r="AC18" s="22">
        <f t="shared" si="0"/>
        <v>0.12658227848101267</v>
      </c>
      <c r="AD18" s="9">
        <f t="shared" si="1"/>
        <v>2.6582278481012658</v>
      </c>
      <c r="AE18" s="9">
        <f t="shared" si="1"/>
        <v>2.1518987341772151</v>
      </c>
      <c r="AF18" s="9">
        <f t="shared" si="1"/>
        <v>3.5443037974683547</v>
      </c>
      <c r="AG18" s="9">
        <f t="shared" si="1"/>
        <v>0.63291139240506333</v>
      </c>
      <c r="AH18" s="9">
        <f t="shared" si="2"/>
        <v>0.37974683544303794</v>
      </c>
      <c r="AI18" s="9">
        <f t="shared" si="2"/>
        <v>0.50632911392405067</v>
      </c>
      <c r="AJ18" s="9">
        <f t="shared" si="2"/>
        <v>0.75949367088607589</v>
      </c>
      <c r="AK18" s="9">
        <f t="shared" si="2"/>
        <v>0.12658227848101267</v>
      </c>
    </row>
    <row r="19" spans="1:37" s="10" customFormat="1" x14ac:dyDescent="0.25">
      <c r="A19" s="41" t="s">
        <v>57</v>
      </c>
      <c r="B19" s="10" t="s">
        <v>18</v>
      </c>
      <c r="C19" s="11">
        <v>607</v>
      </c>
      <c r="D19" s="11">
        <v>18</v>
      </c>
      <c r="E19" s="11">
        <v>12</v>
      </c>
      <c r="F19" s="11">
        <v>19</v>
      </c>
      <c r="G19" s="10">
        <v>5</v>
      </c>
      <c r="H19" s="10">
        <v>0</v>
      </c>
      <c r="I19" s="10">
        <v>0</v>
      </c>
      <c r="J19" s="10">
        <v>1</v>
      </c>
      <c r="K19" s="31">
        <v>0</v>
      </c>
      <c r="L19" s="10">
        <v>18</v>
      </c>
      <c r="M19" s="10">
        <v>12</v>
      </c>
      <c r="N19" s="10">
        <v>19</v>
      </c>
      <c r="O19" s="10">
        <v>5</v>
      </c>
      <c r="P19" s="10">
        <v>0</v>
      </c>
      <c r="Q19" s="10">
        <v>0</v>
      </c>
      <c r="R19" s="10">
        <v>1</v>
      </c>
      <c r="S19" s="10">
        <v>0</v>
      </c>
      <c r="V19" s="12">
        <f t="shared" si="0"/>
        <v>2.9654036243822075</v>
      </c>
      <c r="W19" s="12">
        <f t="shared" si="0"/>
        <v>1.9769357495881383</v>
      </c>
      <c r="X19" s="12">
        <f t="shared" si="0"/>
        <v>3.1301482701812189</v>
      </c>
      <c r="Y19" s="12">
        <f t="shared" si="0"/>
        <v>0.82372322899505768</v>
      </c>
      <c r="Z19" s="12">
        <f t="shared" si="0"/>
        <v>0</v>
      </c>
      <c r="AA19" s="12">
        <f t="shared" si="0"/>
        <v>0</v>
      </c>
      <c r="AB19" s="12">
        <f t="shared" si="0"/>
        <v>0.16474464579901155</v>
      </c>
      <c r="AC19" s="23">
        <f t="shared" si="0"/>
        <v>0</v>
      </c>
      <c r="AD19" s="12">
        <f t="shared" si="0"/>
        <v>2.9654036243822075</v>
      </c>
      <c r="AE19" s="12">
        <f t="shared" si="0"/>
        <v>1.9769357495881383</v>
      </c>
      <c r="AF19" s="12">
        <f t="shared" si="0"/>
        <v>3.1301482701812189</v>
      </c>
      <c r="AG19" s="12">
        <f t="shared" si="0"/>
        <v>0.82372322899505768</v>
      </c>
      <c r="AH19" s="12">
        <f t="shared" si="2"/>
        <v>0</v>
      </c>
      <c r="AI19" s="12">
        <f t="shared" si="2"/>
        <v>0</v>
      </c>
      <c r="AJ19" s="12">
        <f t="shared" si="2"/>
        <v>0.16474464579901155</v>
      </c>
      <c r="AK19" s="12">
        <f t="shared" si="2"/>
        <v>0</v>
      </c>
    </row>
    <row r="20" spans="1:37" s="10" customFormat="1" x14ac:dyDescent="0.25">
      <c r="A20" s="41"/>
      <c r="B20" s="10" t="s">
        <v>19</v>
      </c>
      <c r="C20" s="11">
        <v>761</v>
      </c>
      <c r="D20" s="11">
        <v>41</v>
      </c>
      <c r="E20" s="11">
        <v>16</v>
      </c>
      <c r="F20" s="11">
        <v>17</v>
      </c>
      <c r="G20" s="10">
        <v>5</v>
      </c>
      <c r="H20" s="10">
        <v>6</v>
      </c>
      <c r="I20" s="10">
        <v>1</v>
      </c>
      <c r="J20" s="10">
        <v>2</v>
      </c>
      <c r="K20" s="31">
        <v>0</v>
      </c>
      <c r="L20" s="10">
        <v>41</v>
      </c>
      <c r="M20" s="10">
        <v>17</v>
      </c>
      <c r="N20" s="10">
        <v>17</v>
      </c>
      <c r="O20" s="10">
        <v>5</v>
      </c>
      <c r="P20" s="10">
        <v>6</v>
      </c>
      <c r="Q20" s="10">
        <v>2</v>
      </c>
      <c r="R20" s="10">
        <v>2</v>
      </c>
      <c r="S20" s="10">
        <v>0</v>
      </c>
      <c r="V20" s="12">
        <f t="shared" si="0"/>
        <v>5.3876478318002627</v>
      </c>
      <c r="W20" s="12">
        <f t="shared" si="0"/>
        <v>2.1024967148488831</v>
      </c>
      <c r="X20" s="12">
        <f t="shared" si="0"/>
        <v>2.2339027595269383</v>
      </c>
      <c r="Y20" s="12">
        <f t="shared" si="0"/>
        <v>0.65703022339027595</v>
      </c>
      <c r="Z20" s="12">
        <f t="shared" si="0"/>
        <v>0.78843626806833111</v>
      </c>
      <c r="AA20" s="12">
        <f t="shared" si="0"/>
        <v>0.13140604467805519</v>
      </c>
      <c r="AB20" s="12">
        <f t="shared" si="0"/>
        <v>0.26281208935611039</v>
      </c>
      <c r="AC20" s="23">
        <f t="shared" si="0"/>
        <v>0</v>
      </c>
      <c r="AD20" s="12">
        <f t="shared" si="0"/>
        <v>5.3876478318002627</v>
      </c>
      <c r="AE20" s="12">
        <f t="shared" si="0"/>
        <v>2.2339027595269383</v>
      </c>
      <c r="AF20" s="12">
        <f t="shared" si="0"/>
        <v>2.2339027595269383</v>
      </c>
      <c r="AG20" s="12">
        <f t="shared" si="0"/>
        <v>0.65703022339027595</v>
      </c>
      <c r="AH20" s="12">
        <f t="shared" si="2"/>
        <v>0.78843626806833111</v>
      </c>
      <c r="AI20" s="12">
        <f t="shared" si="2"/>
        <v>0.26281208935611039</v>
      </c>
      <c r="AJ20" s="12">
        <f t="shared" si="2"/>
        <v>0.26281208935611039</v>
      </c>
      <c r="AK20" s="12">
        <f t="shared" si="2"/>
        <v>0</v>
      </c>
    </row>
    <row r="21" spans="1:37" s="10" customFormat="1" x14ac:dyDescent="0.25">
      <c r="A21" s="41"/>
      <c r="B21" s="10" t="s">
        <v>20</v>
      </c>
      <c r="C21" s="11">
        <v>562</v>
      </c>
      <c r="D21" s="11">
        <v>41</v>
      </c>
      <c r="E21" s="11">
        <v>17</v>
      </c>
      <c r="F21" s="11">
        <v>19</v>
      </c>
      <c r="G21" s="10">
        <v>11</v>
      </c>
      <c r="H21" s="10">
        <v>8</v>
      </c>
      <c r="I21" s="10">
        <v>3</v>
      </c>
      <c r="J21" s="10">
        <v>3</v>
      </c>
      <c r="K21" s="31">
        <v>2</v>
      </c>
      <c r="L21" s="10">
        <v>45</v>
      </c>
      <c r="M21" s="10">
        <v>19</v>
      </c>
      <c r="N21" s="10">
        <v>20</v>
      </c>
      <c r="O21" s="10">
        <v>13</v>
      </c>
      <c r="P21" s="10">
        <v>9</v>
      </c>
      <c r="Q21" s="10">
        <v>3</v>
      </c>
      <c r="R21" s="10">
        <v>3</v>
      </c>
      <c r="S21" s="10">
        <v>2</v>
      </c>
      <c r="V21" s="12">
        <f t="shared" si="0"/>
        <v>7.2953736654804269</v>
      </c>
      <c r="W21" s="12">
        <f t="shared" si="0"/>
        <v>3.0249110320284696</v>
      </c>
      <c r="X21" s="12">
        <f t="shared" si="0"/>
        <v>3.3807829181494666</v>
      </c>
      <c r="Y21" s="12">
        <f t="shared" si="0"/>
        <v>1.9572953736654803</v>
      </c>
      <c r="Z21" s="12">
        <f t="shared" si="0"/>
        <v>1.4234875444839856</v>
      </c>
      <c r="AA21" s="12">
        <f t="shared" si="0"/>
        <v>0.53380782918149472</v>
      </c>
      <c r="AB21" s="12">
        <f t="shared" si="0"/>
        <v>0.53380782918149472</v>
      </c>
      <c r="AC21" s="23">
        <f t="shared" si="0"/>
        <v>0.35587188612099641</v>
      </c>
      <c r="AD21" s="12">
        <f t="shared" si="0"/>
        <v>8.007117437722421</v>
      </c>
      <c r="AE21" s="12">
        <f t="shared" si="0"/>
        <v>3.3807829181494666</v>
      </c>
      <c r="AF21" s="12">
        <f t="shared" si="0"/>
        <v>3.5587188612099649</v>
      </c>
      <c r="AG21" s="12">
        <f t="shared" si="0"/>
        <v>2.3131672597864767</v>
      </c>
      <c r="AH21" s="12">
        <f t="shared" si="2"/>
        <v>1.6014234875444839</v>
      </c>
      <c r="AI21" s="12">
        <f t="shared" si="2"/>
        <v>0.53380782918149472</v>
      </c>
      <c r="AJ21" s="12">
        <f t="shared" si="2"/>
        <v>0.53380782918149472</v>
      </c>
      <c r="AK21" s="12">
        <f t="shared" si="2"/>
        <v>0.35587188612099641</v>
      </c>
    </row>
    <row r="22" spans="1:37" s="10" customFormat="1" x14ac:dyDescent="0.25">
      <c r="A22" s="41"/>
      <c r="B22" s="10" t="s">
        <v>21</v>
      </c>
      <c r="C22" s="11">
        <v>911</v>
      </c>
      <c r="D22" s="11">
        <v>31</v>
      </c>
      <c r="E22" s="11">
        <v>17</v>
      </c>
      <c r="F22" s="11">
        <v>20</v>
      </c>
      <c r="G22" s="10">
        <v>5</v>
      </c>
      <c r="H22" s="10">
        <v>6</v>
      </c>
      <c r="I22" s="10">
        <v>5</v>
      </c>
      <c r="J22" s="10">
        <v>5</v>
      </c>
      <c r="K22" s="31">
        <v>2</v>
      </c>
      <c r="L22" s="10">
        <v>33</v>
      </c>
      <c r="M22" s="10">
        <v>17</v>
      </c>
      <c r="N22" s="10">
        <v>20</v>
      </c>
      <c r="O22" s="10">
        <v>5</v>
      </c>
      <c r="P22" s="10">
        <v>8</v>
      </c>
      <c r="Q22" s="10">
        <v>6</v>
      </c>
      <c r="R22" s="10">
        <v>6</v>
      </c>
      <c r="S22" s="10">
        <v>2</v>
      </c>
      <c r="V22" s="12">
        <f t="shared" si="0"/>
        <v>3.4028540065861685</v>
      </c>
      <c r="W22" s="12">
        <f t="shared" si="0"/>
        <v>1.8660812294182216</v>
      </c>
      <c r="X22" s="12">
        <f t="shared" si="0"/>
        <v>2.1953896816684964</v>
      </c>
      <c r="Y22" s="12">
        <f t="shared" si="0"/>
        <v>0.54884742041712409</v>
      </c>
      <c r="Z22" s="12">
        <f t="shared" si="0"/>
        <v>0.65861690450054877</v>
      </c>
      <c r="AA22" s="12">
        <f t="shared" si="0"/>
        <v>0.54884742041712409</v>
      </c>
      <c r="AB22" s="12">
        <f t="shared" si="0"/>
        <v>0.54884742041712409</v>
      </c>
      <c r="AC22" s="23">
        <f t="shared" si="0"/>
        <v>0.21953896816684962</v>
      </c>
      <c r="AD22" s="12">
        <f t="shared" si="0"/>
        <v>3.6223929747530184</v>
      </c>
      <c r="AE22" s="12">
        <f t="shared" si="0"/>
        <v>1.8660812294182216</v>
      </c>
      <c r="AF22" s="12">
        <f t="shared" si="0"/>
        <v>2.1953896816684964</v>
      </c>
      <c r="AG22" s="12">
        <f t="shared" si="0"/>
        <v>0.54884742041712409</v>
      </c>
      <c r="AH22" s="12">
        <f t="shared" si="2"/>
        <v>0.87815587266739847</v>
      </c>
      <c r="AI22" s="12">
        <f t="shared" si="2"/>
        <v>0.65861690450054877</v>
      </c>
      <c r="AJ22" s="12">
        <f t="shared" si="2"/>
        <v>0.65861690450054877</v>
      </c>
      <c r="AK22" s="12">
        <f t="shared" si="2"/>
        <v>0.21953896816684962</v>
      </c>
    </row>
    <row r="23" spans="1:37" s="10" customFormat="1" x14ac:dyDescent="0.25">
      <c r="A23" s="41"/>
      <c r="B23" s="10" t="s">
        <v>22</v>
      </c>
      <c r="C23" s="11">
        <v>670</v>
      </c>
      <c r="D23" s="11">
        <v>26</v>
      </c>
      <c r="E23" s="11">
        <v>28</v>
      </c>
      <c r="F23" s="11">
        <v>26</v>
      </c>
      <c r="G23" s="10">
        <v>11</v>
      </c>
      <c r="H23" s="10">
        <v>1</v>
      </c>
      <c r="I23" s="10">
        <v>4</v>
      </c>
      <c r="J23" s="10">
        <v>4</v>
      </c>
      <c r="K23" s="31">
        <v>0</v>
      </c>
      <c r="L23" s="10">
        <v>27</v>
      </c>
      <c r="M23" s="10">
        <v>31</v>
      </c>
      <c r="N23" s="10">
        <v>26</v>
      </c>
      <c r="O23" s="10">
        <v>11</v>
      </c>
      <c r="P23" s="10">
        <v>2</v>
      </c>
      <c r="Q23" s="10">
        <v>6</v>
      </c>
      <c r="R23" s="10">
        <v>4</v>
      </c>
      <c r="S23" s="10">
        <v>0</v>
      </c>
      <c r="V23" s="12">
        <f t="shared" si="0"/>
        <v>3.8805970149253728</v>
      </c>
      <c r="W23" s="12">
        <f t="shared" si="0"/>
        <v>4.1791044776119408</v>
      </c>
      <c r="X23" s="12">
        <f t="shared" si="0"/>
        <v>3.8805970149253728</v>
      </c>
      <c r="Y23" s="12">
        <f t="shared" si="0"/>
        <v>1.6417910447761193</v>
      </c>
      <c r="Z23" s="12">
        <f t="shared" si="0"/>
        <v>0.1492537313432836</v>
      </c>
      <c r="AA23" s="12">
        <f t="shared" si="0"/>
        <v>0.59701492537313439</v>
      </c>
      <c r="AB23" s="12">
        <f t="shared" si="0"/>
        <v>0.59701492537313439</v>
      </c>
      <c r="AC23" s="23">
        <f t="shared" si="0"/>
        <v>0</v>
      </c>
      <c r="AD23" s="12">
        <f t="shared" si="0"/>
        <v>4.0298507462686564</v>
      </c>
      <c r="AE23" s="12">
        <f t="shared" si="0"/>
        <v>4.6268656716417906</v>
      </c>
      <c r="AF23" s="12">
        <f t="shared" si="0"/>
        <v>3.8805970149253728</v>
      </c>
      <c r="AG23" s="12">
        <f t="shared" si="0"/>
        <v>1.6417910447761193</v>
      </c>
      <c r="AH23" s="12">
        <f t="shared" si="2"/>
        <v>0.29850746268656719</v>
      </c>
      <c r="AI23" s="12">
        <f t="shared" si="2"/>
        <v>0.89552238805970152</v>
      </c>
      <c r="AJ23" s="12">
        <f t="shared" si="2"/>
        <v>0.59701492537313439</v>
      </c>
      <c r="AK23" s="12">
        <f t="shared" si="2"/>
        <v>0</v>
      </c>
    </row>
    <row r="24" spans="1:37" s="10" customFormat="1" x14ac:dyDescent="0.25">
      <c r="A24" s="41"/>
      <c r="B24" s="10" t="s">
        <v>23</v>
      </c>
      <c r="C24" s="11">
        <v>625</v>
      </c>
      <c r="D24" s="11">
        <v>23</v>
      </c>
      <c r="E24" s="11">
        <v>14</v>
      </c>
      <c r="F24" s="11">
        <v>38</v>
      </c>
      <c r="G24" s="10">
        <v>9</v>
      </c>
      <c r="H24" s="10">
        <v>2</v>
      </c>
      <c r="I24" s="10">
        <v>4</v>
      </c>
      <c r="J24" s="10">
        <v>9</v>
      </c>
      <c r="K24" s="31">
        <v>1</v>
      </c>
      <c r="L24" s="10">
        <v>23</v>
      </c>
      <c r="M24" s="10">
        <v>14</v>
      </c>
      <c r="N24" s="10">
        <v>38</v>
      </c>
      <c r="O24" s="10">
        <v>9</v>
      </c>
      <c r="P24" s="10">
        <v>3</v>
      </c>
      <c r="Q24" s="10">
        <v>4</v>
      </c>
      <c r="R24" s="10">
        <v>11</v>
      </c>
      <c r="S24" s="10">
        <v>1</v>
      </c>
      <c r="V24" s="12">
        <f t="shared" si="0"/>
        <v>3.6799999999999997</v>
      </c>
      <c r="W24" s="12">
        <f t="shared" si="0"/>
        <v>2.2399999999999998</v>
      </c>
      <c r="X24" s="12">
        <f t="shared" si="0"/>
        <v>6.08</v>
      </c>
      <c r="Y24" s="12">
        <f t="shared" si="0"/>
        <v>1.44</v>
      </c>
      <c r="Z24" s="12">
        <f t="shared" si="0"/>
        <v>0.32</v>
      </c>
      <c r="AA24" s="12">
        <f t="shared" si="0"/>
        <v>0.64</v>
      </c>
      <c r="AB24" s="12">
        <f t="shared" si="0"/>
        <v>1.44</v>
      </c>
      <c r="AC24" s="23">
        <f t="shared" si="0"/>
        <v>0.16</v>
      </c>
      <c r="AD24" s="12">
        <f t="shared" si="0"/>
        <v>3.6799999999999997</v>
      </c>
      <c r="AE24" s="12">
        <f t="shared" si="0"/>
        <v>2.2399999999999998</v>
      </c>
      <c r="AF24" s="12">
        <f t="shared" si="0"/>
        <v>6.08</v>
      </c>
      <c r="AG24" s="12">
        <f t="shared" si="0"/>
        <v>1.44</v>
      </c>
      <c r="AH24" s="12">
        <f t="shared" si="2"/>
        <v>0.48</v>
      </c>
      <c r="AI24" s="12">
        <f t="shared" si="2"/>
        <v>0.64</v>
      </c>
      <c r="AJ24" s="12">
        <f t="shared" si="2"/>
        <v>1.76</v>
      </c>
      <c r="AK24" s="12">
        <f t="shared" si="2"/>
        <v>0.16</v>
      </c>
    </row>
    <row r="25" spans="1:37" s="10" customFormat="1" x14ac:dyDescent="0.25">
      <c r="A25" s="41"/>
      <c r="B25" s="10" t="s">
        <v>24</v>
      </c>
      <c r="C25" s="11">
        <v>482</v>
      </c>
      <c r="D25" s="11">
        <v>25</v>
      </c>
      <c r="E25" s="11">
        <v>15</v>
      </c>
      <c r="F25" s="11">
        <v>19</v>
      </c>
      <c r="G25" s="10">
        <v>9</v>
      </c>
      <c r="H25" s="10">
        <v>5</v>
      </c>
      <c r="I25" s="10">
        <v>4</v>
      </c>
      <c r="J25" s="10">
        <v>8</v>
      </c>
      <c r="K25" s="31">
        <v>2</v>
      </c>
      <c r="L25" s="10">
        <v>25</v>
      </c>
      <c r="M25" s="10">
        <v>15</v>
      </c>
      <c r="N25" s="10">
        <v>19</v>
      </c>
      <c r="O25" s="10">
        <v>9</v>
      </c>
      <c r="P25" s="10">
        <v>5</v>
      </c>
      <c r="Q25" s="10">
        <v>4</v>
      </c>
      <c r="R25" s="10">
        <v>12</v>
      </c>
      <c r="S25" s="10">
        <v>2</v>
      </c>
      <c r="V25" s="12">
        <f t="shared" si="0"/>
        <v>5.186721991701245</v>
      </c>
      <c r="W25" s="12">
        <f t="shared" si="0"/>
        <v>3.1120331950207469</v>
      </c>
      <c r="X25" s="12">
        <f t="shared" si="0"/>
        <v>3.9419087136929458</v>
      </c>
      <c r="Y25" s="12">
        <f t="shared" si="0"/>
        <v>1.8672199170124482</v>
      </c>
      <c r="Z25" s="12">
        <f t="shared" si="0"/>
        <v>1.0373443983402488</v>
      </c>
      <c r="AA25" s="12">
        <f t="shared" si="0"/>
        <v>0.82987551867219922</v>
      </c>
      <c r="AB25" s="12">
        <f t="shared" si="0"/>
        <v>1.6597510373443984</v>
      </c>
      <c r="AC25" s="23">
        <f t="shared" si="0"/>
        <v>0.41493775933609961</v>
      </c>
      <c r="AD25" s="12">
        <f t="shared" si="0"/>
        <v>5.186721991701245</v>
      </c>
      <c r="AE25" s="12">
        <f t="shared" si="0"/>
        <v>3.1120331950207469</v>
      </c>
      <c r="AF25" s="12">
        <f t="shared" si="0"/>
        <v>3.9419087136929458</v>
      </c>
      <c r="AG25" s="12">
        <f t="shared" si="0"/>
        <v>1.8672199170124482</v>
      </c>
      <c r="AH25" s="12">
        <f t="shared" si="2"/>
        <v>1.0373443983402488</v>
      </c>
      <c r="AI25" s="12">
        <f t="shared" si="2"/>
        <v>0.82987551867219922</v>
      </c>
      <c r="AJ25" s="12">
        <f t="shared" si="2"/>
        <v>2.4896265560165975</v>
      </c>
      <c r="AK25" s="12">
        <f t="shared" si="2"/>
        <v>0.41493775933609961</v>
      </c>
    </row>
    <row r="26" spans="1:37" s="10" customFormat="1" x14ac:dyDescent="0.25">
      <c r="A26" s="41"/>
      <c r="B26" s="10" t="s">
        <v>25</v>
      </c>
      <c r="C26" s="11">
        <v>806</v>
      </c>
      <c r="D26" s="11">
        <v>37</v>
      </c>
      <c r="E26" s="11">
        <v>30</v>
      </c>
      <c r="F26" s="11">
        <v>27</v>
      </c>
      <c r="G26" s="10">
        <v>10</v>
      </c>
      <c r="H26" s="10">
        <v>2</v>
      </c>
      <c r="I26" s="10">
        <v>6</v>
      </c>
      <c r="J26" s="10">
        <v>8</v>
      </c>
      <c r="K26" s="31">
        <v>2</v>
      </c>
      <c r="L26" s="10">
        <v>39</v>
      </c>
      <c r="M26" s="10">
        <v>31</v>
      </c>
      <c r="N26" s="10">
        <v>27</v>
      </c>
      <c r="O26" s="10">
        <v>10</v>
      </c>
      <c r="P26" s="10">
        <v>2</v>
      </c>
      <c r="Q26" s="10">
        <v>6</v>
      </c>
      <c r="R26" s="10">
        <v>9</v>
      </c>
      <c r="S26" s="10">
        <v>2</v>
      </c>
      <c r="V26" s="12">
        <f t="shared" si="0"/>
        <v>4.5905707196029777</v>
      </c>
      <c r="W26" s="12">
        <f t="shared" si="0"/>
        <v>3.7220843672456572</v>
      </c>
      <c r="X26" s="12">
        <f t="shared" si="0"/>
        <v>3.3498759305210917</v>
      </c>
      <c r="Y26" s="12">
        <f t="shared" si="0"/>
        <v>1.240694789081886</v>
      </c>
      <c r="Z26" s="12">
        <f t="shared" si="0"/>
        <v>0.24813895781637718</v>
      </c>
      <c r="AA26" s="12">
        <f t="shared" si="0"/>
        <v>0.74441687344913154</v>
      </c>
      <c r="AB26" s="12">
        <f t="shared" si="0"/>
        <v>0.99255583126550873</v>
      </c>
      <c r="AC26" s="23">
        <f t="shared" si="0"/>
        <v>0.24813895781637718</v>
      </c>
      <c r="AD26" s="12">
        <f t="shared" si="0"/>
        <v>4.838709677419355</v>
      </c>
      <c r="AE26" s="12">
        <f t="shared" si="0"/>
        <v>3.8461538461538463</v>
      </c>
      <c r="AF26" s="12">
        <f t="shared" si="0"/>
        <v>3.3498759305210917</v>
      </c>
      <c r="AG26" s="12">
        <f t="shared" si="0"/>
        <v>1.240694789081886</v>
      </c>
      <c r="AH26" s="12">
        <f t="shared" si="2"/>
        <v>0.24813895781637718</v>
      </c>
      <c r="AI26" s="12">
        <f t="shared" si="2"/>
        <v>0.74441687344913154</v>
      </c>
      <c r="AJ26" s="12">
        <f t="shared" si="2"/>
        <v>1.1166253101736971</v>
      </c>
      <c r="AK26" s="12">
        <f t="shared" si="2"/>
        <v>0.24813895781637718</v>
      </c>
    </row>
    <row r="27" spans="1:37" s="13" customFormat="1" x14ac:dyDescent="0.25">
      <c r="A27" s="42" t="s">
        <v>0</v>
      </c>
      <c r="B27" s="13" t="s">
        <v>26</v>
      </c>
      <c r="C27" s="14">
        <v>636</v>
      </c>
      <c r="D27" s="14">
        <v>16</v>
      </c>
      <c r="E27" s="14">
        <v>10</v>
      </c>
      <c r="F27" s="14">
        <v>31</v>
      </c>
      <c r="G27" s="13">
        <v>6</v>
      </c>
      <c r="H27" s="13">
        <v>4</v>
      </c>
      <c r="I27" s="13">
        <v>2</v>
      </c>
      <c r="J27" s="13">
        <v>11</v>
      </c>
      <c r="K27" s="32">
        <v>2</v>
      </c>
      <c r="L27" s="13">
        <v>18</v>
      </c>
      <c r="M27" s="13">
        <v>13</v>
      </c>
      <c r="N27" s="13">
        <v>32</v>
      </c>
      <c r="O27" s="13">
        <v>8</v>
      </c>
      <c r="P27" s="13">
        <v>4</v>
      </c>
      <c r="Q27" s="13">
        <v>2</v>
      </c>
      <c r="R27" s="13">
        <v>18</v>
      </c>
      <c r="S27" s="13">
        <v>2</v>
      </c>
      <c r="V27" s="15">
        <f t="shared" si="0"/>
        <v>2.5157232704402519</v>
      </c>
      <c r="W27" s="15">
        <f t="shared" si="0"/>
        <v>1.5723270440251573</v>
      </c>
      <c r="X27" s="15">
        <f t="shared" si="0"/>
        <v>4.8742138364779874</v>
      </c>
      <c r="Y27" s="15">
        <f t="shared" si="0"/>
        <v>0.94339622641509435</v>
      </c>
      <c r="Z27" s="15">
        <f t="shared" si="0"/>
        <v>0.62893081761006298</v>
      </c>
      <c r="AA27" s="15">
        <f t="shared" si="0"/>
        <v>0.31446540880503149</v>
      </c>
      <c r="AB27" s="15">
        <f t="shared" si="0"/>
        <v>1.729559748427673</v>
      </c>
      <c r="AC27" s="24">
        <f t="shared" si="0"/>
        <v>0.31446540880503149</v>
      </c>
      <c r="AD27" s="15">
        <f t="shared" si="0"/>
        <v>2.8301886792452833</v>
      </c>
      <c r="AE27" s="15">
        <f t="shared" si="0"/>
        <v>2.0440251572327042</v>
      </c>
      <c r="AF27" s="15">
        <f t="shared" si="0"/>
        <v>5.0314465408805038</v>
      </c>
      <c r="AG27" s="15">
        <f t="shared" si="0"/>
        <v>1.257861635220126</v>
      </c>
      <c r="AH27" s="15">
        <f t="shared" si="2"/>
        <v>0.62893081761006298</v>
      </c>
      <c r="AI27" s="15">
        <f t="shared" si="2"/>
        <v>0.31446540880503149</v>
      </c>
      <c r="AJ27" s="15">
        <f t="shared" si="2"/>
        <v>2.8301886792452833</v>
      </c>
      <c r="AK27" s="15">
        <f t="shared" si="2"/>
        <v>0.31446540880503149</v>
      </c>
    </row>
    <row r="28" spans="1:37" s="13" customFormat="1" x14ac:dyDescent="0.25">
      <c r="A28" s="42"/>
      <c r="B28" s="13" t="s">
        <v>27</v>
      </c>
      <c r="C28" s="14">
        <v>636</v>
      </c>
      <c r="D28" s="14">
        <v>27</v>
      </c>
      <c r="E28" s="14">
        <v>15</v>
      </c>
      <c r="F28" s="14">
        <v>24</v>
      </c>
      <c r="G28" s="13">
        <v>10</v>
      </c>
      <c r="H28" s="13">
        <v>3</v>
      </c>
      <c r="I28" s="13">
        <v>0</v>
      </c>
      <c r="J28" s="13">
        <v>2</v>
      </c>
      <c r="K28" s="32">
        <v>0</v>
      </c>
      <c r="L28" s="13">
        <v>28</v>
      </c>
      <c r="M28" s="13">
        <v>15</v>
      </c>
      <c r="N28" s="13">
        <v>24</v>
      </c>
      <c r="O28" s="13">
        <v>10</v>
      </c>
      <c r="P28" s="13">
        <v>3</v>
      </c>
      <c r="Q28" s="13">
        <v>0</v>
      </c>
      <c r="R28" s="13">
        <v>2</v>
      </c>
      <c r="S28" s="13">
        <v>0</v>
      </c>
      <c r="V28" s="15">
        <f t="shared" si="0"/>
        <v>4.2452830188679247</v>
      </c>
      <c r="W28" s="15">
        <f t="shared" si="0"/>
        <v>2.358490566037736</v>
      </c>
      <c r="X28" s="15">
        <f t="shared" si="0"/>
        <v>3.7735849056603774</v>
      </c>
      <c r="Y28" s="15">
        <f t="shared" si="0"/>
        <v>1.5723270440251573</v>
      </c>
      <c r="Z28" s="15">
        <f t="shared" si="0"/>
        <v>0.47169811320754718</v>
      </c>
      <c r="AA28" s="15">
        <f t="shared" si="0"/>
        <v>0</v>
      </c>
      <c r="AB28" s="15">
        <f t="shared" si="0"/>
        <v>0.31446540880503149</v>
      </c>
      <c r="AC28" s="24">
        <f t="shared" si="0"/>
        <v>0</v>
      </c>
      <c r="AD28" s="15">
        <f t="shared" si="0"/>
        <v>4.4025157232704402</v>
      </c>
      <c r="AE28" s="15">
        <f t="shared" si="0"/>
        <v>2.358490566037736</v>
      </c>
      <c r="AF28" s="15">
        <f t="shared" si="0"/>
        <v>3.7735849056603774</v>
      </c>
      <c r="AG28" s="15">
        <f t="shared" si="0"/>
        <v>1.5723270440251573</v>
      </c>
      <c r="AH28" s="15">
        <f t="shared" si="2"/>
        <v>0.47169811320754718</v>
      </c>
      <c r="AI28" s="15">
        <f t="shared" si="2"/>
        <v>0</v>
      </c>
      <c r="AJ28" s="15">
        <f t="shared" si="2"/>
        <v>0.31446540880503149</v>
      </c>
      <c r="AK28" s="15">
        <f t="shared" si="2"/>
        <v>0</v>
      </c>
    </row>
    <row r="29" spans="1:37" s="13" customFormat="1" x14ac:dyDescent="0.25">
      <c r="A29" s="42"/>
      <c r="B29" s="13" t="s">
        <v>28</v>
      </c>
      <c r="C29" s="14">
        <v>636</v>
      </c>
      <c r="D29" s="14">
        <v>30</v>
      </c>
      <c r="E29" s="14">
        <v>17</v>
      </c>
      <c r="F29" s="14">
        <v>42</v>
      </c>
      <c r="G29" s="13">
        <v>11</v>
      </c>
      <c r="H29" s="13">
        <v>3</v>
      </c>
      <c r="I29" s="13">
        <v>0</v>
      </c>
      <c r="J29" s="13">
        <v>11</v>
      </c>
      <c r="K29" s="32">
        <v>0</v>
      </c>
      <c r="L29" s="13">
        <v>31</v>
      </c>
      <c r="M29" s="13">
        <v>19</v>
      </c>
      <c r="N29" s="13">
        <v>42</v>
      </c>
      <c r="O29" s="13">
        <v>12</v>
      </c>
      <c r="P29" s="13">
        <v>4</v>
      </c>
      <c r="Q29" s="13">
        <v>0</v>
      </c>
      <c r="R29" s="13">
        <v>16</v>
      </c>
      <c r="S29" s="13">
        <v>0</v>
      </c>
      <c r="V29" s="15">
        <f t="shared" si="0"/>
        <v>4.716981132075472</v>
      </c>
      <c r="W29" s="15">
        <f t="shared" si="0"/>
        <v>2.6729559748427674</v>
      </c>
      <c r="X29" s="15">
        <f t="shared" si="0"/>
        <v>6.6037735849056602</v>
      </c>
      <c r="Y29" s="15">
        <f t="shared" si="0"/>
        <v>1.729559748427673</v>
      </c>
      <c r="Z29" s="15">
        <f t="shared" si="0"/>
        <v>0.47169811320754718</v>
      </c>
      <c r="AA29" s="15">
        <f t="shared" si="0"/>
        <v>0</v>
      </c>
      <c r="AB29" s="15">
        <f t="shared" si="0"/>
        <v>1.729559748427673</v>
      </c>
      <c r="AC29" s="24">
        <f t="shared" ref="AC29:AK60" si="3">(K29/$C29)*100</f>
        <v>0</v>
      </c>
      <c r="AD29" s="15">
        <f t="shared" si="3"/>
        <v>4.8742138364779874</v>
      </c>
      <c r="AE29" s="15">
        <f t="shared" si="3"/>
        <v>2.9874213836477987</v>
      </c>
      <c r="AF29" s="15">
        <f t="shared" si="3"/>
        <v>6.6037735849056602</v>
      </c>
      <c r="AG29" s="15">
        <f t="shared" si="3"/>
        <v>1.8867924528301887</v>
      </c>
      <c r="AH29" s="15">
        <f t="shared" si="2"/>
        <v>0.62893081761006298</v>
      </c>
      <c r="AI29" s="15">
        <f t="shared" si="2"/>
        <v>0</v>
      </c>
      <c r="AJ29" s="15">
        <f t="shared" si="2"/>
        <v>2.5157232704402519</v>
      </c>
      <c r="AK29" s="15">
        <f t="shared" si="2"/>
        <v>0</v>
      </c>
    </row>
    <row r="30" spans="1:37" s="13" customFormat="1" x14ac:dyDescent="0.25">
      <c r="A30" s="42"/>
      <c r="B30" s="13" t="s">
        <v>29</v>
      </c>
      <c r="C30" s="14">
        <v>636</v>
      </c>
      <c r="D30" s="14">
        <v>20</v>
      </c>
      <c r="E30" s="14">
        <v>11</v>
      </c>
      <c r="F30" s="14">
        <v>11</v>
      </c>
      <c r="G30" s="13">
        <v>2</v>
      </c>
      <c r="H30" s="13">
        <v>6</v>
      </c>
      <c r="I30" s="13">
        <v>3</v>
      </c>
      <c r="J30" s="13">
        <v>4</v>
      </c>
      <c r="K30" s="32">
        <v>1</v>
      </c>
      <c r="L30" s="13">
        <v>21</v>
      </c>
      <c r="M30" s="13">
        <v>11</v>
      </c>
      <c r="N30" s="13">
        <v>11</v>
      </c>
      <c r="O30" s="13">
        <v>2</v>
      </c>
      <c r="P30" s="13">
        <v>6</v>
      </c>
      <c r="Q30" s="13">
        <v>4</v>
      </c>
      <c r="R30" s="13">
        <v>4</v>
      </c>
      <c r="S30" s="13">
        <v>1</v>
      </c>
      <c r="V30" s="15">
        <f t="shared" ref="V30:AK61" si="4">(D30/$C30)*100</f>
        <v>3.1446540880503147</v>
      </c>
      <c r="W30" s="15">
        <f t="shared" si="4"/>
        <v>1.729559748427673</v>
      </c>
      <c r="X30" s="15">
        <f t="shared" si="4"/>
        <v>1.729559748427673</v>
      </c>
      <c r="Y30" s="15">
        <f t="shared" si="4"/>
        <v>0.31446540880503149</v>
      </c>
      <c r="Z30" s="15">
        <f t="shared" si="4"/>
        <v>0.94339622641509435</v>
      </c>
      <c r="AA30" s="15">
        <f t="shared" si="4"/>
        <v>0.47169811320754718</v>
      </c>
      <c r="AB30" s="15">
        <f t="shared" si="4"/>
        <v>0.62893081761006298</v>
      </c>
      <c r="AC30" s="24">
        <f t="shared" si="3"/>
        <v>0.15723270440251574</v>
      </c>
      <c r="AD30" s="15">
        <f t="shared" si="3"/>
        <v>3.3018867924528301</v>
      </c>
      <c r="AE30" s="15">
        <f t="shared" si="3"/>
        <v>1.729559748427673</v>
      </c>
      <c r="AF30" s="15">
        <f t="shared" si="3"/>
        <v>1.729559748427673</v>
      </c>
      <c r="AG30" s="15">
        <f t="shared" si="3"/>
        <v>0.31446540880503149</v>
      </c>
      <c r="AH30" s="15">
        <f t="shared" si="2"/>
        <v>0.94339622641509435</v>
      </c>
      <c r="AI30" s="15">
        <f t="shared" si="2"/>
        <v>0.62893081761006298</v>
      </c>
      <c r="AJ30" s="15">
        <f t="shared" si="2"/>
        <v>0.62893081761006298</v>
      </c>
      <c r="AK30" s="15">
        <f t="shared" si="2"/>
        <v>0.15723270440251574</v>
      </c>
    </row>
    <row r="31" spans="1:37" s="13" customFormat="1" x14ac:dyDescent="0.25">
      <c r="A31" s="42"/>
      <c r="B31" s="13" t="s">
        <v>30</v>
      </c>
      <c r="C31" s="14">
        <v>636</v>
      </c>
      <c r="D31" s="14">
        <v>35</v>
      </c>
      <c r="E31" s="14">
        <v>6</v>
      </c>
      <c r="F31" s="14">
        <v>14</v>
      </c>
      <c r="G31" s="13">
        <v>4</v>
      </c>
      <c r="H31" s="13">
        <v>5</v>
      </c>
      <c r="I31" s="13">
        <v>4</v>
      </c>
      <c r="J31" s="13">
        <v>8</v>
      </c>
      <c r="K31" s="32">
        <v>3</v>
      </c>
      <c r="L31" s="13">
        <v>35</v>
      </c>
      <c r="M31" s="13">
        <v>6</v>
      </c>
      <c r="N31" s="13">
        <v>14</v>
      </c>
      <c r="O31" s="13">
        <v>4</v>
      </c>
      <c r="P31" s="13">
        <v>6</v>
      </c>
      <c r="Q31" s="13">
        <v>5</v>
      </c>
      <c r="R31" s="13">
        <v>9</v>
      </c>
      <c r="S31" s="13">
        <v>4</v>
      </c>
      <c r="V31" s="15">
        <f t="shared" si="4"/>
        <v>5.5031446540880502</v>
      </c>
      <c r="W31" s="15">
        <f t="shared" si="4"/>
        <v>0.94339622641509435</v>
      </c>
      <c r="X31" s="15">
        <f t="shared" si="4"/>
        <v>2.2012578616352201</v>
      </c>
      <c r="Y31" s="15">
        <f t="shared" si="4"/>
        <v>0.62893081761006298</v>
      </c>
      <c r="Z31" s="15">
        <f t="shared" si="4"/>
        <v>0.78616352201257866</v>
      </c>
      <c r="AA31" s="15">
        <f t="shared" si="4"/>
        <v>0.62893081761006298</v>
      </c>
      <c r="AB31" s="15">
        <f t="shared" si="4"/>
        <v>1.257861635220126</v>
      </c>
      <c r="AC31" s="24">
        <f t="shared" si="3"/>
        <v>0.47169811320754718</v>
      </c>
      <c r="AD31" s="15">
        <f t="shared" si="3"/>
        <v>5.5031446540880502</v>
      </c>
      <c r="AE31" s="15">
        <f t="shared" si="3"/>
        <v>0.94339622641509435</v>
      </c>
      <c r="AF31" s="15">
        <f t="shared" si="3"/>
        <v>2.2012578616352201</v>
      </c>
      <c r="AG31" s="15">
        <f t="shared" si="3"/>
        <v>0.62893081761006298</v>
      </c>
      <c r="AH31" s="15">
        <f t="shared" si="2"/>
        <v>0.94339622641509435</v>
      </c>
      <c r="AI31" s="15">
        <f t="shared" si="2"/>
        <v>0.78616352201257866</v>
      </c>
      <c r="AJ31" s="15">
        <f t="shared" si="2"/>
        <v>1.4150943396226416</v>
      </c>
      <c r="AK31" s="15">
        <f t="shared" si="2"/>
        <v>0.62893081761006298</v>
      </c>
    </row>
    <row r="32" spans="1:37" s="13" customFormat="1" x14ac:dyDescent="0.25">
      <c r="A32" s="42"/>
      <c r="B32" s="13" t="s">
        <v>31</v>
      </c>
      <c r="C32" s="14">
        <v>563</v>
      </c>
      <c r="D32" s="14">
        <v>20</v>
      </c>
      <c r="E32" s="14">
        <v>14</v>
      </c>
      <c r="F32" s="14">
        <v>27</v>
      </c>
      <c r="G32" s="13">
        <v>5</v>
      </c>
      <c r="H32" s="13">
        <v>1</v>
      </c>
      <c r="I32" s="13">
        <v>3</v>
      </c>
      <c r="J32" s="13">
        <v>5</v>
      </c>
      <c r="K32" s="32">
        <v>0</v>
      </c>
      <c r="L32" s="13">
        <v>21</v>
      </c>
      <c r="M32" s="13">
        <v>14</v>
      </c>
      <c r="N32" s="13">
        <v>27</v>
      </c>
      <c r="O32" s="13">
        <v>5</v>
      </c>
      <c r="P32" s="13">
        <v>2</v>
      </c>
      <c r="Q32" s="13">
        <v>3</v>
      </c>
      <c r="R32" s="13">
        <v>5</v>
      </c>
      <c r="S32" s="13">
        <v>0</v>
      </c>
      <c r="V32" s="15">
        <f t="shared" si="4"/>
        <v>3.5523978685612785</v>
      </c>
      <c r="W32" s="15">
        <f t="shared" si="4"/>
        <v>2.4866785079928952</v>
      </c>
      <c r="X32" s="15">
        <f t="shared" si="4"/>
        <v>4.7957371225577266</v>
      </c>
      <c r="Y32" s="15">
        <f t="shared" si="4"/>
        <v>0.88809946714031962</v>
      </c>
      <c r="Z32" s="15">
        <f t="shared" si="4"/>
        <v>0.17761989342806395</v>
      </c>
      <c r="AA32" s="15">
        <f t="shared" si="4"/>
        <v>0.53285968028419184</v>
      </c>
      <c r="AB32" s="15">
        <f t="shared" si="4"/>
        <v>0.88809946714031962</v>
      </c>
      <c r="AC32" s="24">
        <f t="shared" si="3"/>
        <v>0</v>
      </c>
      <c r="AD32" s="15">
        <f t="shared" si="3"/>
        <v>3.7300177619893424</v>
      </c>
      <c r="AE32" s="15">
        <f t="shared" si="3"/>
        <v>2.4866785079928952</v>
      </c>
      <c r="AF32" s="15">
        <f t="shared" si="3"/>
        <v>4.7957371225577266</v>
      </c>
      <c r="AG32" s="15">
        <f t="shared" si="3"/>
        <v>0.88809946714031962</v>
      </c>
      <c r="AH32" s="15">
        <f t="shared" si="2"/>
        <v>0.35523978685612789</v>
      </c>
      <c r="AI32" s="15">
        <f t="shared" si="2"/>
        <v>0.53285968028419184</v>
      </c>
      <c r="AJ32" s="15">
        <f t="shared" si="2"/>
        <v>0.88809946714031962</v>
      </c>
      <c r="AK32" s="15">
        <f t="shared" si="2"/>
        <v>0</v>
      </c>
    </row>
    <row r="33" spans="1:37" s="13" customFormat="1" x14ac:dyDescent="0.25">
      <c r="A33" s="42"/>
      <c r="B33" s="13" t="s">
        <v>32</v>
      </c>
      <c r="C33" s="14">
        <v>154</v>
      </c>
      <c r="D33" s="14">
        <v>6</v>
      </c>
      <c r="E33" s="14">
        <v>5</v>
      </c>
      <c r="F33" s="14">
        <v>4</v>
      </c>
      <c r="G33" s="13">
        <v>2</v>
      </c>
      <c r="H33" s="13">
        <v>0</v>
      </c>
      <c r="I33" s="13">
        <v>0</v>
      </c>
      <c r="J33" s="13">
        <v>0</v>
      </c>
      <c r="K33" s="32">
        <v>0</v>
      </c>
      <c r="L33" s="13">
        <v>6</v>
      </c>
      <c r="M33" s="13">
        <v>5</v>
      </c>
      <c r="N33" s="13">
        <v>4</v>
      </c>
      <c r="O33" s="13">
        <v>2</v>
      </c>
      <c r="P33" s="13">
        <v>0</v>
      </c>
      <c r="Q33" s="13">
        <v>0</v>
      </c>
      <c r="R33" s="13">
        <v>0</v>
      </c>
      <c r="S33" s="13">
        <v>0</v>
      </c>
      <c r="V33" s="15">
        <f t="shared" si="4"/>
        <v>3.8961038961038961</v>
      </c>
      <c r="W33" s="15">
        <f t="shared" si="4"/>
        <v>3.2467532467532463</v>
      </c>
      <c r="X33" s="15">
        <f t="shared" si="4"/>
        <v>2.5974025974025974</v>
      </c>
      <c r="Y33" s="15">
        <f t="shared" si="4"/>
        <v>1.2987012987012987</v>
      </c>
      <c r="Z33" s="15">
        <f t="shared" si="4"/>
        <v>0</v>
      </c>
      <c r="AA33" s="15">
        <f t="shared" si="4"/>
        <v>0</v>
      </c>
      <c r="AB33" s="15">
        <f t="shared" si="4"/>
        <v>0</v>
      </c>
      <c r="AC33" s="24">
        <f t="shared" si="3"/>
        <v>0</v>
      </c>
      <c r="AD33" s="15">
        <f t="shared" si="3"/>
        <v>3.8961038961038961</v>
      </c>
      <c r="AE33" s="15">
        <f t="shared" si="3"/>
        <v>3.2467532467532463</v>
      </c>
      <c r="AF33" s="15">
        <f t="shared" si="3"/>
        <v>2.5974025974025974</v>
      </c>
      <c r="AG33" s="15">
        <f t="shared" si="3"/>
        <v>1.2987012987012987</v>
      </c>
      <c r="AH33" s="15">
        <f t="shared" si="2"/>
        <v>0</v>
      </c>
      <c r="AI33" s="15">
        <f t="shared" si="2"/>
        <v>0</v>
      </c>
      <c r="AJ33" s="15">
        <f t="shared" si="2"/>
        <v>0</v>
      </c>
      <c r="AK33" s="15">
        <f t="shared" si="2"/>
        <v>0</v>
      </c>
    </row>
    <row r="34" spans="1:37" s="13" customFormat="1" x14ac:dyDescent="0.25">
      <c r="A34" s="42"/>
      <c r="B34" s="13" t="s">
        <v>33</v>
      </c>
      <c r="C34" s="14">
        <v>636</v>
      </c>
      <c r="D34" s="14">
        <v>24</v>
      </c>
      <c r="E34" s="14">
        <v>35</v>
      </c>
      <c r="F34" s="14">
        <v>25</v>
      </c>
      <c r="G34" s="13">
        <v>12</v>
      </c>
      <c r="H34" s="13">
        <v>2</v>
      </c>
      <c r="I34" s="13">
        <v>7</v>
      </c>
      <c r="J34" s="13">
        <v>8</v>
      </c>
      <c r="K34" s="32">
        <v>2</v>
      </c>
      <c r="L34" s="13">
        <v>24</v>
      </c>
      <c r="M34" s="13">
        <v>38</v>
      </c>
      <c r="N34" s="13">
        <v>25</v>
      </c>
      <c r="O34" s="13">
        <v>12</v>
      </c>
      <c r="P34" s="13">
        <v>2</v>
      </c>
      <c r="Q34" s="13">
        <v>8</v>
      </c>
      <c r="R34" s="13">
        <v>10</v>
      </c>
      <c r="S34" s="13">
        <v>2</v>
      </c>
      <c r="V34" s="15">
        <f t="shared" si="4"/>
        <v>3.7735849056603774</v>
      </c>
      <c r="W34" s="15">
        <f t="shared" si="4"/>
        <v>5.5031446540880502</v>
      </c>
      <c r="X34" s="15">
        <f t="shared" si="4"/>
        <v>3.9308176100628929</v>
      </c>
      <c r="Y34" s="15">
        <f t="shared" si="4"/>
        <v>1.8867924528301887</v>
      </c>
      <c r="Z34" s="15">
        <f t="shared" si="4"/>
        <v>0.31446540880503149</v>
      </c>
      <c r="AA34" s="15">
        <f t="shared" si="4"/>
        <v>1.10062893081761</v>
      </c>
      <c r="AB34" s="15">
        <f t="shared" si="4"/>
        <v>1.257861635220126</v>
      </c>
      <c r="AC34" s="24">
        <f t="shared" si="3"/>
        <v>0.31446540880503149</v>
      </c>
      <c r="AD34" s="15">
        <f t="shared" si="3"/>
        <v>3.7735849056603774</v>
      </c>
      <c r="AE34" s="15">
        <f t="shared" si="3"/>
        <v>5.9748427672955975</v>
      </c>
      <c r="AF34" s="15">
        <f t="shared" si="3"/>
        <v>3.9308176100628929</v>
      </c>
      <c r="AG34" s="15">
        <f t="shared" si="3"/>
        <v>1.8867924528301887</v>
      </c>
      <c r="AH34" s="15">
        <f t="shared" si="2"/>
        <v>0.31446540880503149</v>
      </c>
      <c r="AI34" s="15">
        <f t="shared" si="2"/>
        <v>1.257861635220126</v>
      </c>
      <c r="AJ34" s="15">
        <f t="shared" si="2"/>
        <v>1.5723270440251573</v>
      </c>
      <c r="AK34" s="15">
        <f t="shared" si="2"/>
        <v>0.31446540880503149</v>
      </c>
    </row>
    <row r="35" spans="1:37" s="13" customFormat="1" x14ac:dyDescent="0.25">
      <c r="A35" s="42"/>
      <c r="B35" s="13" t="s">
        <v>34</v>
      </c>
      <c r="C35" s="14">
        <v>636</v>
      </c>
      <c r="D35" s="14">
        <v>16</v>
      </c>
      <c r="E35" s="14">
        <v>22</v>
      </c>
      <c r="F35" s="14">
        <v>35</v>
      </c>
      <c r="G35" s="13">
        <v>10</v>
      </c>
      <c r="H35" s="13">
        <v>2</v>
      </c>
      <c r="I35" s="13">
        <v>6</v>
      </c>
      <c r="J35" s="13">
        <v>8</v>
      </c>
      <c r="K35" s="32">
        <v>2</v>
      </c>
      <c r="L35" s="13">
        <v>18</v>
      </c>
      <c r="M35" s="13">
        <v>24</v>
      </c>
      <c r="N35" s="13">
        <v>36</v>
      </c>
      <c r="O35" s="13">
        <v>11</v>
      </c>
      <c r="P35" s="13">
        <v>5</v>
      </c>
      <c r="Q35" s="13">
        <v>10</v>
      </c>
      <c r="R35" s="13">
        <v>13</v>
      </c>
      <c r="S35" s="13">
        <v>5</v>
      </c>
      <c r="V35" s="15">
        <f t="shared" si="4"/>
        <v>2.5157232704402519</v>
      </c>
      <c r="W35" s="15">
        <f t="shared" si="4"/>
        <v>3.459119496855346</v>
      </c>
      <c r="X35" s="15">
        <f t="shared" si="4"/>
        <v>5.5031446540880502</v>
      </c>
      <c r="Y35" s="15">
        <f t="shared" si="4"/>
        <v>1.5723270440251573</v>
      </c>
      <c r="Z35" s="15">
        <f t="shared" si="4"/>
        <v>0.31446540880503149</v>
      </c>
      <c r="AA35" s="15">
        <f t="shared" si="4"/>
        <v>0.94339622641509435</v>
      </c>
      <c r="AB35" s="15">
        <f t="shared" si="4"/>
        <v>1.257861635220126</v>
      </c>
      <c r="AC35" s="24">
        <f t="shared" si="3"/>
        <v>0.31446540880503149</v>
      </c>
      <c r="AD35" s="15">
        <f t="shared" si="3"/>
        <v>2.8301886792452833</v>
      </c>
      <c r="AE35" s="15">
        <f t="shared" si="3"/>
        <v>3.7735849056603774</v>
      </c>
      <c r="AF35" s="15">
        <f t="shared" si="3"/>
        <v>5.6603773584905666</v>
      </c>
      <c r="AG35" s="15">
        <f t="shared" si="3"/>
        <v>1.729559748427673</v>
      </c>
      <c r="AH35" s="15">
        <f t="shared" si="3"/>
        <v>0.78616352201257866</v>
      </c>
      <c r="AI35" s="15">
        <f t="shared" si="3"/>
        <v>1.5723270440251573</v>
      </c>
      <c r="AJ35" s="15">
        <f t="shared" si="3"/>
        <v>2.0440251572327042</v>
      </c>
      <c r="AK35" s="15">
        <f t="shared" si="3"/>
        <v>0.78616352201257866</v>
      </c>
    </row>
    <row r="36" spans="1:37" s="16" customFormat="1" x14ac:dyDescent="0.25">
      <c r="A36" s="43" t="s">
        <v>1</v>
      </c>
      <c r="B36" s="16" t="s">
        <v>26</v>
      </c>
      <c r="C36" s="17">
        <v>636</v>
      </c>
      <c r="D36" s="17">
        <v>10</v>
      </c>
      <c r="E36" s="17">
        <v>4</v>
      </c>
      <c r="F36" s="17">
        <v>32</v>
      </c>
      <c r="G36" s="16">
        <v>2</v>
      </c>
      <c r="H36" s="16">
        <v>1</v>
      </c>
      <c r="I36" s="16">
        <v>0</v>
      </c>
      <c r="J36" s="16">
        <v>16</v>
      </c>
      <c r="K36" s="33">
        <v>0</v>
      </c>
      <c r="L36" s="16">
        <v>10</v>
      </c>
      <c r="M36" s="16">
        <v>4</v>
      </c>
      <c r="N36" s="16">
        <v>32</v>
      </c>
      <c r="O36" s="16">
        <v>2</v>
      </c>
      <c r="P36" s="16">
        <v>1</v>
      </c>
      <c r="Q36" s="16">
        <v>0</v>
      </c>
      <c r="R36" s="16">
        <v>22</v>
      </c>
      <c r="S36" s="16">
        <v>0</v>
      </c>
      <c r="V36" s="18">
        <f t="shared" si="4"/>
        <v>1.5723270440251573</v>
      </c>
      <c r="W36" s="18">
        <f t="shared" si="4"/>
        <v>0.62893081761006298</v>
      </c>
      <c r="X36" s="18">
        <f t="shared" si="4"/>
        <v>5.0314465408805038</v>
      </c>
      <c r="Y36" s="18">
        <f t="shared" si="4"/>
        <v>0.31446540880503149</v>
      </c>
      <c r="Z36" s="18">
        <f t="shared" si="4"/>
        <v>0.15723270440251574</v>
      </c>
      <c r="AA36" s="18">
        <f t="shared" si="4"/>
        <v>0</v>
      </c>
      <c r="AB36" s="18">
        <f t="shared" si="4"/>
        <v>2.5157232704402519</v>
      </c>
      <c r="AC36" s="25">
        <f t="shared" si="3"/>
        <v>0</v>
      </c>
      <c r="AD36" s="18">
        <f t="shared" si="3"/>
        <v>1.5723270440251573</v>
      </c>
      <c r="AE36" s="18">
        <f t="shared" si="3"/>
        <v>0.62893081761006298</v>
      </c>
      <c r="AF36" s="18">
        <f t="shared" si="3"/>
        <v>5.0314465408805038</v>
      </c>
      <c r="AG36" s="18">
        <f t="shared" si="3"/>
        <v>0.31446540880503149</v>
      </c>
      <c r="AH36" s="18">
        <f t="shared" si="3"/>
        <v>0.15723270440251574</v>
      </c>
      <c r="AI36" s="18">
        <f t="shared" si="3"/>
        <v>0</v>
      </c>
      <c r="AJ36" s="18">
        <f t="shared" si="3"/>
        <v>3.459119496855346</v>
      </c>
      <c r="AK36" s="18">
        <f t="shared" si="3"/>
        <v>0</v>
      </c>
    </row>
    <row r="37" spans="1:37" s="16" customFormat="1" x14ac:dyDescent="0.25">
      <c r="A37" s="43"/>
      <c r="B37" s="16" t="s">
        <v>27</v>
      </c>
      <c r="C37" s="17">
        <v>636</v>
      </c>
      <c r="D37" s="17">
        <v>21</v>
      </c>
      <c r="E37" s="17">
        <v>10</v>
      </c>
      <c r="F37" s="17">
        <v>23</v>
      </c>
      <c r="G37" s="16">
        <v>6</v>
      </c>
      <c r="H37" s="16">
        <v>4</v>
      </c>
      <c r="I37" s="16">
        <v>2</v>
      </c>
      <c r="J37" s="16">
        <v>2</v>
      </c>
      <c r="K37" s="33">
        <v>1</v>
      </c>
      <c r="L37" s="16">
        <v>21</v>
      </c>
      <c r="M37" s="16">
        <v>10</v>
      </c>
      <c r="N37" s="16">
        <v>23</v>
      </c>
      <c r="O37" s="16">
        <v>6</v>
      </c>
      <c r="P37" s="16">
        <v>4</v>
      </c>
      <c r="Q37" s="16">
        <v>2</v>
      </c>
      <c r="R37" s="16">
        <v>2</v>
      </c>
      <c r="S37" s="16">
        <v>1</v>
      </c>
      <c r="V37" s="18">
        <f t="shared" si="4"/>
        <v>3.3018867924528301</v>
      </c>
      <c r="W37" s="18">
        <f t="shared" si="4"/>
        <v>1.5723270440251573</v>
      </c>
      <c r="X37" s="18">
        <f t="shared" si="4"/>
        <v>3.6163522012578615</v>
      </c>
      <c r="Y37" s="18">
        <f t="shared" si="4"/>
        <v>0.94339622641509435</v>
      </c>
      <c r="Z37" s="18">
        <f t="shared" si="4"/>
        <v>0.62893081761006298</v>
      </c>
      <c r="AA37" s="18">
        <f t="shared" si="4"/>
        <v>0.31446540880503149</v>
      </c>
      <c r="AB37" s="18">
        <f t="shared" si="4"/>
        <v>0.31446540880503149</v>
      </c>
      <c r="AC37" s="25">
        <f t="shared" si="3"/>
        <v>0.15723270440251574</v>
      </c>
      <c r="AD37" s="18">
        <f t="shared" si="3"/>
        <v>3.3018867924528301</v>
      </c>
      <c r="AE37" s="18">
        <f t="shared" si="3"/>
        <v>1.5723270440251573</v>
      </c>
      <c r="AF37" s="18">
        <f t="shared" si="3"/>
        <v>3.6163522012578615</v>
      </c>
      <c r="AG37" s="18">
        <f t="shared" si="3"/>
        <v>0.94339622641509435</v>
      </c>
      <c r="AH37" s="18">
        <f t="shared" si="3"/>
        <v>0.62893081761006298</v>
      </c>
      <c r="AI37" s="18">
        <f t="shared" si="3"/>
        <v>0.31446540880503149</v>
      </c>
      <c r="AJ37" s="18">
        <f t="shared" si="3"/>
        <v>0.31446540880503149</v>
      </c>
      <c r="AK37" s="18">
        <f t="shared" si="3"/>
        <v>0.15723270440251574</v>
      </c>
    </row>
    <row r="38" spans="1:37" s="16" customFormat="1" x14ac:dyDescent="0.25">
      <c r="A38" s="43"/>
      <c r="B38" s="16" t="s">
        <v>28</v>
      </c>
      <c r="C38" s="17">
        <v>636</v>
      </c>
      <c r="D38" s="17">
        <v>18</v>
      </c>
      <c r="E38" s="17">
        <v>13</v>
      </c>
      <c r="F38" s="17">
        <v>32</v>
      </c>
      <c r="G38" s="16">
        <v>7</v>
      </c>
      <c r="H38" s="16">
        <v>6</v>
      </c>
      <c r="I38" s="16">
        <v>3</v>
      </c>
      <c r="J38" s="16">
        <v>12</v>
      </c>
      <c r="K38" s="33">
        <v>3</v>
      </c>
      <c r="L38" s="16">
        <v>18</v>
      </c>
      <c r="M38" s="16">
        <v>13</v>
      </c>
      <c r="N38" s="16">
        <v>34</v>
      </c>
      <c r="O38" s="16">
        <v>7</v>
      </c>
      <c r="P38" s="16">
        <v>7</v>
      </c>
      <c r="Q38" s="16">
        <v>3</v>
      </c>
      <c r="R38" s="16">
        <v>12</v>
      </c>
      <c r="S38" s="16">
        <v>3</v>
      </c>
      <c r="V38" s="18">
        <f t="shared" si="4"/>
        <v>2.8301886792452833</v>
      </c>
      <c r="W38" s="18">
        <f t="shared" si="4"/>
        <v>2.0440251572327042</v>
      </c>
      <c r="X38" s="18">
        <f t="shared" si="4"/>
        <v>5.0314465408805038</v>
      </c>
      <c r="Y38" s="18">
        <f t="shared" si="4"/>
        <v>1.10062893081761</v>
      </c>
      <c r="Z38" s="18">
        <f t="shared" si="4"/>
        <v>0.94339622641509435</v>
      </c>
      <c r="AA38" s="18">
        <f t="shared" si="4"/>
        <v>0.47169811320754718</v>
      </c>
      <c r="AB38" s="18">
        <f t="shared" si="4"/>
        <v>1.8867924528301887</v>
      </c>
      <c r="AC38" s="25">
        <f t="shared" si="3"/>
        <v>0.47169811320754718</v>
      </c>
      <c r="AD38" s="18">
        <f t="shared" si="3"/>
        <v>2.8301886792452833</v>
      </c>
      <c r="AE38" s="18">
        <f t="shared" si="3"/>
        <v>2.0440251572327042</v>
      </c>
      <c r="AF38" s="18">
        <f t="shared" si="3"/>
        <v>5.3459119496855347</v>
      </c>
      <c r="AG38" s="18">
        <f t="shared" si="3"/>
        <v>1.10062893081761</v>
      </c>
      <c r="AH38" s="18">
        <f t="shared" si="3"/>
        <v>1.10062893081761</v>
      </c>
      <c r="AI38" s="18">
        <f t="shared" si="3"/>
        <v>0.47169811320754718</v>
      </c>
      <c r="AJ38" s="18">
        <f t="shared" si="3"/>
        <v>1.8867924528301887</v>
      </c>
      <c r="AK38" s="18">
        <f t="shared" si="3"/>
        <v>0.47169811320754718</v>
      </c>
    </row>
    <row r="39" spans="1:37" s="16" customFormat="1" x14ac:dyDescent="0.25">
      <c r="A39" s="43"/>
      <c r="B39" s="16" t="s">
        <v>29</v>
      </c>
      <c r="C39" s="17">
        <v>636</v>
      </c>
      <c r="D39" s="17">
        <v>13</v>
      </c>
      <c r="E39" s="17">
        <v>10</v>
      </c>
      <c r="F39" s="17">
        <v>21</v>
      </c>
      <c r="G39" s="16">
        <v>2</v>
      </c>
      <c r="H39" s="16">
        <v>1</v>
      </c>
      <c r="I39" s="16">
        <v>1</v>
      </c>
      <c r="J39" s="16">
        <v>9</v>
      </c>
      <c r="K39" s="33">
        <v>0</v>
      </c>
      <c r="L39" s="16">
        <v>14</v>
      </c>
      <c r="M39" s="16">
        <v>11</v>
      </c>
      <c r="N39" s="16">
        <v>21</v>
      </c>
      <c r="O39" s="16">
        <v>3</v>
      </c>
      <c r="P39" s="16">
        <v>1</v>
      </c>
      <c r="Q39" s="16">
        <v>1</v>
      </c>
      <c r="R39" s="16">
        <v>10</v>
      </c>
      <c r="S39" s="16">
        <v>0</v>
      </c>
      <c r="V39" s="18">
        <f t="shared" si="4"/>
        <v>2.0440251572327042</v>
      </c>
      <c r="W39" s="18">
        <f t="shared" si="4"/>
        <v>1.5723270440251573</v>
      </c>
      <c r="X39" s="18">
        <f t="shared" si="4"/>
        <v>3.3018867924528301</v>
      </c>
      <c r="Y39" s="18">
        <f t="shared" si="4"/>
        <v>0.31446540880503149</v>
      </c>
      <c r="Z39" s="18">
        <f t="shared" si="4"/>
        <v>0.15723270440251574</v>
      </c>
      <c r="AA39" s="18">
        <f t="shared" si="4"/>
        <v>0.15723270440251574</v>
      </c>
      <c r="AB39" s="18">
        <f t="shared" si="4"/>
        <v>1.4150943396226416</v>
      </c>
      <c r="AC39" s="25">
        <f t="shared" si="3"/>
        <v>0</v>
      </c>
      <c r="AD39" s="18">
        <f t="shared" si="3"/>
        <v>2.2012578616352201</v>
      </c>
      <c r="AE39" s="18">
        <f t="shared" si="3"/>
        <v>1.729559748427673</v>
      </c>
      <c r="AF39" s="18">
        <f t="shared" si="3"/>
        <v>3.3018867924528301</v>
      </c>
      <c r="AG39" s="18">
        <f t="shared" si="3"/>
        <v>0.47169811320754718</v>
      </c>
      <c r="AH39" s="18">
        <f t="shared" si="3"/>
        <v>0.15723270440251574</v>
      </c>
      <c r="AI39" s="18">
        <f t="shared" si="3"/>
        <v>0.15723270440251574</v>
      </c>
      <c r="AJ39" s="18">
        <f t="shared" si="3"/>
        <v>1.5723270440251573</v>
      </c>
      <c r="AK39" s="18">
        <f t="shared" si="3"/>
        <v>0</v>
      </c>
    </row>
    <row r="40" spans="1:37" s="16" customFormat="1" x14ac:dyDescent="0.25">
      <c r="A40" s="43"/>
      <c r="B40" s="16" t="s">
        <v>30</v>
      </c>
      <c r="C40" s="17">
        <v>636</v>
      </c>
      <c r="D40" s="17">
        <v>28</v>
      </c>
      <c r="E40" s="17">
        <v>4</v>
      </c>
      <c r="F40" s="17">
        <v>15</v>
      </c>
      <c r="G40" s="16">
        <v>4</v>
      </c>
      <c r="H40" s="16">
        <v>4</v>
      </c>
      <c r="I40" s="16">
        <v>1</v>
      </c>
      <c r="J40" s="16">
        <v>6</v>
      </c>
      <c r="K40" s="33">
        <v>1</v>
      </c>
      <c r="L40" s="16">
        <v>28</v>
      </c>
      <c r="M40" s="16">
        <v>4</v>
      </c>
      <c r="N40" s="16">
        <v>15</v>
      </c>
      <c r="O40" s="16">
        <v>4</v>
      </c>
      <c r="P40" s="16">
        <v>4</v>
      </c>
      <c r="Q40" s="16">
        <v>1</v>
      </c>
      <c r="R40" s="16">
        <v>6</v>
      </c>
      <c r="S40" s="16">
        <v>1</v>
      </c>
      <c r="V40" s="18">
        <f t="shared" si="4"/>
        <v>4.4025157232704402</v>
      </c>
      <c r="W40" s="18">
        <f t="shared" si="4"/>
        <v>0.62893081761006298</v>
      </c>
      <c r="X40" s="18">
        <f t="shared" si="4"/>
        <v>2.358490566037736</v>
      </c>
      <c r="Y40" s="18">
        <f t="shared" si="4"/>
        <v>0.62893081761006298</v>
      </c>
      <c r="Z40" s="18">
        <f t="shared" si="4"/>
        <v>0.62893081761006298</v>
      </c>
      <c r="AA40" s="18">
        <f t="shared" si="4"/>
        <v>0.15723270440251574</v>
      </c>
      <c r="AB40" s="18">
        <f t="shared" si="4"/>
        <v>0.94339622641509435</v>
      </c>
      <c r="AC40" s="25">
        <f t="shared" si="3"/>
        <v>0.15723270440251574</v>
      </c>
      <c r="AD40" s="18">
        <f t="shared" si="3"/>
        <v>4.4025157232704402</v>
      </c>
      <c r="AE40" s="18">
        <f t="shared" si="3"/>
        <v>0.62893081761006298</v>
      </c>
      <c r="AF40" s="18">
        <f t="shared" si="3"/>
        <v>2.358490566037736</v>
      </c>
      <c r="AG40" s="18">
        <f t="shared" si="3"/>
        <v>0.62893081761006298</v>
      </c>
      <c r="AH40" s="18">
        <f t="shared" si="3"/>
        <v>0.62893081761006298</v>
      </c>
      <c r="AI40" s="18">
        <f t="shared" si="3"/>
        <v>0.15723270440251574</v>
      </c>
      <c r="AJ40" s="18">
        <f t="shared" si="3"/>
        <v>0.94339622641509435</v>
      </c>
      <c r="AK40" s="18">
        <f t="shared" si="3"/>
        <v>0.15723270440251574</v>
      </c>
    </row>
    <row r="41" spans="1:37" s="16" customFormat="1" x14ac:dyDescent="0.25">
      <c r="A41" s="43"/>
      <c r="B41" s="16" t="s">
        <v>31</v>
      </c>
      <c r="C41" s="17">
        <v>553</v>
      </c>
      <c r="D41" s="17">
        <v>9</v>
      </c>
      <c r="E41" s="17">
        <v>11</v>
      </c>
      <c r="F41" s="17">
        <v>19</v>
      </c>
      <c r="G41" s="16">
        <v>3</v>
      </c>
      <c r="H41" s="16">
        <v>1</v>
      </c>
      <c r="I41" s="16">
        <v>1</v>
      </c>
      <c r="J41" s="16">
        <v>3</v>
      </c>
      <c r="K41" s="33">
        <v>1</v>
      </c>
      <c r="L41" s="16">
        <v>9</v>
      </c>
      <c r="M41" s="16">
        <v>11</v>
      </c>
      <c r="N41" s="16">
        <v>19</v>
      </c>
      <c r="O41" s="16">
        <v>3</v>
      </c>
      <c r="P41" s="16">
        <v>1</v>
      </c>
      <c r="Q41" s="16">
        <v>1</v>
      </c>
      <c r="R41" s="16">
        <v>3</v>
      </c>
      <c r="S41" s="16">
        <v>1</v>
      </c>
      <c r="V41" s="18">
        <f t="shared" si="4"/>
        <v>1.62748643761302</v>
      </c>
      <c r="W41" s="18">
        <f t="shared" si="4"/>
        <v>1.9891500904159132</v>
      </c>
      <c r="X41" s="18">
        <f t="shared" si="4"/>
        <v>3.4358047016274864</v>
      </c>
      <c r="Y41" s="18">
        <f t="shared" si="4"/>
        <v>0.54249547920433994</v>
      </c>
      <c r="Z41" s="18">
        <f t="shared" si="4"/>
        <v>0.18083182640144665</v>
      </c>
      <c r="AA41" s="18">
        <f t="shared" si="4"/>
        <v>0.18083182640144665</v>
      </c>
      <c r="AB41" s="18">
        <f t="shared" si="4"/>
        <v>0.54249547920433994</v>
      </c>
      <c r="AC41" s="25">
        <f t="shared" si="3"/>
        <v>0.18083182640144665</v>
      </c>
      <c r="AD41" s="18">
        <f t="shared" si="3"/>
        <v>1.62748643761302</v>
      </c>
      <c r="AE41" s="18">
        <f t="shared" si="3"/>
        <v>1.9891500904159132</v>
      </c>
      <c r="AF41" s="18">
        <f t="shared" si="3"/>
        <v>3.4358047016274864</v>
      </c>
      <c r="AG41" s="18">
        <f t="shared" si="3"/>
        <v>0.54249547920433994</v>
      </c>
      <c r="AH41" s="18">
        <f t="shared" si="3"/>
        <v>0.18083182640144665</v>
      </c>
      <c r="AI41" s="18">
        <f t="shared" si="3"/>
        <v>0.18083182640144665</v>
      </c>
      <c r="AJ41" s="18">
        <f t="shared" si="3"/>
        <v>0.54249547920433994</v>
      </c>
      <c r="AK41" s="18">
        <f t="shared" si="3"/>
        <v>0.18083182640144665</v>
      </c>
    </row>
    <row r="42" spans="1:37" s="16" customFormat="1" x14ac:dyDescent="0.25">
      <c r="A42" s="43"/>
      <c r="B42" s="16" t="s">
        <v>32</v>
      </c>
      <c r="C42" s="17">
        <v>152</v>
      </c>
      <c r="D42" s="17">
        <v>3</v>
      </c>
      <c r="E42" s="17">
        <v>3</v>
      </c>
      <c r="F42" s="17">
        <v>11</v>
      </c>
      <c r="G42" s="16">
        <v>1</v>
      </c>
      <c r="H42" s="16">
        <v>1</v>
      </c>
      <c r="I42" s="16">
        <v>3</v>
      </c>
      <c r="J42" s="16">
        <v>3</v>
      </c>
      <c r="K42" s="33">
        <v>1</v>
      </c>
      <c r="L42" s="16">
        <v>3</v>
      </c>
      <c r="M42" s="16">
        <v>3</v>
      </c>
      <c r="N42" s="16">
        <v>11</v>
      </c>
      <c r="O42" s="16">
        <v>1</v>
      </c>
      <c r="P42" s="16">
        <v>1</v>
      </c>
      <c r="Q42" s="16">
        <v>4</v>
      </c>
      <c r="R42" s="16">
        <v>3</v>
      </c>
      <c r="S42" s="16">
        <v>1</v>
      </c>
      <c r="V42" s="18">
        <f t="shared" si="4"/>
        <v>1.9736842105263157</v>
      </c>
      <c r="W42" s="18">
        <f t="shared" si="4"/>
        <v>1.9736842105263157</v>
      </c>
      <c r="X42" s="18">
        <f t="shared" si="4"/>
        <v>7.2368421052631584</v>
      </c>
      <c r="Y42" s="18">
        <f t="shared" si="4"/>
        <v>0.6578947368421052</v>
      </c>
      <c r="Z42" s="18">
        <f t="shared" si="4"/>
        <v>0.6578947368421052</v>
      </c>
      <c r="AA42" s="18">
        <f t="shared" si="4"/>
        <v>1.9736842105263157</v>
      </c>
      <c r="AB42" s="18">
        <f t="shared" si="4"/>
        <v>1.9736842105263157</v>
      </c>
      <c r="AC42" s="25">
        <f t="shared" si="3"/>
        <v>0.6578947368421052</v>
      </c>
      <c r="AD42" s="18">
        <f t="shared" si="3"/>
        <v>1.9736842105263157</v>
      </c>
      <c r="AE42" s="18">
        <f t="shared" si="3"/>
        <v>1.9736842105263157</v>
      </c>
      <c r="AF42" s="18">
        <f t="shared" si="3"/>
        <v>7.2368421052631584</v>
      </c>
      <c r="AG42" s="18">
        <f t="shared" si="3"/>
        <v>0.6578947368421052</v>
      </c>
      <c r="AH42" s="18">
        <f t="shared" si="3"/>
        <v>0.6578947368421052</v>
      </c>
      <c r="AI42" s="18">
        <f t="shared" si="3"/>
        <v>2.6315789473684208</v>
      </c>
      <c r="AJ42" s="18">
        <f t="shared" si="3"/>
        <v>1.9736842105263157</v>
      </c>
      <c r="AK42" s="18">
        <f t="shared" si="3"/>
        <v>0.6578947368421052</v>
      </c>
    </row>
    <row r="43" spans="1:37" s="16" customFormat="1" x14ac:dyDescent="0.25">
      <c r="A43" s="43"/>
      <c r="B43" s="16" t="s">
        <v>33</v>
      </c>
      <c r="C43" s="17">
        <v>636</v>
      </c>
      <c r="D43" s="17">
        <v>21</v>
      </c>
      <c r="E43" s="17">
        <v>20</v>
      </c>
      <c r="F43" s="17">
        <v>19</v>
      </c>
      <c r="G43" s="16">
        <v>5</v>
      </c>
      <c r="H43" s="16">
        <v>2</v>
      </c>
      <c r="I43" s="16">
        <v>2</v>
      </c>
      <c r="J43" s="16">
        <v>2</v>
      </c>
      <c r="K43" s="33">
        <v>0</v>
      </c>
      <c r="L43" s="16">
        <v>22</v>
      </c>
      <c r="M43" s="16">
        <v>22</v>
      </c>
      <c r="N43" s="16">
        <v>19</v>
      </c>
      <c r="O43" s="16">
        <v>5</v>
      </c>
      <c r="P43" s="16">
        <v>2</v>
      </c>
      <c r="Q43" s="16">
        <v>2</v>
      </c>
      <c r="R43" s="16">
        <v>2</v>
      </c>
      <c r="S43" s="16">
        <v>0</v>
      </c>
      <c r="V43" s="18">
        <f t="shared" si="4"/>
        <v>3.3018867924528301</v>
      </c>
      <c r="W43" s="18">
        <f t="shared" si="4"/>
        <v>3.1446540880503147</v>
      </c>
      <c r="X43" s="18">
        <f t="shared" si="4"/>
        <v>2.9874213836477987</v>
      </c>
      <c r="Y43" s="18">
        <f t="shared" si="4"/>
        <v>0.78616352201257866</v>
      </c>
      <c r="Z43" s="18">
        <f t="shared" si="4"/>
        <v>0.31446540880503149</v>
      </c>
      <c r="AA43" s="18">
        <f t="shared" si="4"/>
        <v>0.31446540880503149</v>
      </c>
      <c r="AB43" s="18">
        <f t="shared" si="4"/>
        <v>0.31446540880503149</v>
      </c>
      <c r="AC43" s="25">
        <f t="shared" si="3"/>
        <v>0</v>
      </c>
      <c r="AD43" s="18">
        <f t="shared" si="3"/>
        <v>3.459119496855346</v>
      </c>
      <c r="AE43" s="18">
        <f t="shared" si="3"/>
        <v>3.459119496855346</v>
      </c>
      <c r="AF43" s="18">
        <f t="shared" si="3"/>
        <v>2.9874213836477987</v>
      </c>
      <c r="AG43" s="18">
        <f t="shared" si="3"/>
        <v>0.78616352201257866</v>
      </c>
      <c r="AH43" s="18">
        <f t="shared" si="3"/>
        <v>0.31446540880503149</v>
      </c>
      <c r="AI43" s="18">
        <f t="shared" si="3"/>
        <v>0.31446540880503149</v>
      </c>
      <c r="AJ43" s="18">
        <f t="shared" si="3"/>
        <v>0.31446540880503149</v>
      </c>
      <c r="AK43" s="18">
        <f t="shared" si="3"/>
        <v>0</v>
      </c>
    </row>
    <row r="44" spans="1:37" s="16" customFormat="1" x14ac:dyDescent="0.25">
      <c r="A44" s="43"/>
      <c r="B44" s="16" t="s">
        <v>34</v>
      </c>
      <c r="C44" s="17">
        <v>636</v>
      </c>
      <c r="D44" s="17">
        <v>16</v>
      </c>
      <c r="E44" s="17">
        <v>14</v>
      </c>
      <c r="F44" s="17">
        <v>37</v>
      </c>
      <c r="G44" s="16">
        <v>8</v>
      </c>
      <c r="H44" s="16">
        <v>2</v>
      </c>
      <c r="I44" s="16">
        <v>3</v>
      </c>
      <c r="J44" s="16">
        <v>9</v>
      </c>
      <c r="K44" s="33">
        <v>2</v>
      </c>
      <c r="L44" s="16">
        <v>16</v>
      </c>
      <c r="M44" s="16">
        <v>15</v>
      </c>
      <c r="N44" s="16">
        <v>37</v>
      </c>
      <c r="O44" s="16">
        <v>8</v>
      </c>
      <c r="P44" s="16">
        <v>2</v>
      </c>
      <c r="Q44" s="16">
        <v>3</v>
      </c>
      <c r="R44" s="16">
        <v>10</v>
      </c>
      <c r="S44" s="16">
        <v>2</v>
      </c>
      <c r="V44" s="18">
        <f t="shared" si="4"/>
        <v>2.5157232704402519</v>
      </c>
      <c r="W44" s="18">
        <f t="shared" si="4"/>
        <v>2.2012578616352201</v>
      </c>
      <c r="X44" s="18">
        <f t="shared" si="4"/>
        <v>5.817610062893082</v>
      </c>
      <c r="Y44" s="18">
        <f t="shared" si="4"/>
        <v>1.257861635220126</v>
      </c>
      <c r="Z44" s="18">
        <f t="shared" si="4"/>
        <v>0.31446540880503149</v>
      </c>
      <c r="AA44" s="18">
        <f t="shared" si="4"/>
        <v>0.47169811320754718</v>
      </c>
      <c r="AB44" s="18">
        <f t="shared" si="4"/>
        <v>1.4150943396226416</v>
      </c>
      <c r="AC44" s="25">
        <f t="shared" si="3"/>
        <v>0.31446540880503149</v>
      </c>
      <c r="AD44" s="18">
        <f t="shared" si="3"/>
        <v>2.5157232704402519</v>
      </c>
      <c r="AE44" s="18">
        <f t="shared" si="3"/>
        <v>2.358490566037736</v>
      </c>
      <c r="AF44" s="18">
        <f t="shared" si="3"/>
        <v>5.817610062893082</v>
      </c>
      <c r="AG44" s="18">
        <f t="shared" si="3"/>
        <v>1.257861635220126</v>
      </c>
      <c r="AH44" s="18">
        <f t="shared" si="3"/>
        <v>0.31446540880503149</v>
      </c>
      <c r="AI44" s="18">
        <f t="shared" si="3"/>
        <v>0.47169811320754718</v>
      </c>
      <c r="AJ44" s="18">
        <f t="shared" si="3"/>
        <v>1.5723270440251573</v>
      </c>
      <c r="AK44" s="18">
        <f t="shared" si="3"/>
        <v>0.31446540880503149</v>
      </c>
    </row>
    <row r="45" spans="1:37" s="4" customFormat="1" x14ac:dyDescent="0.25">
      <c r="A45" s="44" t="s">
        <v>58</v>
      </c>
      <c r="B45" s="4" t="s">
        <v>35</v>
      </c>
      <c r="C45" s="5">
        <v>662</v>
      </c>
      <c r="D45" s="5">
        <v>12</v>
      </c>
      <c r="E45" s="5">
        <v>7</v>
      </c>
      <c r="F45" s="5">
        <v>9</v>
      </c>
      <c r="G45" s="4">
        <v>1</v>
      </c>
      <c r="H45" s="4">
        <v>1</v>
      </c>
      <c r="I45" s="4">
        <v>1</v>
      </c>
      <c r="J45" s="4">
        <v>3</v>
      </c>
      <c r="K45" s="29">
        <v>0</v>
      </c>
      <c r="L45" s="4">
        <v>13</v>
      </c>
      <c r="M45" s="4">
        <v>8</v>
      </c>
      <c r="N45" s="4">
        <v>9</v>
      </c>
      <c r="O45" s="4">
        <v>1</v>
      </c>
      <c r="P45" s="4">
        <v>1</v>
      </c>
      <c r="Q45" s="4">
        <v>1</v>
      </c>
      <c r="R45" s="4">
        <v>4</v>
      </c>
      <c r="S45" s="4">
        <v>0</v>
      </c>
      <c r="V45" s="6">
        <f t="shared" si="4"/>
        <v>1.8126888217522661</v>
      </c>
      <c r="W45" s="6">
        <f t="shared" si="4"/>
        <v>1.0574018126888218</v>
      </c>
      <c r="X45" s="6">
        <f t="shared" si="4"/>
        <v>1.3595166163141994</v>
      </c>
      <c r="Y45" s="6">
        <f t="shared" si="4"/>
        <v>0.15105740181268881</v>
      </c>
      <c r="Z45" s="6">
        <f t="shared" si="4"/>
        <v>0.15105740181268881</v>
      </c>
      <c r="AA45" s="6">
        <f t="shared" si="4"/>
        <v>0.15105740181268881</v>
      </c>
      <c r="AB45" s="6">
        <f t="shared" si="4"/>
        <v>0.45317220543806652</v>
      </c>
      <c r="AC45" s="21">
        <f t="shared" si="3"/>
        <v>0</v>
      </c>
      <c r="AD45" s="6">
        <f t="shared" si="3"/>
        <v>1.9637462235649545</v>
      </c>
      <c r="AE45" s="6">
        <f t="shared" si="3"/>
        <v>1.2084592145015105</v>
      </c>
      <c r="AF45" s="6">
        <f t="shared" si="3"/>
        <v>1.3595166163141994</v>
      </c>
      <c r="AG45" s="6">
        <f t="shared" si="3"/>
        <v>0.15105740181268881</v>
      </c>
      <c r="AH45" s="6">
        <f t="shared" si="3"/>
        <v>0.15105740181268881</v>
      </c>
      <c r="AI45" s="6">
        <f t="shared" si="3"/>
        <v>0.15105740181268881</v>
      </c>
      <c r="AJ45" s="6">
        <f t="shared" si="3"/>
        <v>0.60422960725075525</v>
      </c>
      <c r="AK45" s="6">
        <f t="shared" si="3"/>
        <v>0</v>
      </c>
    </row>
    <row r="46" spans="1:37" s="4" customFormat="1" x14ac:dyDescent="0.25">
      <c r="A46" s="44"/>
      <c r="B46" s="4" t="s">
        <v>36</v>
      </c>
      <c r="C46" s="5">
        <v>668</v>
      </c>
      <c r="D46" s="5">
        <v>21</v>
      </c>
      <c r="E46" s="5">
        <v>10</v>
      </c>
      <c r="F46" s="5">
        <v>14</v>
      </c>
      <c r="G46" s="4">
        <v>4</v>
      </c>
      <c r="H46" s="4">
        <v>2</v>
      </c>
      <c r="I46" s="4">
        <v>2</v>
      </c>
      <c r="J46" s="4">
        <v>5</v>
      </c>
      <c r="K46" s="29">
        <v>1</v>
      </c>
      <c r="L46" s="4">
        <v>22</v>
      </c>
      <c r="M46" s="4">
        <v>10</v>
      </c>
      <c r="N46" s="4">
        <v>14</v>
      </c>
      <c r="O46" s="4">
        <v>4</v>
      </c>
      <c r="P46" s="4">
        <v>2</v>
      </c>
      <c r="Q46" s="4">
        <v>2</v>
      </c>
      <c r="R46" s="4">
        <v>5</v>
      </c>
      <c r="S46" s="4">
        <v>1</v>
      </c>
      <c r="V46" s="6">
        <f t="shared" si="4"/>
        <v>3.1437125748502992</v>
      </c>
      <c r="W46" s="6">
        <f t="shared" si="4"/>
        <v>1.4970059880239521</v>
      </c>
      <c r="X46" s="6">
        <f t="shared" si="4"/>
        <v>2.0958083832335328</v>
      </c>
      <c r="Y46" s="6">
        <f t="shared" si="4"/>
        <v>0.5988023952095809</v>
      </c>
      <c r="Z46" s="6">
        <f t="shared" si="4"/>
        <v>0.29940119760479045</v>
      </c>
      <c r="AA46" s="6">
        <f t="shared" si="4"/>
        <v>0.29940119760479045</v>
      </c>
      <c r="AB46" s="6">
        <f t="shared" si="4"/>
        <v>0.74850299401197606</v>
      </c>
      <c r="AC46" s="21">
        <f t="shared" si="3"/>
        <v>0.14970059880239522</v>
      </c>
      <c r="AD46" s="6">
        <f t="shared" si="3"/>
        <v>3.293413173652695</v>
      </c>
      <c r="AE46" s="6">
        <f t="shared" si="3"/>
        <v>1.4970059880239521</v>
      </c>
      <c r="AF46" s="6">
        <f t="shared" si="3"/>
        <v>2.0958083832335328</v>
      </c>
      <c r="AG46" s="6">
        <f t="shared" si="3"/>
        <v>0.5988023952095809</v>
      </c>
      <c r="AH46" s="6">
        <f t="shared" si="3"/>
        <v>0.29940119760479045</v>
      </c>
      <c r="AI46" s="6">
        <f t="shared" si="3"/>
        <v>0.29940119760479045</v>
      </c>
      <c r="AJ46" s="6">
        <f t="shared" si="3"/>
        <v>0.74850299401197606</v>
      </c>
      <c r="AK46" s="6">
        <f t="shared" si="3"/>
        <v>0.14970059880239522</v>
      </c>
    </row>
    <row r="47" spans="1:37" s="4" customFormat="1" x14ac:dyDescent="0.25">
      <c r="A47" s="44"/>
      <c r="B47" s="4" t="s">
        <v>37</v>
      </c>
      <c r="C47" s="5">
        <v>889</v>
      </c>
      <c r="D47" s="5">
        <v>19</v>
      </c>
      <c r="E47" s="5">
        <v>28</v>
      </c>
      <c r="F47" s="5">
        <v>28</v>
      </c>
      <c r="G47" s="4">
        <v>7</v>
      </c>
      <c r="H47" s="4">
        <v>1</v>
      </c>
      <c r="I47" s="4">
        <v>1</v>
      </c>
      <c r="J47" s="4">
        <v>4</v>
      </c>
      <c r="K47" s="29">
        <v>0</v>
      </c>
      <c r="L47" s="4">
        <v>20</v>
      </c>
      <c r="M47" s="4">
        <v>28</v>
      </c>
      <c r="N47" s="4">
        <v>28</v>
      </c>
      <c r="O47" s="4">
        <v>7</v>
      </c>
      <c r="P47" s="4">
        <v>1</v>
      </c>
      <c r="Q47" s="4">
        <v>1</v>
      </c>
      <c r="R47" s="4">
        <v>4</v>
      </c>
      <c r="S47" s="4">
        <v>0</v>
      </c>
      <c r="V47" s="6">
        <f t="shared" si="4"/>
        <v>2.1372328458942635</v>
      </c>
      <c r="W47" s="6">
        <f t="shared" si="4"/>
        <v>3.1496062992125982</v>
      </c>
      <c r="X47" s="6">
        <f t="shared" si="4"/>
        <v>3.1496062992125982</v>
      </c>
      <c r="Y47" s="6">
        <f t="shared" si="4"/>
        <v>0.78740157480314954</v>
      </c>
      <c r="Z47" s="6">
        <f t="shared" si="4"/>
        <v>0.11248593925759282</v>
      </c>
      <c r="AA47" s="6">
        <f t="shared" si="4"/>
        <v>0.11248593925759282</v>
      </c>
      <c r="AB47" s="6">
        <f t="shared" si="4"/>
        <v>0.44994375703037126</v>
      </c>
      <c r="AC47" s="21">
        <f t="shared" si="3"/>
        <v>0</v>
      </c>
      <c r="AD47" s="6">
        <f t="shared" si="3"/>
        <v>2.2497187851518561</v>
      </c>
      <c r="AE47" s="6">
        <f t="shared" si="3"/>
        <v>3.1496062992125982</v>
      </c>
      <c r="AF47" s="6">
        <f t="shared" si="3"/>
        <v>3.1496062992125982</v>
      </c>
      <c r="AG47" s="6">
        <f t="shared" si="3"/>
        <v>0.78740157480314954</v>
      </c>
      <c r="AH47" s="6">
        <f t="shared" si="3"/>
        <v>0.11248593925759282</v>
      </c>
      <c r="AI47" s="6">
        <f t="shared" si="3"/>
        <v>0.11248593925759282</v>
      </c>
      <c r="AJ47" s="6">
        <f t="shared" si="3"/>
        <v>0.44994375703037126</v>
      </c>
      <c r="AK47" s="6">
        <f t="shared" si="3"/>
        <v>0</v>
      </c>
    </row>
    <row r="48" spans="1:37" s="4" customFormat="1" x14ac:dyDescent="0.25">
      <c r="A48" s="44"/>
      <c r="B48" s="4" t="s">
        <v>38</v>
      </c>
      <c r="C48" s="5">
        <v>504</v>
      </c>
      <c r="D48" s="5">
        <v>10</v>
      </c>
      <c r="E48" s="5">
        <v>12</v>
      </c>
      <c r="F48" s="5">
        <v>18</v>
      </c>
      <c r="G48" s="4">
        <v>8</v>
      </c>
      <c r="H48" s="4">
        <v>2</v>
      </c>
      <c r="I48" s="4">
        <v>4</v>
      </c>
      <c r="J48" s="4">
        <v>5</v>
      </c>
      <c r="K48" s="29">
        <v>1</v>
      </c>
      <c r="L48" s="4">
        <v>10</v>
      </c>
      <c r="M48" s="4">
        <v>12</v>
      </c>
      <c r="N48" s="4">
        <v>18</v>
      </c>
      <c r="O48" s="4">
        <v>8</v>
      </c>
      <c r="P48" s="4">
        <v>2</v>
      </c>
      <c r="Q48" s="4">
        <v>4</v>
      </c>
      <c r="R48" s="4">
        <v>7</v>
      </c>
      <c r="S48" s="4">
        <v>1</v>
      </c>
      <c r="V48" s="6">
        <f t="shared" si="4"/>
        <v>1.984126984126984</v>
      </c>
      <c r="W48" s="6">
        <f t="shared" si="4"/>
        <v>2.3809523809523809</v>
      </c>
      <c r="X48" s="6">
        <f t="shared" si="4"/>
        <v>3.5714285714285712</v>
      </c>
      <c r="Y48" s="6">
        <f t="shared" si="4"/>
        <v>1.5873015873015872</v>
      </c>
      <c r="Z48" s="6">
        <f t="shared" si="4"/>
        <v>0.3968253968253968</v>
      </c>
      <c r="AA48" s="6">
        <f t="shared" si="4"/>
        <v>0.79365079365079361</v>
      </c>
      <c r="AB48" s="6">
        <f t="shared" si="4"/>
        <v>0.99206349206349198</v>
      </c>
      <c r="AC48" s="21">
        <f t="shared" si="3"/>
        <v>0.1984126984126984</v>
      </c>
      <c r="AD48" s="6">
        <f t="shared" si="3"/>
        <v>1.984126984126984</v>
      </c>
      <c r="AE48" s="6">
        <f t="shared" si="3"/>
        <v>2.3809523809523809</v>
      </c>
      <c r="AF48" s="6">
        <f t="shared" si="3"/>
        <v>3.5714285714285712</v>
      </c>
      <c r="AG48" s="6">
        <f t="shared" si="3"/>
        <v>1.5873015873015872</v>
      </c>
      <c r="AH48" s="6">
        <f t="shared" si="3"/>
        <v>0.3968253968253968</v>
      </c>
      <c r="AI48" s="6">
        <f t="shared" si="3"/>
        <v>0.79365079365079361</v>
      </c>
      <c r="AJ48" s="6">
        <f t="shared" si="3"/>
        <v>1.3888888888888888</v>
      </c>
      <c r="AK48" s="6">
        <f t="shared" si="3"/>
        <v>0.1984126984126984</v>
      </c>
    </row>
    <row r="49" spans="1:37" s="4" customFormat="1" x14ac:dyDescent="0.25">
      <c r="A49" s="44"/>
      <c r="B49" s="4" t="s">
        <v>39</v>
      </c>
      <c r="C49" s="5">
        <v>201</v>
      </c>
      <c r="D49" s="5">
        <v>5</v>
      </c>
      <c r="E49" s="5">
        <v>2</v>
      </c>
      <c r="F49" s="5">
        <v>6</v>
      </c>
      <c r="G49" s="4">
        <v>1</v>
      </c>
      <c r="H49" s="4">
        <v>3</v>
      </c>
      <c r="I49" s="4">
        <v>1</v>
      </c>
      <c r="J49" s="4">
        <v>1</v>
      </c>
      <c r="K49" s="29">
        <v>1</v>
      </c>
      <c r="L49" s="4">
        <v>6</v>
      </c>
      <c r="M49" s="4">
        <v>2</v>
      </c>
      <c r="N49" s="4">
        <v>6</v>
      </c>
      <c r="O49" s="4">
        <v>1</v>
      </c>
      <c r="P49" s="4">
        <v>4</v>
      </c>
      <c r="Q49" s="4">
        <v>1</v>
      </c>
      <c r="R49" s="4">
        <v>1</v>
      </c>
      <c r="S49" s="4">
        <v>1</v>
      </c>
      <c r="V49" s="6">
        <f t="shared" si="4"/>
        <v>2.4875621890547266</v>
      </c>
      <c r="W49" s="6">
        <f t="shared" si="4"/>
        <v>0.99502487562189057</v>
      </c>
      <c r="X49" s="6">
        <f t="shared" si="4"/>
        <v>2.9850746268656714</v>
      </c>
      <c r="Y49" s="6">
        <f t="shared" si="4"/>
        <v>0.49751243781094528</v>
      </c>
      <c r="Z49" s="6">
        <f t="shared" si="4"/>
        <v>1.4925373134328357</v>
      </c>
      <c r="AA49" s="6">
        <f t="shared" si="4"/>
        <v>0.49751243781094528</v>
      </c>
      <c r="AB49" s="6">
        <f t="shared" si="4"/>
        <v>0.49751243781094528</v>
      </c>
      <c r="AC49" s="21">
        <f t="shared" si="3"/>
        <v>0.49751243781094528</v>
      </c>
      <c r="AD49" s="6">
        <f t="shared" si="3"/>
        <v>2.9850746268656714</v>
      </c>
      <c r="AE49" s="6">
        <f t="shared" si="3"/>
        <v>0.99502487562189057</v>
      </c>
      <c r="AF49" s="6">
        <f t="shared" si="3"/>
        <v>2.9850746268656714</v>
      </c>
      <c r="AG49" s="6">
        <f t="shared" si="3"/>
        <v>0.49751243781094528</v>
      </c>
      <c r="AH49" s="6">
        <f t="shared" si="3"/>
        <v>1.9900497512437811</v>
      </c>
      <c r="AI49" s="6">
        <f t="shared" si="3"/>
        <v>0.49751243781094528</v>
      </c>
      <c r="AJ49" s="6">
        <f t="shared" si="3"/>
        <v>0.49751243781094528</v>
      </c>
      <c r="AK49" s="6">
        <f t="shared" si="3"/>
        <v>0.49751243781094528</v>
      </c>
    </row>
    <row r="50" spans="1:37" s="4" customFormat="1" x14ac:dyDescent="0.25">
      <c r="A50" s="44"/>
      <c r="B50" s="4" t="s">
        <v>40</v>
      </c>
      <c r="C50" s="5">
        <v>900</v>
      </c>
      <c r="D50" s="5">
        <v>34</v>
      </c>
      <c r="E50" s="5">
        <v>16</v>
      </c>
      <c r="F50" s="5">
        <v>30</v>
      </c>
      <c r="G50" s="4">
        <v>6</v>
      </c>
      <c r="H50" s="4">
        <v>5</v>
      </c>
      <c r="I50" s="4">
        <v>6</v>
      </c>
      <c r="J50" s="4">
        <v>10</v>
      </c>
      <c r="K50" s="29">
        <v>4</v>
      </c>
      <c r="L50" s="4">
        <v>38</v>
      </c>
      <c r="M50" s="4">
        <v>16</v>
      </c>
      <c r="N50" s="4">
        <v>30</v>
      </c>
      <c r="O50" s="4">
        <v>6</v>
      </c>
      <c r="P50" s="4">
        <v>7</v>
      </c>
      <c r="Q50" s="4">
        <v>8</v>
      </c>
      <c r="R50" s="4">
        <v>12</v>
      </c>
      <c r="S50" s="4">
        <v>6</v>
      </c>
      <c r="V50" s="6">
        <f t="shared" si="4"/>
        <v>3.7777777777777777</v>
      </c>
      <c r="W50" s="6">
        <f t="shared" si="4"/>
        <v>1.7777777777777777</v>
      </c>
      <c r="X50" s="6">
        <f t="shared" si="4"/>
        <v>3.3333333333333335</v>
      </c>
      <c r="Y50" s="6">
        <f t="shared" si="4"/>
        <v>0.66666666666666674</v>
      </c>
      <c r="Z50" s="6">
        <f t="shared" si="4"/>
        <v>0.55555555555555558</v>
      </c>
      <c r="AA50" s="6">
        <f t="shared" si="4"/>
        <v>0.66666666666666674</v>
      </c>
      <c r="AB50" s="6">
        <f t="shared" si="4"/>
        <v>1.1111111111111112</v>
      </c>
      <c r="AC50" s="21">
        <f t="shared" si="3"/>
        <v>0.44444444444444442</v>
      </c>
      <c r="AD50" s="6">
        <f t="shared" si="3"/>
        <v>4.2222222222222223</v>
      </c>
      <c r="AE50" s="6">
        <f t="shared" si="3"/>
        <v>1.7777777777777777</v>
      </c>
      <c r="AF50" s="6">
        <f t="shared" si="3"/>
        <v>3.3333333333333335</v>
      </c>
      <c r="AG50" s="6">
        <f t="shared" si="3"/>
        <v>0.66666666666666674</v>
      </c>
      <c r="AH50" s="6">
        <f t="shared" si="3"/>
        <v>0.77777777777777779</v>
      </c>
      <c r="AI50" s="6">
        <f t="shared" si="3"/>
        <v>0.88888888888888884</v>
      </c>
      <c r="AJ50" s="6">
        <f t="shared" si="3"/>
        <v>1.3333333333333335</v>
      </c>
      <c r="AK50" s="6">
        <f t="shared" si="3"/>
        <v>0.66666666666666674</v>
      </c>
    </row>
    <row r="51" spans="1:37" s="4" customFormat="1" x14ac:dyDescent="0.25">
      <c r="A51" s="44"/>
      <c r="B51" s="4" t="s">
        <v>41</v>
      </c>
      <c r="C51" s="5">
        <v>672</v>
      </c>
      <c r="D51" s="5">
        <v>19</v>
      </c>
      <c r="E51" s="5">
        <v>18</v>
      </c>
      <c r="F51" s="5">
        <v>29</v>
      </c>
      <c r="G51" s="4">
        <v>5</v>
      </c>
      <c r="H51" s="4">
        <v>1</v>
      </c>
      <c r="I51" s="4">
        <v>1</v>
      </c>
      <c r="J51" s="4">
        <v>1</v>
      </c>
      <c r="K51" s="29">
        <v>0</v>
      </c>
      <c r="L51" s="4">
        <v>19</v>
      </c>
      <c r="M51" s="4">
        <v>19</v>
      </c>
      <c r="N51" s="4">
        <v>30</v>
      </c>
      <c r="O51" s="4">
        <v>5</v>
      </c>
      <c r="P51" s="4">
        <v>1</v>
      </c>
      <c r="Q51" s="4">
        <v>1</v>
      </c>
      <c r="R51" s="4">
        <v>1</v>
      </c>
      <c r="S51" s="4">
        <v>0</v>
      </c>
      <c r="V51" s="6">
        <f t="shared" si="4"/>
        <v>2.8273809523809526</v>
      </c>
      <c r="W51" s="6">
        <f t="shared" si="4"/>
        <v>2.6785714285714284</v>
      </c>
      <c r="X51" s="6">
        <f t="shared" si="4"/>
        <v>4.3154761904761907</v>
      </c>
      <c r="Y51" s="6">
        <f t="shared" si="4"/>
        <v>0.74404761904761896</v>
      </c>
      <c r="Z51" s="6">
        <f t="shared" si="4"/>
        <v>0.14880952380952381</v>
      </c>
      <c r="AA51" s="6">
        <f t="shared" si="4"/>
        <v>0.14880952380952381</v>
      </c>
      <c r="AB51" s="6">
        <f t="shared" si="4"/>
        <v>0.14880952380952381</v>
      </c>
      <c r="AC51" s="21">
        <f t="shared" si="3"/>
        <v>0</v>
      </c>
      <c r="AD51" s="6">
        <f t="shared" si="3"/>
        <v>2.8273809523809526</v>
      </c>
      <c r="AE51" s="6">
        <f t="shared" si="3"/>
        <v>2.8273809523809526</v>
      </c>
      <c r="AF51" s="6">
        <f t="shared" si="3"/>
        <v>4.4642857142857144</v>
      </c>
      <c r="AG51" s="6">
        <f t="shared" si="3"/>
        <v>0.74404761904761896</v>
      </c>
      <c r="AH51" s="6">
        <f t="shared" si="3"/>
        <v>0.14880952380952381</v>
      </c>
      <c r="AI51" s="6">
        <f t="shared" si="3"/>
        <v>0.14880952380952381</v>
      </c>
      <c r="AJ51" s="6">
        <f t="shared" si="3"/>
        <v>0.14880952380952381</v>
      </c>
      <c r="AK51" s="6">
        <f t="shared" si="3"/>
        <v>0</v>
      </c>
    </row>
    <row r="52" spans="1:37" s="4" customFormat="1" x14ac:dyDescent="0.25">
      <c r="A52" s="44"/>
      <c r="B52" s="4" t="s">
        <v>42</v>
      </c>
      <c r="C52" s="5">
        <v>421</v>
      </c>
      <c r="D52" s="5">
        <v>2</v>
      </c>
      <c r="E52" s="5">
        <v>2</v>
      </c>
      <c r="F52" s="5">
        <v>12</v>
      </c>
      <c r="G52" s="4">
        <v>0</v>
      </c>
      <c r="H52" s="4">
        <v>0</v>
      </c>
      <c r="I52" s="4">
        <v>1</v>
      </c>
      <c r="J52" s="4">
        <v>3</v>
      </c>
      <c r="K52" s="29">
        <v>0</v>
      </c>
      <c r="L52" s="4">
        <v>2</v>
      </c>
      <c r="M52" s="4">
        <v>2</v>
      </c>
      <c r="N52" s="4">
        <v>12</v>
      </c>
      <c r="O52" s="4">
        <v>0</v>
      </c>
      <c r="P52" s="4">
        <v>0</v>
      </c>
      <c r="Q52" s="4">
        <v>1</v>
      </c>
      <c r="R52" s="4">
        <v>3</v>
      </c>
      <c r="S52" s="4">
        <v>0</v>
      </c>
      <c r="V52" s="6">
        <f t="shared" si="4"/>
        <v>0.47505938242280288</v>
      </c>
      <c r="W52" s="6">
        <f t="shared" si="4"/>
        <v>0.47505938242280288</v>
      </c>
      <c r="X52" s="6">
        <f t="shared" si="4"/>
        <v>2.8503562945368173</v>
      </c>
      <c r="Y52" s="6">
        <f t="shared" si="4"/>
        <v>0</v>
      </c>
      <c r="Z52" s="6">
        <f t="shared" si="4"/>
        <v>0</v>
      </c>
      <c r="AA52" s="6">
        <f t="shared" si="4"/>
        <v>0.23752969121140144</v>
      </c>
      <c r="AB52" s="6">
        <f t="shared" si="4"/>
        <v>0.71258907363420432</v>
      </c>
      <c r="AC52" s="21">
        <f t="shared" si="3"/>
        <v>0</v>
      </c>
      <c r="AD52" s="6">
        <f t="shared" si="3"/>
        <v>0.47505938242280288</v>
      </c>
      <c r="AE52" s="6">
        <f t="shared" si="3"/>
        <v>0.47505938242280288</v>
      </c>
      <c r="AF52" s="6">
        <f t="shared" si="3"/>
        <v>2.8503562945368173</v>
      </c>
      <c r="AG52" s="6">
        <f t="shared" si="3"/>
        <v>0</v>
      </c>
      <c r="AH52" s="6">
        <f t="shared" si="3"/>
        <v>0</v>
      </c>
      <c r="AI52" s="6">
        <f t="shared" si="3"/>
        <v>0.23752969121140144</v>
      </c>
      <c r="AJ52" s="6">
        <f t="shared" si="3"/>
        <v>0.71258907363420432</v>
      </c>
      <c r="AK52" s="6">
        <f t="shared" si="3"/>
        <v>0</v>
      </c>
    </row>
    <row r="53" spans="1:37" s="7" customFormat="1" x14ac:dyDescent="0.25">
      <c r="A53" s="45" t="s">
        <v>59</v>
      </c>
      <c r="B53" s="7" t="s">
        <v>43</v>
      </c>
      <c r="C53" s="8">
        <v>651</v>
      </c>
      <c r="D53" s="8">
        <v>7</v>
      </c>
      <c r="E53" s="8">
        <v>17</v>
      </c>
      <c r="F53" s="8">
        <v>17</v>
      </c>
      <c r="G53" s="7">
        <v>1</v>
      </c>
      <c r="H53" s="7">
        <v>1</v>
      </c>
      <c r="I53" s="7">
        <v>2</v>
      </c>
      <c r="J53" s="7">
        <v>2</v>
      </c>
      <c r="K53" s="30">
        <v>0</v>
      </c>
      <c r="L53" s="7">
        <v>7</v>
      </c>
      <c r="M53" s="7">
        <v>19</v>
      </c>
      <c r="N53" s="7">
        <v>17</v>
      </c>
      <c r="O53" s="7">
        <v>1</v>
      </c>
      <c r="P53" s="7">
        <v>1</v>
      </c>
      <c r="Q53" s="7">
        <v>3</v>
      </c>
      <c r="R53" s="7">
        <v>3</v>
      </c>
      <c r="S53" s="7">
        <v>0</v>
      </c>
      <c r="V53" s="9">
        <f t="shared" si="4"/>
        <v>1.0752688172043012</v>
      </c>
      <c r="W53" s="9">
        <f t="shared" si="4"/>
        <v>2.6113671274961598</v>
      </c>
      <c r="X53" s="9">
        <f t="shared" si="4"/>
        <v>2.6113671274961598</v>
      </c>
      <c r="Y53" s="9">
        <f t="shared" si="4"/>
        <v>0.15360983102918588</v>
      </c>
      <c r="Z53" s="9">
        <f t="shared" si="4"/>
        <v>0.15360983102918588</v>
      </c>
      <c r="AA53" s="9">
        <f t="shared" si="4"/>
        <v>0.30721966205837176</v>
      </c>
      <c r="AB53" s="9">
        <f t="shared" si="4"/>
        <v>0.30721966205837176</v>
      </c>
      <c r="AC53" s="22">
        <f t="shared" si="3"/>
        <v>0</v>
      </c>
      <c r="AD53" s="9">
        <f t="shared" si="3"/>
        <v>1.0752688172043012</v>
      </c>
      <c r="AE53" s="9">
        <f t="shared" si="3"/>
        <v>2.9185867895545314</v>
      </c>
      <c r="AF53" s="9">
        <f t="shared" si="3"/>
        <v>2.6113671274961598</v>
      </c>
      <c r="AG53" s="9">
        <f t="shared" si="3"/>
        <v>0.15360983102918588</v>
      </c>
      <c r="AH53" s="9">
        <f t="shared" si="3"/>
        <v>0.15360983102918588</v>
      </c>
      <c r="AI53" s="9">
        <f t="shared" si="3"/>
        <v>0.46082949308755761</v>
      </c>
      <c r="AJ53" s="9">
        <f t="shared" si="3"/>
        <v>0.46082949308755761</v>
      </c>
      <c r="AK53" s="9">
        <f t="shared" si="3"/>
        <v>0</v>
      </c>
    </row>
    <row r="54" spans="1:37" s="7" customFormat="1" x14ac:dyDescent="0.25">
      <c r="A54" s="45"/>
      <c r="B54" s="7" t="s">
        <v>44</v>
      </c>
      <c r="C54" s="8">
        <v>774</v>
      </c>
      <c r="D54" s="8">
        <v>13</v>
      </c>
      <c r="E54" s="8">
        <v>11</v>
      </c>
      <c r="F54" s="8">
        <v>18</v>
      </c>
      <c r="G54" s="7">
        <v>6</v>
      </c>
      <c r="H54" s="7">
        <v>1</v>
      </c>
      <c r="I54" s="7">
        <v>1</v>
      </c>
      <c r="J54" s="7">
        <v>5</v>
      </c>
      <c r="K54" s="30">
        <v>1</v>
      </c>
      <c r="L54" s="7">
        <v>14</v>
      </c>
      <c r="M54" s="7">
        <v>11</v>
      </c>
      <c r="N54" s="7">
        <v>19</v>
      </c>
      <c r="O54" s="7">
        <v>6</v>
      </c>
      <c r="P54" s="7">
        <v>1</v>
      </c>
      <c r="Q54" s="7">
        <v>1</v>
      </c>
      <c r="R54" s="7">
        <v>7</v>
      </c>
      <c r="S54" s="7">
        <v>1</v>
      </c>
      <c r="V54" s="9">
        <f t="shared" si="4"/>
        <v>1.6795865633074936</v>
      </c>
      <c r="W54" s="9">
        <f t="shared" si="4"/>
        <v>1.421188630490956</v>
      </c>
      <c r="X54" s="9">
        <f t="shared" si="4"/>
        <v>2.3255813953488373</v>
      </c>
      <c r="Y54" s="9">
        <f t="shared" si="4"/>
        <v>0.77519379844961245</v>
      </c>
      <c r="Z54" s="9">
        <f t="shared" si="4"/>
        <v>0.12919896640826875</v>
      </c>
      <c r="AA54" s="9">
        <f t="shared" si="4"/>
        <v>0.12919896640826875</v>
      </c>
      <c r="AB54" s="9">
        <f t="shared" si="4"/>
        <v>0.64599483204134367</v>
      </c>
      <c r="AC54" s="22">
        <f t="shared" si="3"/>
        <v>0.12919896640826875</v>
      </c>
      <c r="AD54" s="9">
        <f t="shared" si="3"/>
        <v>1.8087855297157622</v>
      </c>
      <c r="AE54" s="9">
        <f t="shared" si="3"/>
        <v>1.421188630490956</v>
      </c>
      <c r="AF54" s="9">
        <f t="shared" si="3"/>
        <v>2.454780361757106</v>
      </c>
      <c r="AG54" s="9">
        <f t="shared" si="3"/>
        <v>0.77519379844961245</v>
      </c>
      <c r="AH54" s="9">
        <f t="shared" si="3"/>
        <v>0.12919896640826875</v>
      </c>
      <c r="AI54" s="9">
        <f t="shared" si="3"/>
        <v>0.12919896640826875</v>
      </c>
      <c r="AJ54" s="9">
        <f t="shared" si="3"/>
        <v>0.90439276485788112</v>
      </c>
      <c r="AK54" s="9">
        <f t="shared" si="3"/>
        <v>0.12919896640826875</v>
      </c>
    </row>
    <row r="55" spans="1:37" s="7" customFormat="1" x14ac:dyDescent="0.25">
      <c r="A55" s="45"/>
      <c r="B55" s="7" t="s">
        <v>45</v>
      </c>
      <c r="C55" s="8">
        <v>169</v>
      </c>
      <c r="D55" s="8">
        <v>1</v>
      </c>
      <c r="E55" s="8">
        <v>1</v>
      </c>
      <c r="F55" s="8">
        <v>3</v>
      </c>
      <c r="G55" s="7">
        <v>0</v>
      </c>
      <c r="H55" s="7">
        <v>0</v>
      </c>
      <c r="I55" s="7">
        <v>0</v>
      </c>
      <c r="J55" s="7">
        <v>0</v>
      </c>
      <c r="K55" s="30">
        <v>0</v>
      </c>
      <c r="L55" s="7">
        <v>1</v>
      </c>
      <c r="M55" s="7">
        <v>1</v>
      </c>
      <c r="N55" s="7">
        <v>3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V55" s="9">
        <f t="shared" si="4"/>
        <v>0.59171597633136097</v>
      </c>
      <c r="W55" s="9">
        <f t="shared" si="4"/>
        <v>0.59171597633136097</v>
      </c>
      <c r="X55" s="9">
        <f t="shared" si="4"/>
        <v>1.7751479289940828</v>
      </c>
      <c r="Y55" s="9">
        <f t="shared" si="4"/>
        <v>0</v>
      </c>
      <c r="Z55" s="9">
        <f t="shared" si="4"/>
        <v>0</v>
      </c>
      <c r="AA55" s="9">
        <f t="shared" si="4"/>
        <v>0</v>
      </c>
      <c r="AB55" s="9">
        <f t="shared" si="4"/>
        <v>0</v>
      </c>
      <c r="AC55" s="22">
        <f t="shared" si="3"/>
        <v>0</v>
      </c>
      <c r="AD55" s="9">
        <f t="shared" si="3"/>
        <v>0.59171597633136097</v>
      </c>
      <c r="AE55" s="9">
        <f t="shared" si="3"/>
        <v>0.59171597633136097</v>
      </c>
      <c r="AF55" s="9">
        <f t="shared" si="3"/>
        <v>1.7751479289940828</v>
      </c>
      <c r="AG55" s="9">
        <f t="shared" si="3"/>
        <v>0</v>
      </c>
      <c r="AH55" s="9">
        <f t="shared" si="3"/>
        <v>0</v>
      </c>
      <c r="AI55" s="9">
        <f t="shared" si="3"/>
        <v>0</v>
      </c>
      <c r="AJ55" s="9">
        <f t="shared" si="3"/>
        <v>0</v>
      </c>
      <c r="AK55" s="9">
        <f t="shared" si="3"/>
        <v>0</v>
      </c>
    </row>
    <row r="56" spans="1:37" s="7" customFormat="1" x14ac:dyDescent="0.25">
      <c r="A56" s="45"/>
      <c r="B56" s="7" t="s">
        <v>46</v>
      </c>
      <c r="C56" s="8">
        <v>436</v>
      </c>
      <c r="D56" s="8">
        <v>10</v>
      </c>
      <c r="E56" s="8">
        <v>4</v>
      </c>
      <c r="F56" s="8">
        <v>10</v>
      </c>
      <c r="G56" s="7">
        <v>2</v>
      </c>
      <c r="H56" s="7">
        <v>3</v>
      </c>
      <c r="I56" s="7">
        <v>1</v>
      </c>
      <c r="J56" s="7">
        <v>1</v>
      </c>
      <c r="K56" s="30">
        <v>1</v>
      </c>
      <c r="L56" s="7">
        <v>10</v>
      </c>
      <c r="M56" s="7">
        <v>4</v>
      </c>
      <c r="N56" s="7">
        <v>10</v>
      </c>
      <c r="O56" s="7">
        <v>2</v>
      </c>
      <c r="P56" s="7">
        <v>3</v>
      </c>
      <c r="Q56" s="7">
        <v>1</v>
      </c>
      <c r="R56" s="7">
        <v>1</v>
      </c>
      <c r="S56" s="7">
        <v>1</v>
      </c>
      <c r="V56" s="9">
        <f t="shared" si="4"/>
        <v>2.2935779816513762</v>
      </c>
      <c r="W56" s="9">
        <f t="shared" si="4"/>
        <v>0.91743119266055051</v>
      </c>
      <c r="X56" s="9">
        <f t="shared" si="4"/>
        <v>2.2935779816513762</v>
      </c>
      <c r="Y56" s="9">
        <f t="shared" si="4"/>
        <v>0.45871559633027525</v>
      </c>
      <c r="Z56" s="9">
        <f t="shared" si="4"/>
        <v>0.68807339449541294</v>
      </c>
      <c r="AA56" s="9">
        <f t="shared" si="4"/>
        <v>0.22935779816513763</v>
      </c>
      <c r="AB56" s="9">
        <f t="shared" si="4"/>
        <v>0.22935779816513763</v>
      </c>
      <c r="AC56" s="22">
        <f t="shared" si="3"/>
        <v>0.22935779816513763</v>
      </c>
      <c r="AD56" s="9">
        <f t="shared" si="3"/>
        <v>2.2935779816513762</v>
      </c>
      <c r="AE56" s="9">
        <f t="shared" si="3"/>
        <v>0.91743119266055051</v>
      </c>
      <c r="AF56" s="9">
        <f t="shared" si="3"/>
        <v>2.2935779816513762</v>
      </c>
      <c r="AG56" s="9">
        <f t="shared" si="3"/>
        <v>0.45871559633027525</v>
      </c>
      <c r="AH56" s="9">
        <f t="shared" si="3"/>
        <v>0.68807339449541294</v>
      </c>
      <c r="AI56" s="9">
        <f t="shared" si="3"/>
        <v>0.22935779816513763</v>
      </c>
      <c r="AJ56" s="9">
        <f t="shared" si="3"/>
        <v>0.22935779816513763</v>
      </c>
      <c r="AK56" s="9">
        <f t="shared" si="3"/>
        <v>0.22935779816513763</v>
      </c>
    </row>
    <row r="57" spans="1:37" s="7" customFormat="1" x14ac:dyDescent="0.25">
      <c r="A57" s="45"/>
      <c r="B57" s="7" t="s">
        <v>47</v>
      </c>
      <c r="C57" s="8">
        <v>636</v>
      </c>
      <c r="D57" s="8">
        <v>13</v>
      </c>
      <c r="E57" s="8">
        <v>6</v>
      </c>
      <c r="F57" s="8">
        <v>23</v>
      </c>
      <c r="G57" s="7">
        <v>4</v>
      </c>
      <c r="H57" s="7">
        <v>0</v>
      </c>
      <c r="I57" s="7">
        <v>0</v>
      </c>
      <c r="J57" s="7">
        <v>2</v>
      </c>
      <c r="K57" s="30">
        <v>0</v>
      </c>
      <c r="L57" s="7">
        <v>13</v>
      </c>
      <c r="M57" s="7">
        <v>6</v>
      </c>
      <c r="N57" s="7">
        <v>23</v>
      </c>
      <c r="O57" s="7">
        <v>4</v>
      </c>
      <c r="P57" s="7">
        <v>0</v>
      </c>
      <c r="Q57" s="7">
        <v>0</v>
      </c>
      <c r="R57" s="7">
        <v>3</v>
      </c>
      <c r="S57" s="7">
        <v>0</v>
      </c>
      <c r="V57" s="9">
        <f t="shared" si="4"/>
        <v>2.0440251572327042</v>
      </c>
      <c r="W57" s="9">
        <f t="shared" si="4"/>
        <v>0.94339622641509435</v>
      </c>
      <c r="X57" s="9">
        <f t="shared" si="4"/>
        <v>3.6163522012578615</v>
      </c>
      <c r="Y57" s="9">
        <f t="shared" si="4"/>
        <v>0.62893081761006298</v>
      </c>
      <c r="Z57" s="9">
        <f t="shared" si="4"/>
        <v>0</v>
      </c>
      <c r="AA57" s="9">
        <f t="shared" si="4"/>
        <v>0</v>
      </c>
      <c r="AB57" s="9">
        <f t="shared" si="4"/>
        <v>0.31446540880503149</v>
      </c>
      <c r="AC57" s="22">
        <f t="shared" si="3"/>
        <v>0</v>
      </c>
      <c r="AD57" s="9">
        <f t="shared" si="3"/>
        <v>2.0440251572327042</v>
      </c>
      <c r="AE57" s="9">
        <f t="shared" si="3"/>
        <v>0.94339622641509435</v>
      </c>
      <c r="AF57" s="9">
        <f t="shared" si="3"/>
        <v>3.6163522012578615</v>
      </c>
      <c r="AG57" s="9">
        <f t="shared" si="3"/>
        <v>0.62893081761006298</v>
      </c>
      <c r="AH57" s="9">
        <f t="shared" si="3"/>
        <v>0</v>
      </c>
      <c r="AI57" s="9">
        <f t="shared" si="3"/>
        <v>0</v>
      </c>
      <c r="AJ57" s="9">
        <f t="shared" si="3"/>
        <v>0.47169811320754718</v>
      </c>
      <c r="AK57" s="9">
        <f t="shared" si="3"/>
        <v>0</v>
      </c>
    </row>
    <row r="58" spans="1:37" s="10" customFormat="1" x14ac:dyDescent="0.25">
      <c r="A58" s="41" t="s">
        <v>60</v>
      </c>
      <c r="B58" s="10" t="s">
        <v>43</v>
      </c>
      <c r="C58" s="11">
        <v>667</v>
      </c>
      <c r="D58" s="11">
        <v>21</v>
      </c>
      <c r="E58" s="11">
        <v>17</v>
      </c>
      <c r="F58" s="11">
        <v>21</v>
      </c>
      <c r="G58" s="10">
        <v>3</v>
      </c>
      <c r="H58" s="10">
        <v>3</v>
      </c>
      <c r="I58" s="10">
        <v>0</v>
      </c>
      <c r="J58" s="10">
        <v>8</v>
      </c>
      <c r="K58" s="31">
        <v>0</v>
      </c>
      <c r="L58" s="10">
        <v>22</v>
      </c>
      <c r="M58" s="10">
        <v>20</v>
      </c>
      <c r="N58" s="10">
        <v>21</v>
      </c>
      <c r="O58" s="10">
        <v>3</v>
      </c>
      <c r="P58" s="10">
        <v>3</v>
      </c>
      <c r="Q58" s="10">
        <v>0</v>
      </c>
      <c r="R58" s="10">
        <v>8</v>
      </c>
      <c r="S58" s="10">
        <v>0</v>
      </c>
      <c r="V58" s="12">
        <f t="shared" si="4"/>
        <v>3.1484257871064467</v>
      </c>
      <c r="W58" s="12">
        <f t="shared" si="4"/>
        <v>2.5487256371814091</v>
      </c>
      <c r="X58" s="12">
        <f t="shared" si="4"/>
        <v>3.1484257871064467</v>
      </c>
      <c r="Y58" s="12">
        <f t="shared" si="4"/>
        <v>0.4497751124437781</v>
      </c>
      <c r="Z58" s="12">
        <f t="shared" si="4"/>
        <v>0.4497751124437781</v>
      </c>
      <c r="AA58" s="12">
        <f t="shared" si="4"/>
        <v>0</v>
      </c>
      <c r="AB58" s="12">
        <f t="shared" si="4"/>
        <v>1.199400299850075</v>
      </c>
      <c r="AC58" s="23">
        <f t="shared" si="3"/>
        <v>0</v>
      </c>
      <c r="AD58" s="12">
        <f t="shared" si="3"/>
        <v>3.2983508245877062</v>
      </c>
      <c r="AE58" s="12">
        <f t="shared" si="3"/>
        <v>2.9985007496251872</v>
      </c>
      <c r="AF58" s="12">
        <f t="shared" si="3"/>
        <v>3.1484257871064467</v>
      </c>
      <c r="AG58" s="12">
        <f t="shared" si="3"/>
        <v>0.4497751124437781</v>
      </c>
      <c r="AH58" s="12">
        <f t="shared" si="3"/>
        <v>0.4497751124437781</v>
      </c>
      <c r="AI58" s="12">
        <f t="shared" si="3"/>
        <v>0</v>
      </c>
      <c r="AJ58" s="12">
        <f t="shared" si="3"/>
        <v>1.199400299850075</v>
      </c>
      <c r="AK58" s="12">
        <f t="shared" si="3"/>
        <v>0</v>
      </c>
    </row>
    <row r="59" spans="1:37" s="10" customFormat="1" x14ac:dyDescent="0.25">
      <c r="A59" s="41"/>
      <c r="B59" s="10" t="s">
        <v>44</v>
      </c>
      <c r="C59" s="11">
        <v>790</v>
      </c>
      <c r="D59" s="11">
        <v>29</v>
      </c>
      <c r="E59" s="11">
        <v>17</v>
      </c>
      <c r="F59" s="11">
        <v>21</v>
      </c>
      <c r="G59" s="10">
        <v>8</v>
      </c>
      <c r="H59" s="10">
        <v>3</v>
      </c>
      <c r="I59" s="10">
        <v>1</v>
      </c>
      <c r="J59" s="10">
        <v>4</v>
      </c>
      <c r="K59" s="31">
        <v>0</v>
      </c>
      <c r="L59" s="10">
        <v>32</v>
      </c>
      <c r="M59" s="10">
        <v>17</v>
      </c>
      <c r="N59" s="10">
        <v>21</v>
      </c>
      <c r="O59" s="10">
        <v>8</v>
      </c>
      <c r="P59" s="10">
        <v>3</v>
      </c>
      <c r="Q59" s="10">
        <v>1</v>
      </c>
      <c r="R59" s="10">
        <v>4</v>
      </c>
      <c r="S59" s="10">
        <v>0</v>
      </c>
      <c r="V59" s="12">
        <f t="shared" si="4"/>
        <v>3.6708860759493671</v>
      </c>
      <c r="W59" s="12">
        <f t="shared" si="4"/>
        <v>2.1518987341772151</v>
      </c>
      <c r="X59" s="12">
        <f t="shared" si="4"/>
        <v>2.6582278481012658</v>
      </c>
      <c r="Y59" s="12">
        <f t="shared" si="4"/>
        <v>1.0126582278481013</v>
      </c>
      <c r="Z59" s="12">
        <f t="shared" si="4"/>
        <v>0.37974683544303794</v>
      </c>
      <c r="AA59" s="12">
        <f t="shared" si="4"/>
        <v>0.12658227848101267</v>
      </c>
      <c r="AB59" s="12">
        <f t="shared" si="4"/>
        <v>0.50632911392405067</v>
      </c>
      <c r="AC59" s="23">
        <f t="shared" si="3"/>
        <v>0</v>
      </c>
      <c r="AD59" s="12">
        <f t="shared" si="3"/>
        <v>4.0506329113924053</v>
      </c>
      <c r="AE59" s="12">
        <f t="shared" si="3"/>
        <v>2.1518987341772151</v>
      </c>
      <c r="AF59" s="12">
        <f t="shared" si="3"/>
        <v>2.6582278481012658</v>
      </c>
      <c r="AG59" s="12">
        <f t="shared" si="3"/>
        <v>1.0126582278481013</v>
      </c>
      <c r="AH59" s="12">
        <f t="shared" si="3"/>
        <v>0.37974683544303794</v>
      </c>
      <c r="AI59" s="12">
        <f t="shared" si="3"/>
        <v>0.12658227848101267</v>
      </c>
      <c r="AJ59" s="12">
        <f t="shared" si="3"/>
        <v>0.50632911392405067</v>
      </c>
      <c r="AK59" s="12">
        <f t="shared" si="3"/>
        <v>0</v>
      </c>
    </row>
    <row r="60" spans="1:37" s="10" customFormat="1" x14ac:dyDescent="0.25">
      <c r="A60" s="41"/>
      <c r="B60" s="10" t="s">
        <v>45</v>
      </c>
      <c r="C60" s="11">
        <v>172</v>
      </c>
      <c r="D60" s="11">
        <v>5</v>
      </c>
      <c r="E60" s="11">
        <v>1</v>
      </c>
      <c r="F60" s="11">
        <v>1</v>
      </c>
      <c r="G60" s="10">
        <v>0</v>
      </c>
      <c r="H60" s="10">
        <v>1</v>
      </c>
      <c r="I60" s="10">
        <v>1</v>
      </c>
      <c r="J60" s="10">
        <v>0</v>
      </c>
      <c r="K60" s="31">
        <v>0</v>
      </c>
      <c r="L60" s="10">
        <v>5</v>
      </c>
      <c r="M60" s="10">
        <v>1</v>
      </c>
      <c r="N60" s="10">
        <v>1</v>
      </c>
      <c r="O60" s="10">
        <v>0</v>
      </c>
      <c r="P60" s="10">
        <v>1</v>
      </c>
      <c r="Q60" s="10">
        <v>1</v>
      </c>
      <c r="R60" s="10">
        <v>0</v>
      </c>
      <c r="S60" s="10">
        <v>0</v>
      </c>
      <c r="V60" s="12">
        <f t="shared" si="4"/>
        <v>2.9069767441860463</v>
      </c>
      <c r="W60" s="12">
        <f t="shared" si="4"/>
        <v>0.58139534883720934</v>
      </c>
      <c r="X60" s="12">
        <f t="shared" si="4"/>
        <v>0.58139534883720934</v>
      </c>
      <c r="Y60" s="12">
        <f t="shared" si="4"/>
        <v>0</v>
      </c>
      <c r="Z60" s="12">
        <f t="shared" si="4"/>
        <v>0.58139534883720934</v>
      </c>
      <c r="AA60" s="12">
        <f t="shared" si="4"/>
        <v>0.58139534883720934</v>
      </c>
      <c r="AB60" s="12">
        <f t="shared" si="4"/>
        <v>0</v>
      </c>
      <c r="AC60" s="23">
        <f t="shared" si="4"/>
        <v>0</v>
      </c>
      <c r="AD60" s="12">
        <f t="shared" si="4"/>
        <v>2.9069767441860463</v>
      </c>
      <c r="AE60" s="12">
        <f t="shared" si="4"/>
        <v>0.58139534883720934</v>
      </c>
      <c r="AF60" s="12">
        <f t="shared" si="4"/>
        <v>0.58139534883720934</v>
      </c>
      <c r="AG60" s="12">
        <f t="shared" si="4"/>
        <v>0</v>
      </c>
      <c r="AH60" s="12">
        <f t="shared" si="4"/>
        <v>0.58139534883720934</v>
      </c>
      <c r="AI60" s="12">
        <f t="shared" si="4"/>
        <v>0.58139534883720934</v>
      </c>
      <c r="AJ60" s="12">
        <f t="shared" si="4"/>
        <v>0</v>
      </c>
      <c r="AK60" s="12">
        <f t="shared" si="4"/>
        <v>0</v>
      </c>
    </row>
    <row r="61" spans="1:37" s="10" customFormat="1" x14ac:dyDescent="0.25">
      <c r="A61" s="41"/>
      <c r="B61" s="10" t="s">
        <v>46</v>
      </c>
      <c r="C61" s="11">
        <v>446</v>
      </c>
      <c r="D61" s="11">
        <v>10</v>
      </c>
      <c r="E61" s="11">
        <v>5</v>
      </c>
      <c r="F61" s="11">
        <v>7</v>
      </c>
      <c r="G61" s="10">
        <v>1</v>
      </c>
      <c r="H61" s="10">
        <v>2</v>
      </c>
      <c r="I61" s="10">
        <v>1</v>
      </c>
      <c r="J61" s="10">
        <v>2</v>
      </c>
      <c r="K61" s="31">
        <v>0</v>
      </c>
      <c r="L61" s="10">
        <v>10</v>
      </c>
      <c r="M61" s="10">
        <v>5</v>
      </c>
      <c r="N61" s="10">
        <v>7</v>
      </c>
      <c r="O61" s="10">
        <v>1</v>
      </c>
      <c r="P61" s="10">
        <v>2</v>
      </c>
      <c r="Q61" s="10">
        <v>1</v>
      </c>
      <c r="R61" s="10">
        <v>3</v>
      </c>
      <c r="S61" s="10">
        <v>0</v>
      </c>
      <c r="V61" s="12">
        <f t="shared" si="4"/>
        <v>2.2421524663677128</v>
      </c>
      <c r="W61" s="12">
        <f t="shared" si="4"/>
        <v>1.1210762331838564</v>
      </c>
      <c r="X61" s="12">
        <f t="shared" si="4"/>
        <v>1.5695067264573992</v>
      </c>
      <c r="Y61" s="12">
        <f t="shared" si="4"/>
        <v>0.22421524663677131</v>
      </c>
      <c r="Z61" s="12">
        <f t="shared" si="4"/>
        <v>0.44843049327354262</v>
      </c>
      <c r="AA61" s="12">
        <f t="shared" si="4"/>
        <v>0.22421524663677131</v>
      </c>
      <c r="AB61" s="12">
        <f t="shared" si="4"/>
        <v>0.44843049327354262</v>
      </c>
      <c r="AC61" s="23">
        <f t="shared" si="4"/>
        <v>0</v>
      </c>
      <c r="AD61" s="12">
        <f t="shared" si="4"/>
        <v>2.2421524663677128</v>
      </c>
      <c r="AE61" s="12">
        <f t="shared" si="4"/>
        <v>1.1210762331838564</v>
      </c>
      <c r="AF61" s="12">
        <f t="shared" si="4"/>
        <v>1.5695067264573992</v>
      </c>
      <c r="AG61" s="12">
        <f t="shared" si="4"/>
        <v>0.22421524663677131</v>
      </c>
      <c r="AH61" s="12">
        <f t="shared" si="4"/>
        <v>0.44843049327354262</v>
      </c>
      <c r="AI61" s="12">
        <f t="shared" si="4"/>
        <v>0.22421524663677131</v>
      </c>
      <c r="AJ61" s="12">
        <f t="shared" si="4"/>
        <v>0.67264573991031396</v>
      </c>
      <c r="AK61" s="12">
        <f t="shared" si="4"/>
        <v>0</v>
      </c>
    </row>
    <row r="62" spans="1:37" s="10" customFormat="1" x14ac:dyDescent="0.25">
      <c r="A62" s="41"/>
      <c r="B62" s="10" t="s">
        <v>47</v>
      </c>
      <c r="C62" s="11">
        <v>644</v>
      </c>
      <c r="D62" s="11">
        <v>24</v>
      </c>
      <c r="E62" s="11">
        <v>15</v>
      </c>
      <c r="F62" s="11">
        <v>25</v>
      </c>
      <c r="G62" s="10">
        <v>10</v>
      </c>
      <c r="H62" s="10">
        <v>1</v>
      </c>
      <c r="I62" s="10">
        <v>0</v>
      </c>
      <c r="J62" s="10">
        <v>1</v>
      </c>
      <c r="K62" s="31">
        <v>0</v>
      </c>
      <c r="L62" s="10">
        <v>24</v>
      </c>
      <c r="M62" s="10">
        <v>15</v>
      </c>
      <c r="N62" s="10">
        <v>25</v>
      </c>
      <c r="O62" s="10">
        <v>10</v>
      </c>
      <c r="P62" s="10">
        <v>1</v>
      </c>
      <c r="Q62" s="10">
        <v>0</v>
      </c>
      <c r="R62" s="10">
        <v>1</v>
      </c>
      <c r="S62" s="10">
        <v>0</v>
      </c>
      <c r="V62" s="12">
        <f t="shared" ref="V62:AK103" si="5">(D62/$C62)*100</f>
        <v>3.7267080745341614</v>
      </c>
      <c r="W62" s="12">
        <f t="shared" si="5"/>
        <v>2.329192546583851</v>
      </c>
      <c r="X62" s="12">
        <f t="shared" si="5"/>
        <v>3.8819875776397512</v>
      </c>
      <c r="Y62" s="12">
        <f t="shared" si="5"/>
        <v>1.5527950310559007</v>
      </c>
      <c r="Z62" s="12">
        <f t="shared" si="5"/>
        <v>0.15527950310559005</v>
      </c>
      <c r="AA62" s="12">
        <f t="shared" si="5"/>
        <v>0</v>
      </c>
      <c r="AB62" s="12">
        <f t="shared" si="5"/>
        <v>0.15527950310559005</v>
      </c>
      <c r="AC62" s="23">
        <f t="shared" si="5"/>
        <v>0</v>
      </c>
      <c r="AD62" s="12">
        <f t="shared" si="5"/>
        <v>3.7267080745341614</v>
      </c>
      <c r="AE62" s="12">
        <f t="shared" si="5"/>
        <v>2.329192546583851</v>
      </c>
      <c r="AF62" s="12">
        <f t="shared" si="5"/>
        <v>3.8819875776397512</v>
      </c>
      <c r="AG62" s="12">
        <f t="shared" si="5"/>
        <v>1.5527950310559007</v>
      </c>
      <c r="AH62" s="12">
        <f t="shared" si="5"/>
        <v>0.15527950310559005</v>
      </c>
      <c r="AI62" s="12">
        <f t="shared" si="5"/>
        <v>0</v>
      </c>
      <c r="AJ62" s="12">
        <f t="shared" si="5"/>
        <v>0.15527950310559005</v>
      </c>
      <c r="AK62" s="12">
        <f t="shared" si="5"/>
        <v>0</v>
      </c>
    </row>
    <row r="63" spans="1:37" s="13" customFormat="1" x14ac:dyDescent="0.25">
      <c r="A63" s="42" t="s">
        <v>61</v>
      </c>
      <c r="B63" s="13" t="s">
        <v>48</v>
      </c>
      <c r="C63" s="14">
        <v>583</v>
      </c>
      <c r="D63" s="14">
        <v>12</v>
      </c>
      <c r="E63" s="14">
        <v>5</v>
      </c>
      <c r="F63" s="14">
        <v>13</v>
      </c>
      <c r="G63" s="13">
        <v>2</v>
      </c>
      <c r="H63" s="13">
        <v>3</v>
      </c>
      <c r="I63" s="13">
        <v>2</v>
      </c>
      <c r="J63" s="13">
        <v>4</v>
      </c>
      <c r="K63" s="32">
        <v>1</v>
      </c>
      <c r="L63" s="13">
        <v>12</v>
      </c>
      <c r="M63" s="13">
        <v>5</v>
      </c>
      <c r="N63" s="13">
        <v>13</v>
      </c>
      <c r="O63" s="13">
        <v>2</v>
      </c>
      <c r="P63" s="13">
        <v>3</v>
      </c>
      <c r="Q63" s="13">
        <v>2</v>
      </c>
      <c r="R63" s="13">
        <v>5</v>
      </c>
      <c r="S63" s="13">
        <v>1</v>
      </c>
      <c r="V63" s="15">
        <f t="shared" si="5"/>
        <v>2.0583190394511153</v>
      </c>
      <c r="W63" s="15">
        <f t="shared" si="5"/>
        <v>0.85763293310463129</v>
      </c>
      <c r="X63" s="15">
        <f t="shared" si="5"/>
        <v>2.2298456260720414</v>
      </c>
      <c r="Y63" s="15">
        <f t="shared" si="5"/>
        <v>0.34305317324185247</v>
      </c>
      <c r="Z63" s="15">
        <f t="shared" si="5"/>
        <v>0.51457975986277882</v>
      </c>
      <c r="AA63" s="15">
        <f t="shared" si="5"/>
        <v>0.34305317324185247</v>
      </c>
      <c r="AB63" s="15">
        <f t="shared" si="5"/>
        <v>0.68610634648370494</v>
      </c>
      <c r="AC63" s="24">
        <f t="shared" si="5"/>
        <v>0.17152658662092624</v>
      </c>
      <c r="AD63" s="15">
        <f t="shared" si="5"/>
        <v>2.0583190394511153</v>
      </c>
      <c r="AE63" s="15">
        <f t="shared" si="5"/>
        <v>0.85763293310463129</v>
      </c>
      <c r="AF63" s="15">
        <f t="shared" si="5"/>
        <v>2.2298456260720414</v>
      </c>
      <c r="AG63" s="15">
        <f t="shared" si="5"/>
        <v>0.34305317324185247</v>
      </c>
      <c r="AH63" s="15">
        <f t="shared" si="5"/>
        <v>0.51457975986277882</v>
      </c>
      <c r="AI63" s="15">
        <f t="shared" si="5"/>
        <v>0.34305317324185247</v>
      </c>
      <c r="AJ63" s="15">
        <f t="shared" si="5"/>
        <v>0.85763293310463129</v>
      </c>
      <c r="AK63" s="15">
        <f t="shared" si="5"/>
        <v>0.17152658662092624</v>
      </c>
    </row>
    <row r="64" spans="1:37" s="13" customFormat="1" x14ac:dyDescent="0.25">
      <c r="A64" s="42"/>
      <c r="B64" s="13" t="s">
        <v>49</v>
      </c>
      <c r="C64" s="14">
        <v>583</v>
      </c>
      <c r="D64" s="14">
        <v>19</v>
      </c>
      <c r="E64" s="14">
        <v>3</v>
      </c>
      <c r="F64" s="14">
        <v>13</v>
      </c>
      <c r="G64" s="13">
        <v>1</v>
      </c>
      <c r="H64" s="13">
        <v>1</v>
      </c>
      <c r="I64" s="13">
        <v>1</v>
      </c>
      <c r="J64" s="13">
        <v>6</v>
      </c>
      <c r="K64" s="32">
        <v>0</v>
      </c>
      <c r="L64" s="13">
        <v>20</v>
      </c>
      <c r="M64" s="13">
        <v>3</v>
      </c>
      <c r="N64" s="13">
        <v>13</v>
      </c>
      <c r="O64" s="13">
        <v>1</v>
      </c>
      <c r="P64" s="13">
        <v>1</v>
      </c>
      <c r="Q64" s="13">
        <v>1</v>
      </c>
      <c r="R64" s="13">
        <v>7</v>
      </c>
      <c r="S64" s="13">
        <v>0</v>
      </c>
      <c r="V64" s="15">
        <f t="shared" si="5"/>
        <v>3.2590051457975986</v>
      </c>
      <c r="W64" s="15">
        <f t="shared" si="5"/>
        <v>0.51457975986277882</v>
      </c>
      <c r="X64" s="15">
        <f t="shared" si="5"/>
        <v>2.2298456260720414</v>
      </c>
      <c r="Y64" s="15">
        <f t="shared" si="5"/>
        <v>0.17152658662092624</v>
      </c>
      <c r="Z64" s="15">
        <f t="shared" si="5"/>
        <v>0.17152658662092624</v>
      </c>
      <c r="AA64" s="15">
        <f t="shared" si="5"/>
        <v>0.17152658662092624</v>
      </c>
      <c r="AB64" s="15">
        <f t="shared" si="5"/>
        <v>1.0291595197255576</v>
      </c>
      <c r="AC64" s="24">
        <f t="shared" si="5"/>
        <v>0</v>
      </c>
      <c r="AD64" s="15">
        <f t="shared" si="5"/>
        <v>3.4305317324185252</v>
      </c>
      <c r="AE64" s="15">
        <f t="shared" si="5"/>
        <v>0.51457975986277882</v>
      </c>
      <c r="AF64" s="15">
        <f t="shared" si="5"/>
        <v>2.2298456260720414</v>
      </c>
      <c r="AG64" s="15">
        <f t="shared" si="5"/>
        <v>0.17152658662092624</v>
      </c>
      <c r="AH64" s="15">
        <f t="shared" si="5"/>
        <v>0.17152658662092624</v>
      </c>
      <c r="AI64" s="15">
        <f t="shared" si="5"/>
        <v>0.17152658662092624</v>
      </c>
      <c r="AJ64" s="15">
        <f t="shared" si="5"/>
        <v>1.2006861063464835</v>
      </c>
      <c r="AK64" s="15">
        <f t="shared" si="5"/>
        <v>0</v>
      </c>
    </row>
    <row r="65" spans="1:37" s="13" customFormat="1" x14ac:dyDescent="0.25">
      <c r="A65" s="42"/>
      <c r="B65" s="13" t="s">
        <v>50</v>
      </c>
      <c r="C65" s="14">
        <v>583</v>
      </c>
      <c r="D65" s="14">
        <v>23</v>
      </c>
      <c r="E65" s="14">
        <v>17</v>
      </c>
      <c r="F65" s="14">
        <v>28</v>
      </c>
      <c r="G65" s="13">
        <v>7</v>
      </c>
      <c r="H65" s="13">
        <v>7</v>
      </c>
      <c r="I65" s="13">
        <v>6</v>
      </c>
      <c r="J65" s="13">
        <v>9</v>
      </c>
      <c r="K65" s="32">
        <v>4</v>
      </c>
      <c r="L65" s="13">
        <v>24</v>
      </c>
      <c r="M65" s="13">
        <v>18</v>
      </c>
      <c r="N65" s="13">
        <v>29</v>
      </c>
      <c r="O65" s="13">
        <v>8</v>
      </c>
      <c r="P65" s="13">
        <v>10</v>
      </c>
      <c r="Q65" s="13">
        <v>10</v>
      </c>
      <c r="R65" s="13">
        <v>11</v>
      </c>
      <c r="S65" s="13">
        <v>6</v>
      </c>
      <c r="V65" s="15">
        <f t="shared" si="5"/>
        <v>3.9451114922813035</v>
      </c>
      <c r="W65" s="15">
        <f t="shared" si="5"/>
        <v>2.9159519725557463</v>
      </c>
      <c r="X65" s="15">
        <f t="shared" si="5"/>
        <v>4.8027444253859342</v>
      </c>
      <c r="Y65" s="15">
        <f t="shared" si="5"/>
        <v>1.2006861063464835</v>
      </c>
      <c r="Z65" s="15">
        <f t="shared" si="5"/>
        <v>1.2006861063464835</v>
      </c>
      <c r="AA65" s="15">
        <f t="shared" si="5"/>
        <v>1.0291595197255576</v>
      </c>
      <c r="AB65" s="15">
        <f t="shared" si="5"/>
        <v>1.5437392795883362</v>
      </c>
      <c r="AC65" s="24">
        <f t="shared" si="5"/>
        <v>0.68610634648370494</v>
      </c>
      <c r="AD65" s="15">
        <f t="shared" si="5"/>
        <v>4.1166380789022305</v>
      </c>
      <c r="AE65" s="15">
        <f t="shared" si="5"/>
        <v>3.0874785591766725</v>
      </c>
      <c r="AF65" s="15">
        <f t="shared" si="5"/>
        <v>4.9742710120068612</v>
      </c>
      <c r="AG65" s="15">
        <f t="shared" si="5"/>
        <v>1.3722126929674099</v>
      </c>
      <c r="AH65" s="15">
        <f t="shared" si="5"/>
        <v>1.7152658662092626</v>
      </c>
      <c r="AI65" s="15">
        <f t="shared" si="5"/>
        <v>1.7152658662092626</v>
      </c>
      <c r="AJ65" s="15">
        <f t="shared" si="5"/>
        <v>1.8867924528301887</v>
      </c>
      <c r="AK65" s="15">
        <f t="shared" si="5"/>
        <v>1.0291595197255576</v>
      </c>
    </row>
    <row r="66" spans="1:37" s="13" customFormat="1" x14ac:dyDescent="0.25">
      <c r="A66" s="42"/>
      <c r="B66" s="13" t="s">
        <v>51</v>
      </c>
      <c r="C66" s="14">
        <v>583</v>
      </c>
      <c r="D66" s="14">
        <v>15</v>
      </c>
      <c r="E66" s="14">
        <v>14</v>
      </c>
      <c r="F66" s="14">
        <v>20</v>
      </c>
      <c r="G66" s="13">
        <v>3</v>
      </c>
      <c r="H66" s="13">
        <v>3</v>
      </c>
      <c r="I66" s="13">
        <v>0</v>
      </c>
      <c r="J66" s="13">
        <v>3</v>
      </c>
      <c r="K66" s="32">
        <v>0</v>
      </c>
      <c r="L66" s="13">
        <v>16</v>
      </c>
      <c r="M66" s="13">
        <v>15</v>
      </c>
      <c r="N66" s="13">
        <v>20</v>
      </c>
      <c r="O66" s="13">
        <v>3</v>
      </c>
      <c r="P66" s="13">
        <v>4</v>
      </c>
      <c r="Q66" s="13">
        <v>0</v>
      </c>
      <c r="R66" s="13">
        <v>3</v>
      </c>
      <c r="S66" s="13">
        <v>0</v>
      </c>
      <c r="V66" s="15">
        <f t="shared" si="5"/>
        <v>2.5728987993138936</v>
      </c>
      <c r="W66" s="15">
        <f t="shared" si="5"/>
        <v>2.4013722126929671</v>
      </c>
      <c r="X66" s="15">
        <f t="shared" si="5"/>
        <v>3.4305317324185252</v>
      </c>
      <c r="Y66" s="15">
        <f t="shared" si="5"/>
        <v>0.51457975986277882</v>
      </c>
      <c r="Z66" s="15">
        <f t="shared" si="5"/>
        <v>0.51457975986277882</v>
      </c>
      <c r="AA66" s="15">
        <f t="shared" si="5"/>
        <v>0</v>
      </c>
      <c r="AB66" s="15">
        <f t="shared" si="5"/>
        <v>0.51457975986277882</v>
      </c>
      <c r="AC66" s="24">
        <f t="shared" si="5"/>
        <v>0</v>
      </c>
      <c r="AD66" s="15">
        <f t="shared" si="5"/>
        <v>2.7444253859348198</v>
      </c>
      <c r="AE66" s="15">
        <f t="shared" si="5"/>
        <v>2.5728987993138936</v>
      </c>
      <c r="AF66" s="15">
        <f t="shared" si="5"/>
        <v>3.4305317324185252</v>
      </c>
      <c r="AG66" s="15">
        <f t="shared" si="5"/>
        <v>0.51457975986277882</v>
      </c>
      <c r="AH66" s="15">
        <f t="shared" si="5"/>
        <v>0.68610634648370494</v>
      </c>
      <c r="AI66" s="15">
        <f t="shared" si="5"/>
        <v>0</v>
      </c>
      <c r="AJ66" s="15">
        <f t="shared" si="5"/>
        <v>0.51457975986277882</v>
      </c>
      <c r="AK66" s="15">
        <f t="shared" si="5"/>
        <v>0</v>
      </c>
    </row>
    <row r="67" spans="1:37" s="13" customFormat="1" x14ac:dyDescent="0.25">
      <c r="A67" s="42"/>
      <c r="B67" s="13" t="s">
        <v>52</v>
      </c>
      <c r="C67" s="14">
        <v>583</v>
      </c>
      <c r="D67" s="14">
        <v>13</v>
      </c>
      <c r="E67" s="14">
        <v>13</v>
      </c>
      <c r="F67" s="14">
        <v>22</v>
      </c>
      <c r="G67" s="13">
        <v>4</v>
      </c>
      <c r="H67" s="13">
        <v>2</v>
      </c>
      <c r="I67" s="13">
        <v>1</v>
      </c>
      <c r="J67" s="13">
        <v>11</v>
      </c>
      <c r="K67" s="32">
        <v>1</v>
      </c>
      <c r="L67" s="13">
        <v>13</v>
      </c>
      <c r="M67" s="13">
        <v>13</v>
      </c>
      <c r="N67" s="13">
        <v>24</v>
      </c>
      <c r="O67" s="13">
        <v>4</v>
      </c>
      <c r="P67" s="13">
        <v>2</v>
      </c>
      <c r="Q67" s="13">
        <v>1</v>
      </c>
      <c r="R67" s="13">
        <v>12</v>
      </c>
      <c r="S67" s="13">
        <v>1</v>
      </c>
      <c r="V67" s="15">
        <f t="shared" si="5"/>
        <v>2.2298456260720414</v>
      </c>
      <c r="W67" s="15">
        <f t="shared" si="5"/>
        <v>2.2298456260720414</v>
      </c>
      <c r="X67" s="15">
        <f t="shared" si="5"/>
        <v>3.7735849056603774</v>
      </c>
      <c r="Y67" s="15">
        <f t="shared" si="5"/>
        <v>0.68610634648370494</v>
      </c>
      <c r="Z67" s="15">
        <f t="shared" si="5"/>
        <v>0.34305317324185247</v>
      </c>
      <c r="AA67" s="15">
        <f t="shared" si="5"/>
        <v>0.17152658662092624</v>
      </c>
      <c r="AB67" s="15">
        <f t="shared" si="5"/>
        <v>1.8867924528301887</v>
      </c>
      <c r="AC67" s="24">
        <f t="shared" si="5"/>
        <v>0.17152658662092624</v>
      </c>
      <c r="AD67" s="15">
        <f t="shared" si="5"/>
        <v>2.2298456260720414</v>
      </c>
      <c r="AE67" s="15">
        <f t="shared" si="5"/>
        <v>2.2298456260720414</v>
      </c>
      <c r="AF67" s="15">
        <f t="shared" si="5"/>
        <v>4.1166380789022305</v>
      </c>
      <c r="AG67" s="15">
        <f t="shared" si="5"/>
        <v>0.68610634648370494</v>
      </c>
      <c r="AH67" s="15">
        <f t="shared" si="5"/>
        <v>0.34305317324185247</v>
      </c>
      <c r="AI67" s="15">
        <f t="shared" si="5"/>
        <v>0.17152658662092624</v>
      </c>
      <c r="AJ67" s="15">
        <f t="shared" si="5"/>
        <v>2.0583190394511153</v>
      </c>
      <c r="AK67" s="15">
        <f t="shared" si="5"/>
        <v>0.17152658662092624</v>
      </c>
    </row>
    <row r="68" spans="1:37" s="13" customFormat="1" x14ac:dyDescent="0.25">
      <c r="A68" s="42"/>
      <c r="B68" s="13" t="s">
        <v>53</v>
      </c>
      <c r="C68" s="14">
        <v>583</v>
      </c>
      <c r="D68" s="14">
        <v>15</v>
      </c>
      <c r="E68" s="14">
        <v>21</v>
      </c>
      <c r="F68" s="14">
        <v>18</v>
      </c>
      <c r="G68" s="13">
        <v>4</v>
      </c>
      <c r="H68" s="13">
        <v>2</v>
      </c>
      <c r="I68" s="13">
        <v>1</v>
      </c>
      <c r="J68" s="13">
        <v>3</v>
      </c>
      <c r="K68" s="32">
        <v>0</v>
      </c>
      <c r="L68" s="13">
        <v>16</v>
      </c>
      <c r="M68" s="13">
        <v>22</v>
      </c>
      <c r="N68" s="13">
        <v>19</v>
      </c>
      <c r="O68" s="13">
        <v>4</v>
      </c>
      <c r="P68" s="13">
        <v>2</v>
      </c>
      <c r="Q68" s="13">
        <v>1</v>
      </c>
      <c r="R68" s="13">
        <v>3</v>
      </c>
      <c r="S68" s="13">
        <v>0</v>
      </c>
      <c r="V68" s="15">
        <f t="shared" si="5"/>
        <v>2.5728987993138936</v>
      </c>
      <c r="W68" s="15">
        <f t="shared" si="5"/>
        <v>3.6020583190394513</v>
      </c>
      <c r="X68" s="15">
        <f t="shared" si="5"/>
        <v>3.0874785591766725</v>
      </c>
      <c r="Y68" s="15">
        <f t="shared" si="5"/>
        <v>0.68610634648370494</v>
      </c>
      <c r="Z68" s="15">
        <f t="shared" si="5"/>
        <v>0.34305317324185247</v>
      </c>
      <c r="AA68" s="15">
        <f t="shared" si="5"/>
        <v>0.17152658662092624</v>
      </c>
      <c r="AB68" s="15">
        <f t="shared" si="5"/>
        <v>0.51457975986277882</v>
      </c>
      <c r="AC68" s="24">
        <f t="shared" si="5"/>
        <v>0</v>
      </c>
      <c r="AD68" s="15">
        <f t="shared" si="5"/>
        <v>2.7444253859348198</v>
      </c>
      <c r="AE68" s="15">
        <f t="shared" si="5"/>
        <v>3.7735849056603774</v>
      </c>
      <c r="AF68" s="15">
        <f t="shared" si="5"/>
        <v>3.2590051457975986</v>
      </c>
      <c r="AG68" s="15">
        <f t="shared" si="5"/>
        <v>0.68610634648370494</v>
      </c>
      <c r="AH68" s="15">
        <f t="shared" si="5"/>
        <v>0.34305317324185247</v>
      </c>
      <c r="AI68" s="15">
        <f t="shared" si="5"/>
        <v>0.17152658662092624</v>
      </c>
      <c r="AJ68" s="15">
        <f t="shared" si="5"/>
        <v>0.51457975986277882</v>
      </c>
      <c r="AK68" s="15">
        <f t="shared" si="5"/>
        <v>0</v>
      </c>
    </row>
    <row r="69" spans="1:37" s="13" customFormat="1" x14ac:dyDescent="0.25">
      <c r="A69" s="42"/>
      <c r="B69" s="13" t="s">
        <v>54</v>
      </c>
      <c r="C69" s="14">
        <v>583</v>
      </c>
      <c r="D69" s="14">
        <v>17</v>
      </c>
      <c r="E69" s="14">
        <v>15</v>
      </c>
      <c r="F69" s="14">
        <v>33</v>
      </c>
      <c r="G69" s="13">
        <v>10</v>
      </c>
      <c r="H69" s="13">
        <v>0</v>
      </c>
      <c r="I69" s="13">
        <v>0</v>
      </c>
      <c r="J69" s="13">
        <v>7</v>
      </c>
      <c r="K69" s="32">
        <v>0</v>
      </c>
      <c r="L69" s="13">
        <v>18</v>
      </c>
      <c r="M69" s="13">
        <v>16</v>
      </c>
      <c r="N69" s="13">
        <v>33</v>
      </c>
      <c r="O69" s="13">
        <v>11</v>
      </c>
      <c r="P69" s="13">
        <v>0</v>
      </c>
      <c r="Q69" s="13">
        <v>0</v>
      </c>
      <c r="R69" s="13">
        <v>9</v>
      </c>
      <c r="S69" s="13">
        <v>0</v>
      </c>
      <c r="V69" s="15">
        <f t="shared" si="5"/>
        <v>2.9159519725557463</v>
      </c>
      <c r="W69" s="15">
        <f t="shared" si="5"/>
        <v>2.5728987993138936</v>
      </c>
      <c r="X69" s="15">
        <f t="shared" si="5"/>
        <v>5.6603773584905666</v>
      </c>
      <c r="Y69" s="15">
        <f t="shared" si="5"/>
        <v>1.7152658662092626</v>
      </c>
      <c r="Z69" s="15">
        <f t="shared" si="5"/>
        <v>0</v>
      </c>
      <c r="AA69" s="15">
        <f t="shared" si="5"/>
        <v>0</v>
      </c>
      <c r="AB69" s="15">
        <f t="shared" si="5"/>
        <v>1.2006861063464835</v>
      </c>
      <c r="AC69" s="24">
        <f t="shared" si="5"/>
        <v>0</v>
      </c>
      <c r="AD69" s="15">
        <f t="shared" si="5"/>
        <v>3.0874785591766725</v>
      </c>
      <c r="AE69" s="15">
        <f t="shared" si="5"/>
        <v>2.7444253859348198</v>
      </c>
      <c r="AF69" s="15">
        <f t="shared" si="5"/>
        <v>5.6603773584905666</v>
      </c>
      <c r="AG69" s="15">
        <f t="shared" si="5"/>
        <v>1.8867924528301887</v>
      </c>
      <c r="AH69" s="15">
        <f t="shared" si="5"/>
        <v>0</v>
      </c>
      <c r="AI69" s="15">
        <f t="shared" si="5"/>
        <v>0</v>
      </c>
      <c r="AJ69" s="15">
        <f t="shared" si="5"/>
        <v>1.5437392795883362</v>
      </c>
      <c r="AK69" s="15">
        <f t="shared" si="5"/>
        <v>0</v>
      </c>
    </row>
    <row r="70" spans="1:37" s="16" customFormat="1" x14ac:dyDescent="0.25">
      <c r="A70" s="43" t="s">
        <v>62</v>
      </c>
      <c r="B70" s="16" t="s">
        <v>48</v>
      </c>
      <c r="C70" s="17">
        <v>583</v>
      </c>
      <c r="D70" s="17">
        <v>11</v>
      </c>
      <c r="E70" s="17">
        <v>7</v>
      </c>
      <c r="F70" s="17">
        <v>14</v>
      </c>
      <c r="G70" s="16">
        <v>2</v>
      </c>
      <c r="H70" s="16">
        <v>0</v>
      </c>
      <c r="I70" s="16">
        <v>1</v>
      </c>
      <c r="J70" s="16">
        <v>2</v>
      </c>
      <c r="K70" s="33">
        <v>0</v>
      </c>
      <c r="L70" s="16">
        <v>12</v>
      </c>
      <c r="M70" s="16">
        <v>7</v>
      </c>
      <c r="N70" s="16">
        <v>15</v>
      </c>
      <c r="O70" s="16">
        <v>2</v>
      </c>
      <c r="P70" s="16">
        <v>0</v>
      </c>
      <c r="Q70" s="16">
        <v>1</v>
      </c>
      <c r="R70" s="16">
        <v>2</v>
      </c>
      <c r="S70" s="16">
        <v>0</v>
      </c>
      <c r="V70" s="18">
        <f t="shared" si="5"/>
        <v>1.8867924528301887</v>
      </c>
      <c r="W70" s="18">
        <f t="shared" si="5"/>
        <v>1.2006861063464835</v>
      </c>
      <c r="X70" s="18">
        <f t="shared" si="5"/>
        <v>2.4013722126929671</v>
      </c>
      <c r="Y70" s="18">
        <f t="shared" si="5"/>
        <v>0.34305317324185247</v>
      </c>
      <c r="Z70" s="18">
        <f t="shared" si="5"/>
        <v>0</v>
      </c>
      <c r="AA70" s="18">
        <f t="shared" si="5"/>
        <v>0.17152658662092624</v>
      </c>
      <c r="AB70" s="18">
        <f t="shared" si="5"/>
        <v>0.34305317324185247</v>
      </c>
      <c r="AC70" s="25">
        <f t="shared" si="5"/>
        <v>0</v>
      </c>
      <c r="AD70" s="18">
        <f t="shared" si="5"/>
        <v>2.0583190394511153</v>
      </c>
      <c r="AE70" s="18">
        <f t="shared" si="5"/>
        <v>1.2006861063464835</v>
      </c>
      <c r="AF70" s="18">
        <f t="shared" si="5"/>
        <v>2.5728987993138936</v>
      </c>
      <c r="AG70" s="18">
        <f t="shared" si="5"/>
        <v>0.34305317324185247</v>
      </c>
      <c r="AH70" s="18">
        <f t="shared" si="5"/>
        <v>0</v>
      </c>
      <c r="AI70" s="18">
        <f t="shared" si="5"/>
        <v>0.17152658662092624</v>
      </c>
      <c r="AJ70" s="18">
        <f t="shared" si="5"/>
        <v>0.34305317324185247</v>
      </c>
      <c r="AK70" s="18">
        <f t="shared" si="5"/>
        <v>0</v>
      </c>
    </row>
    <row r="71" spans="1:37" s="16" customFormat="1" x14ac:dyDescent="0.25">
      <c r="A71" s="43"/>
      <c r="B71" s="16" t="s">
        <v>49</v>
      </c>
      <c r="C71" s="17">
        <v>583</v>
      </c>
      <c r="D71" s="17">
        <v>13</v>
      </c>
      <c r="E71" s="17">
        <v>6</v>
      </c>
      <c r="F71" s="17">
        <v>15</v>
      </c>
      <c r="G71" s="16">
        <v>3</v>
      </c>
      <c r="H71" s="16">
        <v>2</v>
      </c>
      <c r="I71" s="16">
        <v>1</v>
      </c>
      <c r="J71" s="16">
        <v>8</v>
      </c>
      <c r="K71" s="33">
        <v>1</v>
      </c>
      <c r="L71" s="16">
        <v>13</v>
      </c>
      <c r="M71" s="16">
        <v>6</v>
      </c>
      <c r="N71" s="16">
        <v>15</v>
      </c>
      <c r="O71" s="16">
        <v>3</v>
      </c>
      <c r="P71" s="16">
        <v>2</v>
      </c>
      <c r="Q71" s="16">
        <v>1</v>
      </c>
      <c r="R71" s="16">
        <v>9</v>
      </c>
      <c r="S71" s="16">
        <v>1</v>
      </c>
      <c r="V71" s="18">
        <f t="shared" si="5"/>
        <v>2.2298456260720414</v>
      </c>
      <c r="W71" s="18">
        <f t="shared" si="5"/>
        <v>1.0291595197255576</v>
      </c>
      <c r="X71" s="18">
        <f t="shared" si="5"/>
        <v>2.5728987993138936</v>
      </c>
      <c r="Y71" s="18">
        <f t="shared" si="5"/>
        <v>0.51457975986277882</v>
      </c>
      <c r="Z71" s="18">
        <f t="shared" si="5"/>
        <v>0.34305317324185247</v>
      </c>
      <c r="AA71" s="18">
        <f t="shared" si="5"/>
        <v>0.17152658662092624</v>
      </c>
      <c r="AB71" s="18">
        <f t="shared" si="5"/>
        <v>1.3722126929674099</v>
      </c>
      <c r="AC71" s="25">
        <f t="shared" si="5"/>
        <v>0.17152658662092624</v>
      </c>
      <c r="AD71" s="18">
        <f t="shared" si="5"/>
        <v>2.2298456260720414</v>
      </c>
      <c r="AE71" s="18">
        <f t="shared" si="5"/>
        <v>1.0291595197255576</v>
      </c>
      <c r="AF71" s="18">
        <f t="shared" si="5"/>
        <v>2.5728987993138936</v>
      </c>
      <c r="AG71" s="18">
        <f t="shared" si="5"/>
        <v>0.51457975986277882</v>
      </c>
      <c r="AH71" s="18">
        <f t="shared" si="5"/>
        <v>0.34305317324185247</v>
      </c>
      <c r="AI71" s="18">
        <f t="shared" si="5"/>
        <v>0.17152658662092624</v>
      </c>
      <c r="AJ71" s="18">
        <f t="shared" si="5"/>
        <v>1.5437392795883362</v>
      </c>
      <c r="AK71" s="18">
        <f t="shared" si="5"/>
        <v>0.17152658662092624</v>
      </c>
    </row>
    <row r="72" spans="1:37" s="16" customFormat="1" x14ac:dyDescent="0.25">
      <c r="A72" s="43"/>
      <c r="B72" s="16" t="s">
        <v>50</v>
      </c>
      <c r="C72" s="17">
        <v>583</v>
      </c>
      <c r="D72" s="17">
        <v>8</v>
      </c>
      <c r="E72" s="17">
        <v>13</v>
      </c>
      <c r="F72" s="17">
        <v>21</v>
      </c>
      <c r="G72" s="16">
        <v>4</v>
      </c>
      <c r="H72" s="16">
        <v>2</v>
      </c>
      <c r="I72" s="16">
        <v>2</v>
      </c>
      <c r="J72" s="16">
        <v>6</v>
      </c>
      <c r="K72" s="33">
        <v>1</v>
      </c>
      <c r="L72" s="16">
        <v>9</v>
      </c>
      <c r="M72" s="16">
        <v>15</v>
      </c>
      <c r="N72" s="16">
        <v>22</v>
      </c>
      <c r="O72" s="16">
        <v>5</v>
      </c>
      <c r="P72" s="16">
        <v>2</v>
      </c>
      <c r="Q72" s="16">
        <v>2</v>
      </c>
      <c r="R72" s="16">
        <v>6</v>
      </c>
      <c r="S72" s="16">
        <v>1</v>
      </c>
      <c r="V72" s="18">
        <f t="shared" si="5"/>
        <v>1.3722126929674099</v>
      </c>
      <c r="W72" s="18">
        <f t="shared" si="5"/>
        <v>2.2298456260720414</v>
      </c>
      <c r="X72" s="18">
        <f t="shared" si="5"/>
        <v>3.6020583190394513</v>
      </c>
      <c r="Y72" s="18">
        <f t="shared" si="5"/>
        <v>0.68610634648370494</v>
      </c>
      <c r="Z72" s="18">
        <f t="shared" si="5"/>
        <v>0.34305317324185247</v>
      </c>
      <c r="AA72" s="18">
        <f t="shared" si="5"/>
        <v>0.34305317324185247</v>
      </c>
      <c r="AB72" s="18">
        <f t="shared" si="5"/>
        <v>1.0291595197255576</v>
      </c>
      <c r="AC72" s="25">
        <f t="shared" si="5"/>
        <v>0.17152658662092624</v>
      </c>
      <c r="AD72" s="18">
        <f t="shared" si="5"/>
        <v>1.5437392795883362</v>
      </c>
      <c r="AE72" s="18">
        <f t="shared" si="5"/>
        <v>2.5728987993138936</v>
      </c>
      <c r="AF72" s="18">
        <f t="shared" si="5"/>
        <v>3.7735849056603774</v>
      </c>
      <c r="AG72" s="18">
        <f t="shared" si="5"/>
        <v>0.85763293310463129</v>
      </c>
      <c r="AH72" s="18">
        <f t="shared" si="5"/>
        <v>0.34305317324185247</v>
      </c>
      <c r="AI72" s="18">
        <f t="shared" si="5"/>
        <v>0.34305317324185247</v>
      </c>
      <c r="AJ72" s="18">
        <f t="shared" si="5"/>
        <v>1.0291595197255576</v>
      </c>
      <c r="AK72" s="18">
        <f t="shared" si="5"/>
        <v>0.17152658662092624</v>
      </c>
    </row>
    <row r="73" spans="1:37" s="16" customFormat="1" x14ac:dyDescent="0.25">
      <c r="A73" s="43"/>
      <c r="B73" s="16" t="s">
        <v>51</v>
      </c>
      <c r="C73" s="17">
        <v>583</v>
      </c>
      <c r="D73" s="17">
        <v>12</v>
      </c>
      <c r="E73" s="17">
        <v>12</v>
      </c>
      <c r="F73" s="17">
        <v>18</v>
      </c>
      <c r="G73" s="16">
        <v>2</v>
      </c>
      <c r="H73" s="16">
        <v>1</v>
      </c>
      <c r="I73" s="16">
        <v>0</v>
      </c>
      <c r="J73" s="16">
        <v>4</v>
      </c>
      <c r="K73" s="33">
        <v>0</v>
      </c>
      <c r="L73" s="16">
        <v>12</v>
      </c>
      <c r="M73" s="16">
        <v>12</v>
      </c>
      <c r="N73" s="16">
        <v>18</v>
      </c>
      <c r="O73" s="16">
        <v>2</v>
      </c>
      <c r="P73" s="16">
        <v>1</v>
      </c>
      <c r="Q73" s="16">
        <v>0</v>
      </c>
      <c r="R73" s="16">
        <v>5</v>
      </c>
      <c r="S73" s="16">
        <v>0</v>
      </c>
      <c r="V73" s="18">
        <f t="shared" si="5"/>
        <v>2.0583190394511153</v>
      </c>
      <c r="W73" s="18">
        <f t="shared" si="5"/>
        <v>2.0583190394511153</v>
      </c>
      <c r="X73" s="18">
        <f t="shared" si="5"/>
        <v>3.0874785591766725</v>
      </c>
      <c r="Y73" s="18">
        <f t="shared" si="5"/>
        <v>0.34305317324185247</v>
      </c>
      <c r="Z73" s="18">
        <f t="shared" si="5"/>
        <v>0.17152658662092624</v>
      </c>
      <c r="AA73" s="18">
        <f t="shared" si="5"/>
        <v>0</v>
      </c>
      <c r="AB73" s="18">
        <f t="shared" si="5"/>
        <v>0.68610634648370494</v>
      </c>
      <c r="AC73" s="25">
        <f t="shared" si="5"/>
        <v>0</v>
      </c>
      <c r="AD73" s="18">
        <f t="shared" si="5"/>
        <v>2.0583190394511153</v>
      </c>
      <c r="AE73" s="18">
        <f t="shared" si="5"/>
        <v>2.0583190394511153</v>
      </c>
      <c r="AF73" s="18">
        <f t="shared" si="5"/>
        <v>3.0874785591766725</v>
      </c>
      <c r="AG73" s="18">
        <f t="shared" si="5"/>
        <v>0.34305317324185247</v>
      </c>
      <c r="AH73" s="18">
        <f t="shared" si="5"/>
        <v>0.17152658662092624</v>
      </c>
      <c r="AI73" s="18">
        <f t="shared" si="5"/>
        <v>0</v>
      </c>
      <c r="AJ73" s="18">
        <f t="shared" si="5"/>
        <v>0.85763293310463129</v>
      </c>
      <c r="AK73" s="18">
        <f t="shared" si="5"/>
        <v>0</v>
      </c>
    </row>
    <row r="74" spans="1:37" s="16" customFormat="1" x14ac:dyDescent="0.25">
      <c r="A74" s="43"/>
      <c r="B74" s="16" t="s">
        <v>52</v>
      </c>
      <c r="C74" s="17">
        <v>583</v>
      </c>
      <c r="D74" s="17">
        <v>12</v>
      </c>
      <c r="E74" s="17">
        <v>15</v>
      </c>
      <c r="F74" s="17">
        <v>20</v>
      </c>
      <c r="G74" s="16">
        <v>4</v>
      </c>
      <c r="H74" s="16">
        <v>3</v>
      </c>
      <c r="I74" s="16">
        <v>2</v>
      </c>
      <c r="J74" s="16">
        <v>3</v>
      </c>
      <c r="K74" s="33">
        <v>0</v>
      </c>
      <c r="L74" s="16">
        <v>12</v>
      </c>
      <c r="M74" s="16">
        <v>16</v>
      </c>
      <c r="N74" s="16">
        <v>21</v>
      </c>
      <c r="O74" s="16">
        <v>4</v>
      </c>
      <c r="P74" s="16">
        <v>3</v>
      </c>
      <c r="Q74" s="16">
        <v>2</v>
      </c>
      <c r="R74" s="16">
        <v>4</v>
      </c>
      <c r="S74" s="16">
        <v>0</v>
      </c>
      <c r="V74" s="18">
        <f t="shared" si="5"/>
        <v>2.0583190394511153</v>
      </c>
      <c r="W74" s="18">
        <f t="shared" si="5"/>
        <v>2.5728987993138936</v>
      </c>
      <c r="X74" s="18">
        <f t="shared" si="5"/>
        <v>3.4305317324185252</v>
      </c>
      <c r="Y74" s="18">
        <f t="shared" si="5"/>
        <v>0.68610634648370494</v>
      </c>
      <c r="Z74" s="18">
        <f t="shared" si="5"/>
        <v>0.51457975986277882</v>
      </c>
      <c r="AA74" s="18">
        <f t="shared" si="5"/>
        <v>0.34305317324185247</v>
      </c>
      <c r="AB74" s="18">
        <f t="shared" si="5"/>
        <v>0.51457975986277882</v>
      </c>
      <c r="AC74" s="25">
        <f t="shared" si="5"/>
        <v>0</v>
      </c>
      <c r="AD74" s="18">
        <f t="shared" si="5"/>
        <v>2.0583190394511153</v>
      </c>
      <c r="AE74" s="18">
        <f t="shared" si="5"/>
        <v>2.7444253859348198</v>
      </c>
      <c r="AF74" s="18">
        <f t="shared" si="5"/>
        <v>3.6020583190394513</v>
      </c>
      <c r="AG74" s="18">
        <f t="shared" si="5"/>
        <v>0.68610634648370494</v>
      </c>
      <c r="AH74" s="18">
        <f t="shared" si="5"/>
        <v>0.51457975986277882</v>
      </c>
      <c r="AI74" s="18">
        <f t="shared" si="5"/>
        <v>0.34305317324185247</v>
      </c>
      <c r="AJ74" s="18">
        <f t="shared" si="5"/>
        <v>0.68610634648370494</v>
      </c>
      <c r="AK74" s="18">
        <f t="shared" si="5"/>
        <v>0</v>
      </c>
    </row>
    <row r="75" spans="1:37" s="16" customFormat="1" x14ac:dyDescent="0.25">
      <c r="A75" s="43"/>
      <c r="B75" s="16" t="s">
        <v>53</v>
      </c>
      <c r="C75" s="17">
        <v>583</v>
      </c>
      <c r="D75" s="17">
        <v>7</v>
      </c>
      <c r="E75" s="17">
        <v>9</v>
      </c>
      <c r="F75" s="17">
        <v>23</v>
      </c>
      <c r="G75" s="16">
        <v>3</v>
      </c>
      <c r="H75" s="16">
        <v>0</v>
      </c>
      <c r="I75" s="16">
        <v>0</v>
      </c>
      <c r="J75" s="16">
        <v>3</v>
      </c>
      <c r="K75" s="33">
        <v>0</v>
      </c>
      <c r="L75" s="16">
        <v>7</v>
      </c>
      <c r="M75" s="16">
        <v>9</v>
      </c>
      <c r="N75" s="16">
        <v>23</v>
      </c>
      <c r="O75" s="16">
        <v>3</v>
      </c>
      <c r="P75" s="16">
        <v>0</v>
      </c>
      <c r="Q75" s="16">
        <v>0</v>
      </c>
      <c r="R75" s="16">
        <v>3</v>
      </c>
      <c r="S75" s="16">
        <v>0</v>
      </c>
      <c r="V75" s="18">
        <f t="shared" si="5"/>
        <v>1.2006861063464835</v>
      </c>
      <c r="W75" s="18">
        <f t="shared" si="5"/>
        <v>1.5437392795883362</v>
      </c>
      <c r="X75" s="18">
        <f t="shared" si="5"/>
        <v>3.9451114922813035</v>
      </c>
      <c r="Y75" s="18">
        <f t="shared" si="5"/>
        <v>0.51457975986277882</v>
      </c>
      <c r="Z75" s="18">
        <f t="shared" si="5"/>
        <v>0</v>
      </c>
      <c r="AA75" s="18">
        <f t="shared" si="5"/>
        <v>0</v>
      </c>
      <c r="AB75" s="18">
        <f t="shared" si="5"/>
        <v>0.51457975986277882</v>
      </c>
      <c r="AC75" s="25">
        <f t="shared" si="5"/>
        <v>0</v>
      </c>
      <c r="AD75" s="18">
        <f t="shared" si="5"/>
        <v>1.2006861063464835</v>
      </c>
      <c r="AE75" s="18">
        <f t="shared" si="5"/>
        <v>1.5437392795883362</v>
      </c>
      <c r="AF75" s="18">
        <f t="shared" si="5"/>
        <v>3.9451114922813035</v>
      </c>
      <c r="AG75" s="18">
        <f t="shared" si="5"/>
        <v>0.51457975986277882</v>
      </c>
      <c r="AH75" s="18">
        <f t="shared" si="5"/>
        <v>0</v>
      </c>
      <c r="AI75" s="18">
        <f t="shared" si="5"/>
        <v>0</v>
      </c>
      <c r="AJ75" s="18">
        <f t="shared" si="5"/>
        <v>0.51457975986277882</v>
      </c>
      <c r="AK75" s="18">
        <f t="shared" si="5"/>
        <v>0</v>
      </c>
    </row>
    <row r="76" spans="1:37" s="16" customFormat="1" x14ac:dyDescent="0.25">
      <c r="A76" s="43"/>
      <c r="B76" s="16" t="s">
        <v>54</v>
      </c>
      <c r="C76" s="17">
        <v>583</v>
      </c>
      <c r="D76" s="17">
        <v>11</v>
      </c>
      <c r="E76" s="17">
        <v>7</v>
      </c>
      <c r="F76" s="17">
        <v>28</v>
      </c>
      <c r="G76" s="16">
        <v>4</v>
      </c>
      <c r="H76" s="16">
        <v>1</v>
      </c>
      <c r="I76" s="16">
        <v>1</v>
      </c>
      <c r="J76" s="16">
        <v>7</v>
      </c>
      <c r="K76" s="33">
        <v>1</v>
      </c>
      <c r="L76" s="16">
        <v>11</v>
      </c>
      <c r="M76" s="16">
        <v>7</v>
      </c>
      <c r="N76" s="16">
        <v>28</v>
      </c>
      <c r="O76" s="16">
        <v>4</v>
      </c>
      <c r="P76" s="16">
        <v>2</v>
      </c>
      <c r="Q76" s="16">
        <v>2</v>
      </c>
      <c r="R76" s="16">
        <v>8</v>
      </c>
      <c r="S76" s="16">
        <v>2</v>
      </c>
      <c r="V76" s="18">
        <f t="shared" si="5"/>
        <v>1.8867924528301887</v>
      </c>
      <c r="W76" s="18">
        <f t="shared" si="5"/>
        <v>1.2006861063464835</v>
      </c>
      <c r="X76" s="18">
        <f t="shared" si="5"/>
        <v>4.8027444253859342</v>
      </c>
      <c r="Y76" s="18">
        <f t="shared" si="5"/>
        <v>0.68610634648370494</v>
      </c>
      <c r="Z76" s="18">
        <f t="shared" si="5"/>
        <v>0.17152658662092624</v>
      </c>
      <c r="AA76" s="18">
        <f t="shared" si="5"/>
        <v>0.17152658662092624</v>
      </c>
      <c r="AB76" s="18">
        <f t="shared" si="5"/>
        <v>1.2006861063464835</v>
      </c>
      <c r="AC76" s="25">
        <f t="shared" si="5"/>
        <v>0.17152658662092624</v>
      </c>
      <c r="AD76" s="18">
        <f t="shared" si="5"/>
        <v>1.8867924528301887</v>
      </c>
      <c r="AE76" s="18">
        <f t="shared" si="5"/>
        <v>1.2006861063464835</v>
      </c>
      <c r="AF76" s="18">
        <f t="shared" si="5"/>
        <v>4.8027444253859342</v>
      </c>
      <c r="AG76" s="18">
        <f t="shared" si="5"/>
        <v>0.68610634648370494</v>
      </c>
      <c r="AH76" s="18">
        <f t="shared" si="5"/>
        <v>0.34305317324185247</v>
      </c>
      <c r="AI76" s="18">
        <f t="shared" si="5"/>
        <v>0.34305317324185247</v>
      </c>
      <c r="AJ76" s="18">
        <f t="shared" si="5"/>
        <v>1.3722126929674099</v>
      </c>
      <c r="AK76" s="18">
        <f t="shared" si="5"/>
        <v>0.34305317324185247</v>
      </c>
    </row>
    <row r="77" spans="1:37" s="35" customFormat="1" x14ac:dyDescent="0.25">
      <c r="A77" s="34"/>
      <c r="C77" s="36"/>
      <c r="D77" s="36"/>
      <c r="E77" s="36"/>
      <c r="F77" s="36"/>
      <c r="K77" s="37"/>
      <c r="V77" s="38"/>
      <c r="W77" s="38"/>
      <c r="X77" s="38"/>
      <c r="Y77" s="38"/>
      <c r="Z77" s="38"/>
      <c r="AA77" s="38"/>
      <c r="AB77" s="38"/>
      <c r="AC77" s="39"/>
      <c r="AD77" s="38"/>
      <c r="AE77" s="38"/>
      <c r="AF77" s="38"/>
      <c r="AG77" s="38"/>
      <c r="AH77" s="38"/>
      <c r="AI77" s="38"/>
      <c r="AJ77" s="38"/>
      <c r="AK77" s="38"/>
    </row>
    <row r="78" spans="1:37" ht="32.25" customHeight="1" thickBot="1" x14ac:dyDescent="0.3">
      <c r="V78" s="19" t="s">
        <v>64</v>
      </c>
      <c r="W78" s="19" t="s">
        <v>65</v>
      </c>
      <c r="X78" s="19" t="s">
        <v>66</v>
      </c>
      <c r="Y78" s="19" t="s">
        <v>67</v>
      </c>
      <c r="Z78" s="19" t="s">
        <v>68</v>
      </c>
      <c r="AA78" s="19" t="s">
        <v>69</v>
      </c>
      <c r="AB78" s="19" t="s">
        <v>70</v>
      </c>
      <c r="AC78" s="20" t="s">
        <v>71</v>
      </c>
      <c r="AD78" s="19" t="s">
        <v>64</v>
      </c>
      <c r="AE78" s="19" t="s">
        <v>65</v>
      </c>
      <c r="AF78" s="19" t="s">
        <v>66</v>
      </c>
      <c r="AG78" s="19" t="s">
        <v>67</v>
      </c>
      <c r="AH78" s="19" t="s">
        <v>68</v>
      </c>
      <c r="AI78" s="19" t="s">
        <v>69</v>
      </c>
      <c r="AJ78" s="19" t="s">
        <v>70</v>
      </c>
      <c r="AK78" s="19" t="s">
        <v>71</v>
      </c>
    </row>
    <row r="79" spans="1:37" x14ac:dyDescent="0.25">
      <c r="B79" s="1" t="s">
        <v>2</v>
      </c>
      <c r="C79" s="2">
        <f>AVERAGE(C3:C10)</f>
        <v>604.125</v>
      </c>
      <c r="D79" s="2">
        <f t="shared" ref="D79:S79" si="6">AVERAGE(D3:D10)</f>
        <v>36.75</v>
      </c>
      <c r="E79" s="2">
        <f t="shared" si="6"/>
        <v>24.25</v>
      </c>
      <c r="F79" s="2">
        <f t="shared" si="6"/>
        <v>26.25</v>
      </c>
      <c r="G79" s="2">
        <f t="shared" si="6"/>
        <v>11.875</v>
      </c>
      <c r="H79" s="2">
        <f t="shared" si="6"/>
        <v>5.125</v>
      </c>
      <c r="I79" s="2">
        <f t="shared" si="6"/>
        <v>4.5</v>
      </c>
      <c r="J79" s="2">
        <f t="shared" si="6"/>
        <v>4.5</v>
      </c>
      <c r="K79" s="26">
        <f t="shared" si="6"/>
        <v>1.375</v>
      </c>
      <c r="L79" s="2">
        <f t="shared" si="6"/>
        <v>38.5</v>
      </c>
      <c r="M79" s="2">
        <f t="shared" si="6"/>
        <v>25</v>
      </c>
      <c r="N79" s="2">
        <f t="shared" si="6"/>
        <v>27</v>
      </c>
      <c r="O79" s="2">
        <f t="shared" si="6"/>
        <v>12.375</v>
      </c>
      <c r="P79" s="2">
        <f t="shared" si="6"/>
        <v>5.75</v>
      </c>
      <c r="Q79" s="2">
        <f t="shared" si="6"/>
        <v>5.375</v>
      </c>
      <c r="R79" s="2">
        <f t="shared" si="6"/>
        <v>5</v>
      </c>
      <c r="S79" s="2">
        <f t="shared" si="6"/>
        <v>1.625</v>
      </c>
      <c r="U79" s="1" t="s">
        <v>2</v>
      </c>
      <c r="V79" s="2">
        <f>AVERAGE(V3:V10)</f>
        <v>6.2048245270729723</v>
      </c>
      <c r="W79" s="2">
        <f t="shared" ref="W79:AK79" si="7">AVERAGE(W3:W10)</f>
        <v>3.9947939436456013</v>
      </c>
      <c r="X79" s="2">
        <f t="shared" si="7"/>
        <v>4.4528254811921464</v>
      </c>
      <c r="Y79" s="2">
        <f t="shared" si="7"/>
        <v>1.9757480442127409</v>
      </c>
      <c r="Z79" s="2">
        <f t="shared" si="7"/>
        <v>0.75912321417242734</v>
      </c>
      <c r="AA79" s="2">
        <f t="shared" si="7"/>
        <v>0.79171899050919337</v>
      </c>
      <c r="AB79" s="2">
        <f t="shared" si="7"/>
        <v>0.75955765585728729</v>
      </c>
      <c r="AC79" s="61">
        <f t="shared" si="7"/>
        <v>0.20177240510928085</v>
      </c>
      <c r="AD79" s="62">
        <f t="shared" si="7"/>
        <v>6.5500938969053939</v>
      </c>
      <c r="AE79" s="63">
        <f t="shared" si="7"/>
        <v>4.0914440755109505</v>
      </c>
      <c r="AF79" s="63">
        <f t="shared" si="7"/>
        <v>4.665258487399937</v>
      </c>
      <c r="AG79" s="64">
        <f t="shared" si="7"/>
        <v>2.0961529695640824</v>
      </c>
      <c r="AH79" s="2">
        <f t="shared" si="7"/>
        <v>0.84084914720484394</v>
      </c>
      <c r="AI79" s="70">
        <f t="shared" si="7"/>
        <v>0.90694559793842566</v>
      </c>
      <c r="AJ79" s="2">
        <f t="shared" si="7"/>
        <v>0.81891343467683875</v>
      </c>
      <c r="AK79" s="2">
        <f t="shared" si="7"/>
        <v>0.23275133943394011</v>
      </c>
    </row>
    <row r="80" spans="1:37" x14ac:dyDescent="0.25">
      <c r="B80" s="1" t="s">
        <v>3</v>
      </c>
      <c r="C80" s="2">
        <f>AVERAGE(C11:C18)</f>
        <v>667</v>
      </c>
      <c r="D80" s="2">
        <f t="shared" ref="D80:S80" si="8">AVERAGE(D11:D18)</f>
        <v>27.625</v>
      </c>
      <c r="E80" s="2">
        <f t="shared" si="8"/>
        <v>16.75</v>
      </c>
      <c r="F80" s="2">
        <f t="shared" si="8"/>
        <v>24.375</v>
      </c>
      <c r="G80" s="2">
        <f t="shared" si="8"/>
        <v>6.25</v>
      </c>
      <c r="H80" s="2">
        <f t="shared" si="8"/>
        <v>2.875</v>
      </c>
      <c r="I80" s="2">
        <f t="shared" si="8"/>
        <v>2</v>
      </c>
      <c r="J80" s="2">
        <f t="shared" si="8"/>
        <v>4.75</v>
      </c>
      <c r="K80" s="26">
        <f t="shared" si="8"/>
        <v>0.875</v>
      </c>
      <c r="L80" s="2">
        <f t="shared" si="8"/>
        <v>29.25</v>
      </c>
      <c r="M80" s="2">
        <f t="shared" si="8"/>
        <v>17.625</v>
      </c>
      <c r="N80" s="2">
        <f t="shared" si="8"/>
        <v>24.75</v>
      </c>
      <c r="O80" s="2">
        <f t="shared" si="8"/>
        <v>6.375</v>
      </c>
      <c r="P80" s="2">
        <f t="shared" si="8"/>
        <v>3.125</v>
      </c>
      <c r="Q80" s="2">
        <f t="shared" si="8"/>
        <v>2.25</v>
      </c>
      <c r="R80" s="2">
        <f t="shared" si="8"/>
        <v>5.75</v>
      </c>
      <c r="S80" s="2">
        <f t="shared" si="8"/>
        <v>1</v>
      </c>
      <c r="U80" s="1" t="s">
        <v>3</v>
      </c>
      <c r="V80" s="2">
        <f>AVERAGE(V11:V18)</f>
        <v>4.233755701968084</v>
      </c>
      <c r="W80" s="2">
        <f t="shared" ref="W80:AK80" si="9">AVERAGE(W11:W18)</f>
        <v>2.5009286290338788</v>
      </c>
      <c r="X80" s="2">
        <f t="shared" si="9"/>
        <v>3.6744778112074745</v>
      </c>
      <c r="Y80" s="2">
        <f t="shared" si="9"/>
        <v>0.96387061661208517</v>
      </c>
      <c r="Z80" s="2">
        <f t="shared" si="9"/>
        <v>0.4421368047926188</v>
      </c>
      <c r="AA80" s="2">
        <f t="shared" si="9"/>
        <v>0.2981648943543187</v>
      </c>
      <c r="AB80" s="2">
        <f t="shared" si="9"/>
        <v>0.6745866998868657</v>
      </c>
      <c r="AC80" s="61">
        <f t="shared" si="9"/>
        <v>0.13358549017930371</v>
      </c>
      <c r="AD80" s="65">
        <f t="shared" si="9"/>
        <v>4.4870965109874508</v>
      </c>
      <c r="AE80" s="61">
        <f t="shared" si="9"/>
        <v>2.6456235000966899</v>
      </c>
      <c r="AF80" s="61">
        <f t="shared" si="9"/>
        <v>3.7341338175247185</v>
      </c>
      <c r="AG80" s="66">
        <f t="shared" si="9"/>
        <v>0.98680639642859891</v>
      </c>
      <c r="AH80" s="2">
        <f t="shared" si="9"/>
        <v>0.4889781618290015</v>
      </c>
      <c r="AI80" s="71">
        <f t="shared" si="9"/>
        <v>0.34047073001190298</v>
      </c>
      <c r="AJ80" s="2">
        <f t="shared" si="9"/>
        <v>0.83252688213221437</v>
      </c>
      <c r="AK80" s="2">
        <f t="shared" si="9"/>
        <v>0.16006854102676132</v>
      </c>
    </row>
    <row r="81" spans="2:37" x14ac:dyDescent="0.25">
      <c r="B81" s="1" t="s">
        <v>8</v>
      </c>
      <c r="C81" s="2">
        <f>AVERAGE(C19:C26)</f>
        <v>678</v>
      </c>
      <c r="D81" s="2">
        <f t="shared" ref="D81:S81" si="10">AVERAGE(D19:D26)</f>
        <v>30.25</v>
      </c>
      <c r="E81" s="2">
        <f t="shared" si="10"/>
        <v>18.625</v>
      </c>
      <c r="F81" s="2">
        <f t="shared" si="10"/>
        <v>23.125</v>
      </c>
      <c r="G81" s="2">
        <f t="shared" si="10"/>
        <v>8.125</v>
      </c>
      <c r="H81" s="2">
        <f t="shared" si="10"/>
        <v>3.75</v>
      </c>
      <c r="I81" s="2">
        <f t="shared" si="10"/>
        <v>3.375</v>
      </c>
      <c r="J81" s="2">
        <f t="shared" si="10"/>
        <v>5</v>
      </c>
      <c r="K81" s="26">
        <f t="shared" si="10"/>
        <v>1.125</v>
      </c>
      <c r="L81" s="2">
        <f t="shared" si="10"/>
        <v>31.375</v>
      </c>
      <c r="M81" s="2">
        <f t="shared" si="10"/>
        <v>19.5</v>
      </c>
      <c r="N81" s="2">
        <f t="shared" si="10"/>
        <v>23.25</v>
      </c>
      <c r="O81" s="2">
        <f t="shared" si="10"/>
        <v>8.375</v>
      </c>
      <c r="P81" s="2">
        <f t="shared" si="10"/>
        <v>4.375</v>
      </c>
      <c r="Q81" s="2">
        <f t="shared" si="10"/>
        <v>3.875</v>
      </c>
      <c r="R81" s="2">
        <f t="shared" si="10"/>
        <v>6</v>
      </c>
      <c r="S81" s="2">
        <f t="shared" si="10"/>
        <v>1.125</v>
      </c>
      <c r="U81" s="1" t="s">
        <v>8</v>
      </c>
      <c r="V81" s="2">
        <f>AVERAGE(V19:V26)</f>
        <v>4.5486461068098318</v>
      </c>
      <c r="W81" s="2">
        <f t="shared" ref="W81:AK81" si="11">AVERAGE(W19:W26)</f>
        <v>2.7779558457202573</v>
      </c>
      <c r="X81" s="2">
        <f t="shared" si="11"/>
        <v>3.5240756610831911</v>
      </c>
      <c r="Y81" s="2">
        <f t="shared" si="11"/>
        <v>1.2720752496672989</v>
      </c>
      <c r="Z81" s="2">
        <f t="shared" si="11"/>
        <v>0.57815972556909678</v>
      </c>
      <c r="AA81" s="2">
        <f t="shared" si="11"/>
        <v>0.50317107647139248</v>
      </c>
      <c r="AB81" s="2">
        <f t="shared" si="11"/>
        <v>0.77494172234209779</v>
      </c>
      <c r="AC81" s="61">
        <f t="shared" si="11"/>
        <v>0.17481094643004036</v>
      </c>
      <c r="AD81" s="65">
        <f t="shared" si="11"/>
        <v>4.7147305355058959</v>
      </c>
      <c r="AE81" s="61">
        <f t="shared" si="11"/>
        <v>2.9103444211873932</v>
      </c>
      <c r="AF81" s="61">
        <f t="shared" si="11"/>
        <v>3.5463176539657533</v>
      </c>
      <c r="AG81" s="66">
        <f t="shared" si="11"/>
        <v>1.3165592354324236</v>
      </c>
      <c r="AH81" s="2">
        <f t="shared" si="11"/>
        <v>0.66650080589042582</v>
      </c>
      <c r="AI81" s="71">
        <f t="shared" si="11"/>
        <v>0.57063145040239827</v>
      </c>
      <c r="AJ81" s="2">
        <f t="shared" si="11"/>
        <v>0.94790603255007433</v>
      </c>
      <c r="AK81" s="2">
        <f t="shared" si="11"/>
        <v>0.17481094643004036</v>
      </c>
    </row>
    <row r="82" spans="2:37" x14ac:dyDescent="0.25">
      <c r="B82" s="1" t="s">
        <v>0</v>
      </c>
      <c r="C82" s="2">
        <f>AVERAGE(C27:C35)</f>
        <v>574.33333333333337</v>
      </c>
      <c r="D82" s="2">
        <f t="shared" ref="D82:S82" si="12">AVERAGE(D27:D35)</f>
        <v>21.555555555555557</v>
      </c>
      <c r="E82" s="2">
        <f t="shared" si="12"/>
        <v>15</v>
      </c>
      <c r="F82" s="2">
        <f t="shared" si="12"/>
        <v>23.666666666666668</v>
      </c>
      <c r="G82" s="2">
        <f t="shared" si="12"/>
        <v>6.8888888888888893</v>
      </c>
      <c r="H82" s="2">
        <f t="shared" si="12"/>
        <v>2.8888888888888888</v>
      </c>
      <c r="I82" s="2">
        <f t="shared" si="12"/>
        <v>2.7777777777777777</v>
      </c>
      <c r="J82" s="2">
        <f t="shared" si="12"/>
        <v>6.333333333333333</v>
      </c>
      <c r="K82" s="26">
        <f t="shared" si="12"/>
        <v>1.1111111111111112</v>
      </c>
      <c r="L82" s="2">
        <f t="shared" si="12"/>
        <v>22.444444444444443</v>
      </c>
      <c r="M82" s="2">
        <f t="shared" si="12"/>
        <v>16.111111111111111</v>
      </c>
      <c r="N82" s="2">
        <f t="shared" si="12"/>
        <v>23.888888888888889</v>
      </c>
      <c r="O82" s="2">
        <f t="shared" si="12"/>
        <v>7.333333333333333</v>
      </c>
      <c r="P82" s="2">
        <f t="shared" si="12"/>
        <v>3.5555555555555554</v>
      </c>
      <c r="Q82" s="2">
        <f t="shared" si="12"/>
        <v>3.5555555555555554</v>
      </c>
      <c r="R82" s="2">
        <f t="shared" si="12"/>
        <v>8.5555555555555554</v>
      </c>
      <c r="S82" s="2">
        <f t="shared" si="12"/>
        <v>1.5555555555555556</v>
      </c>
      <c r="U82" s="1" t="s">
        <v>0</v>
      </c>
      <c r="V82" s="2">
        <f>AVERAGE(V27:V35)</f>
        <v>3.7626217893653138</v>
      </c>
      <c r="W82" s="2">
        <f t="shared" ref="W82:AK82" si="13">AVERAGE(W27:W35)</f>
        <v>2.6636028294931076</v>
      </c>
      <c r="X82" s="2">
        <f t="shared" si="13"/>
        <v>4.0010546579131319</v>
      </c>
      <c r="Y82" s="2">
        <f t="shared" si="13"/>
        <v>1.2038443897755537</v>
      </c>
      <c r="Z82" s="2">
        <f t="shared" si="13"/>
        <v>0.45649305594343975</v>
      </c>
      <c r="AA82" s="2">
        <f t="shared" si="13"/>
        <v>0.44355324190439316</v>
      </c>
      <c r="AB82" s="2">
        <f t="shared" si="13"/>
        <v>1.007133344007904</v>
      </c>
      <c r="AC82" s="61">
        <f t="shared" si="13"/>
        <v>0.17470300489168414</v>
      </c>
      <c r="AD82" s="65">
        <f t="shared" si="13"/>
        <v>3.9046494365037208</v>
      </c>
      <c r="AE82" s="61">
        <f t="shared" si="13"/>
        <v>2.838305834384792</v>
      </c>
      <c r="AF82" s="61">
        <f t="shared" si="13"/>
        <v>4.0359952588914689</v>
      </c>
      <c r="AG82" s="66">
        <f t="shared" si="13"/>
        <v>1.2737255917322274</v>
      </c>
      <c r="AH82" s="2">
        <f t="shared" si="13"/>
        <v>0.56358010210351117</v>
      </c>
      <c r="AI82" s="71">
        <f t="shared" si="13"/>
        <v>0.565845345328572</v>
      </c>
      <c r="AJ82" s="2">
        <f t="shared" si="13"/>
        <v>1.3565393537912724</v>
      </c>
      <c r="AK82" s="2">
        <f t="shared" si="13"/>
        <v>0.24458420684835783</v>
      </c>
    </row>
    <row r="83" spans="2:37" x14ac:dyDescent="0.25">
      <c r="B83" s="1" t="s">
        <v>1</v>
      </c>
      <c r="C83" s="2">
        <f>AVERAGE(C36:C44)</f>
        <v>573</v>
      </c>
      <c r="D83" s="2">
        <f t="shared" ref="D83:S83" si="14">AVERAGE(D36:D44)</f>
        <v>15.444444444444445</v>
      </c>
      <c r="E83" s="2">
        <f t="shared" si="14"/>
        <v>9.8888888888888893</v>
      </c>
      <c r="F83" s="2">
        <f t="shared" si="14"/>
        <v>23.222222222222221</v>
      </c>
      <c r="G83" s="2">
        <f t="shared" si="14"/>
        <v>4.2222222222222223</v>
      </c>
      <c r="H83" s="2">
        <f t="shared" si="14"/>
        <v>2.4444444444444446</v>
      </c>
      <c r="I83" s="2">
        <f t="shared" si="14"/>
        <v>1.7777777777777777</v>
      </c>
      <c r="J83" s="2">
        <f t="shared" si="14"/>
        <v>6.8888888888888893</v>
      </c>
      <c r="K83" s="26">
        <f t="shared" si="14"/>
        <v>1</v>
      </c>
      <c r="L83" s="2">
        <f t="shared" si="14"/>
        <v>15.666666666666666</v>
      </c>
      <c r="M83" s="2">
        <f t="shared" si="14"/>
        <v>10.333333333333334</v>
      </c>
      <c r="N83" s="2">
        <f t="shared" si="14"/>
        <v>23.444444444444443</v>
      </c>
      <c r="O83" s="2">
        <f t="shared" si="14"/>
        <v>4.333333333333333</v>
      </c>
      <c r="P83" s="2">
        <f t="shared" si="14"/>
        <v>2.5555555555555554</v>
      </c>
      <c r="Q83" s="2">
        <f t="shared" si="14"/>
        <v>1.8888888888888888</v>
      </c>
      <c r="R83" s="2">
        <f t="shared" si="14"/>
        <v>7.7777777777777777</v>
      </c>
      <c r="S83" s="2">
        <f t="shared" si="14"/>
        <v>1</v>
      </c>
      <c r="U83" s="1" t="s">
        <v>1</v>
      </c>
      <c r="V83" s="2">
        <f>AVERAGE(V36:V44)</f>
        <v>2.6188582341398701</v>
      </c>
      <c r="W83" s="2">
        <f t="shared" ref="W83:AK83" si="15">AVERAGE(W36:W44)</f>
        <v>1.7505874590145454</v>
      </c>
      <c r="X83" s="2">
        <f t="shared" si="15"/>
        <v>4.313033432771217</v>
      </c>
      <c r="Y83" s="2">
        <f t="shared" si="15"/>
        <v>0.72736690730355336</v>
      </c>
      <c r="Z83" s="2">
        <f t="shared" si="15"/>
        <v>0.44259785014376296</v>
      </c>
      <c r="AA83" s="2">
        <f t="shared" si="15"/>
        <v>0.4490342766397723</v>
      </c>
      <c r="AB83" s="2">
        <f t="shared" si="15"/>
        <v>1.2579123484746151</v>
      </c>
      <c r="AC83" s="61">
        <f t="shared" si="15"/>
        <v>0.21548394378457358</v>
      </c>
      <c r="AD83" s="65">
        <f t="shared" si="15"/>
        <v>2.6537988351182076</v>
      </c>
      <c r="AE83" s="61">
        <f t="shared" si="15"/>
        <v>1.8204686609712191</v>
      </c>
      <c r="AF83" s="61">
        <f t="shared" si="15"/>
        <v>4.3479740337495549</v>
      </c>
      <c r="AG83" s="66">
        <f t="shared" si="15"/>
        <v>0.74483720779272167</v>
      </c>
      <c r="AH83" s="2">
        <f t="shared" si="15"/>
        <v>0.46006815063293138</v>
      </c>
      <c r="AI83" s="71">
        <f t="shared" si="15"/>
        <v>0.5221336918444508</v>
      </c>
      <c r="AJ83" s="2">
        <f t="shared" si="15"/>
        <v>1.3976747523879622</v>
      </c>
      <c r="AK83" s="2">
        <f t="shared" si="15"/>
        <v>0.21548394378457358</v>
      </c>
    </row>
    <row r="84" spans="2:37" x14ac:dyDescent="0.25">
      <c r="B84" s="1" t="s">
        <v>4</v>
      </c>
      <c r="C84" s="2">
        <f>AVERAGE(C45:C52)</f>
        <v>614.625</v>
      </c>
      <c r="D84" s="2">
        <f t="shared" ref="D84:S84" si="16">AVERAGE(D45:D52)</f>
        <v>15.25</v>
      </c>
      <c r="E84" s="2">
        <f t="shared" si="16"/>
        <v>11.875</v>
      </c>
      <c r="F84" s="2">
        <f t="shared" si="16"/>
        <v>18.25</v>
      </c>
      <c r="G84" s="2">
        <f t="shared" si="16"/>
        <v>4</v>
      </c>
      <c r="H84" s="2">
        <f t="shared" si="16"/>
        <v>1.875</v>
      </c>
      <c r="I84" s="2">
        <f t="shared" si="16"/>
        <v>2.125</v>
      </c>
      <c r="J84" s="2">
        <f t="shared" si="16"/>
        <v>4</v>
      </c>
      <c r="K84" s="26">
        <f t="shared" si="16"/>
        <v>0.875</v>
      </c>
      <c r="L84" s="2">
        <f t="shared" si="16"/>
        <v>16.25</v>
      </c>
      <c r="M84" s="2">
        <f t="shared" si="16"/>
        <v>12.125</v>
      </c>
      <c r="N84" s="2">
        <f t="shared" si="16"/>
        <v>18.375</v>
      </c>
      <c r="O84" s="2">
        <f t="shared" si="16"/>
        <v>4</v>
      </c>
      <c r="P84" s="2">
        <f t="shared" si="16"/>
        <v>2.25</v>
      </c>
      <c r="Q84" s="2">
        <f t="shared" si="16"/>
        <v>2.375</v>
      </c>
      <c r="R84" s="2">
        <f t="shared" si="16"/>
        <v>4.625</v>
      </c>
      <c r="S84" s="2">
        <f t="shared" si="16"/>
        <v>1.125</v>
      </c>
      <c r="U84" s="1" t="s">
        <v>4</v>
      </c>
      <c r="V84" s="2">
        <f>AVERAGE(V45:V52)</f>
        <v>2.330692691032509</v>
      </c>
      <c r="W84" s="2">
        <f t="shared" ref="W84:AK84" si="17">AVERAGE(W45:W52)</f>
        <v>1.7514249931589567</v>
      </c>
      <c r="X84" s="2">
        <f t="shared" si="17"/>
        <v>2.9575750394251141</v>
      </c>
      <c r="Y84" s="2">
        <f t="shared" si="17"/>
        <v>0.62909871033152964</v>
      </c>
      <c r="Z84" s="2">
        <f t="shared" si="17"/>
        <v>0.39458404103729794</v>
      </c>
      <c r="AA84" s="2">
        <f t="shared" si="17"/>
        <v>0.36338920647805029</v>
      </c>
      <c r="AB84" s="2">
        <f t="shared" si="17"/>
        <v>0.63921307436371122</v>
      </c>
      <c r="AC84" s="61">
        <f t="shared" si="17"/>
        <v>0.16125877243381043</v>
      </c>
      <c r="AD84" s="65">
        <f t="shared" si="17"/>
        <v>2.5000927937985171</v>
      </c>
      <c r="AE84" s="61">
        <f t="shared" si="17"/>
        <v>1.7889083588617329</v>
      </c>
      <c r="AF84" s="61">
        <f t="shared" si="17"/>
        <v>2.9761762299013048</v>
      </c>
      <c r="AG84" s="66">
        <f t="shared" si="17"/>
        <v>0.62909871033152964</v>
      </c>
      <c r="AH84" s="2">
        <f t="shared" si="17"/>
        <v>0.48455087354144388</v>
      </c>
      <c r="AI84" s="71">
        <f t="shared" si="17"/>
        <v>0.39116698425582808</v>
      </c>
      <c r="AJ84" s="2">
        <f t="shared" si="17"/>
        <v>0.73547620197124974</v>
      </c>
      <c r="AK84" s="2">
        <f t="shared" si="17"/>
        <v>0.18903655021158822</v>
      </c>
    </row>
    <row r="85" spans="2:37" x14ac:dyDescent="0.25">
      <c r="B85" s="1" t="s">
        <v>5</v>
      </c>
      <c r="C85" s="2">
        <f>AVERAGE(C53:C57)</f>
        <v>533.20000000000005</v>
      </c>
      <c r="D85" s="2">
        <f t="shared" ref="D85:S85" si="18">AVERAGE(D53:D57)</f>
        <v>8.8000000000000007</v>
      </c>
      <c r="E85" s="2">
        <f t="shared" si="18"/>
        <v>7.8</v>
      </c>
      <c r="F85" s="2">
        <f t="shared" si="18"/>
        <v>14.2</v>
      </c>
      <c r="G85" s="2">
        <f t="shared" si="18"/>
        <v>2.6</v>
      </c>
      <c r="H85" s="2">
        <f t="shared" si="18"/>
        <v>1</v>
      </c>
      <c r="I85" s="2">
        <f t="shared" si="18"/>
        <v>0.8</v>
      </c>
      <c r="J85" s="2">
        <f t="shared" si="18"/>
        <v>2</v>
      </c>
      <c r="K85" s="26">
        <f t="shared" si="18"/>
        <v>0.4</v>
      </c>
      <c r="L85" s="2">
        <f t="shared" si="18"/>
        <v>9</v>
      </c>
      <c r="M85" s="2">
        <f t="shared" si="18"/>
        <v>8.1999999999999993</v>
      </c>
      <c r="N85" s="2">
        <f t="shared" si="18"/>
        <v>14.4</v>
      </c>
      <c r="O85" s="2">
        <f t="shared" si="18"/>
        <v>2.6</v>
      </c>
      <c r="P85" s="2">
        <f t="shared" si="18"/>
        <v>1</v>
      </c>
      <c r="Q85" s="2">
        <f t="shared" si="18"/>
        <v>1</v>
      </c>
      <c r="R85" s="2">
        <f t="shared" si="18"/>
        <v>2.8</v>
      </c>
      <c r="S85" s="2">
        <f t="shared" si="18"/>
        <v>0.4</v>
      </c>
      <c r="U85" s="1" t="s">
        <v>5</v>
      </c>
      <c r="V85" s="2">
        <f>AVERAGE(V53:V57)</f>
        <v>1.5368348991454472</v>
      </c>
      <c r="W85" s="2">
        <f t="shared" ref="W85:AK85" si="19">AVERAGE(W53:W57)</f>
        <v>1.2970198306788245</v>
      </c>
      <c r="X85" s="2">
        <f t="shared" si="19"/>
        <v>2.5244053269496631</v>
      </c>
      <c r="Y85" s="2">
        <f t="shared" si="19"/>
        <v>0.40329000868382731</v>
      </c>
      <c r="Z85" s="2">
        <f t="shared" si="19"/>
        <v>0.19417643838657353</v>
      </c>
      <c r="AA85" s="2">
        <f t="shared" si="19"/>
        <v>0.13315528532635562</v>
      </c>
      <c r="AB85" s="2">
        <f t="shared" si="19"/>
        <v>0.29940754021397692</v>
      </c>
      <c r="AC85" s="61">
        <f t="shared" si="19"/>
        <v>7.1711352914681267E-2</v>
      </c>
      <c r="AD85" s="65">
        <f t="shared" si="19"/>
        <v>1.5626746924271011</v>
      </c>
      <c r="AE85" s="61">
        <f t="shared" si="19"/>
        <v>1.3584637630904988</v>
      </c>
      <c r="AF85" s="61">
        <f t="shared" si="19"/>
        <v>2.5502451202313177</v>
      </c>
      <c r="AG85" s="66">
        <f t="shared" si="19"/>
        <v>0.40329000868382731</v>
      </c>
      <c r="AH85" s="2">
        <f t="shared" si="19"/>
        <v>0.19417643838657353</v>
      </c>
      <c r="AI85" s="71">
        <f t="shared" si="19"/>
        <v>0.16387725153219282</v>
      </c>
      <c r="AJ85" s="2">
        <f t="shared" si="19"/>
        <v>0.41325563386362474</v>
      </c>
      <c r="AK85" s="2">
        <f t="shared" si="19"/>
        <v>7.1711352914681267E-2</v>
      </c>
    </row>
    <row r="86" spans="2:37" x14ac:dyDescent="0.25">
      <c r="B86" s="1" t="s">
        <v>9</v>
      </c>
      <c r="C86" s="2">
        <f>AVERAGE(C58:C62)</f>
        <v>543.79999999999995</v>
      </c>
      <c r="D86" s="2">
        <f t="shared" ref="D86:S86" si="20">AVERAGE(D58:D62)</f>
        <v>17.8</v>
      </c>
      <c r="E86" s="2">
        <f t="shared" si="20"/>
        <v>11</v>
      </c>
      <c r="F86" s="2">
        <f t="shared" si="20"/>
        <v>15</v>
      </c>
      <c r="G86" s="2">
        <f t="shared" si="20"/>
        <v>4.4000000000000004</v>
      </c>
      <c r="H86" s="2">
        <f t="shared" si="20"/>
        <v>2</v>
      </c>
      <c r="I86" s="2">
        <f t="shared" si="20"/>
        <v>0.6</v>
      </c>
      <c r="J86" s="2">
        <f t="shared" si="20"/>
        <v>3</v>
      </c>
      <c r="K86" s="26">
        <f t="shared" si="20"/>
        <v>0</v>
      </c>
      <c r="L86" s="2">
        <f t="shared" si="20"/>
        <v>18.600000000000001</v>
      </c>
      <c r="M86" s="2">
        <f t="shared" si="20"/>
        <v>11.6</v>
      </c>
      <c r="N86" s="2">
        <f t="shared" si="20"/>
        <v>15</v>
      </c>
      <c r="O86" s="2">
        <f t="shared" si="20"/>
        <v>4.4000000000000004</v>
      </c>
      <c r="P86" s="2">
        <f t="shared" si="20"/>
        <v>2</v>
      </c>
      <c r="Q86" s="2">
        <f t="shared" si="20"/>
        <v>0.6</v>
      </c>
      <c r="R86" s="2">
        <f t="shared" si="20"/>
        <v>3.2</v>
      </c>
      <c r="S86" s="2">
        <f t="shared" si="20"/>
        <v>0</v>
      </c>
      <c r="U86" s="1" t="s">
        <v>9</v>
      </c>
      <c r="V86" s="2">
        <f>AVERAGE(V58:V62)</f>
        <v>3.1390298296287469</v>
      </c>
      <c r="W86" s="2">
        <f t="shared" ref="W86:AK86" si="21">AVERAGE(W58:W62)</f>
        <v>1.7464576999927082</v>
      </c>
      <c r="X86" s="2">
        <f t="shared" si="21"/>
        <v>2.3679086576284147</v>
      </c>
      <c r="Y86" s="2">
        <f t="shared" si="21"/>
        <v>0.64788872359691019</v>
      </c>
      <c r="Z86" s="2">
        <f t="shared" si="21"/>
        <v>0.40292545862063162</v>
      </c>
      <c r="AA86" s="2">
        <f t="shared" si="21"/>
        <v>0.18643857479099865</v>
      </c>
      <c r="AB86" s="2">
        <f t="shared" si="21"/>
        <v>0.46188788203065173</v>
      </c>
      <c r="AC86" s="61">
        <f t="shared" si="21"/>
        <v>0</v>
      </c>
      <c r="AD86" s="65">
        <f t="shared" si="21"/>
        <v>3.2449642042136064</v>
      </c>
      <c r="AE86" s="61">
        <f t="shared" si="21"/>
        <v>1.8364127224814637</v>
      </c>
      <c r="AF86" s="61">
        <f t="shared" si="21"/>
        <v>2.3679086576284147</v>
      </c>
      <c r="AG86" s="66">
        <f t="shared" si="21"/>
        <v>0.64788872359691019</v>
      </c>
      <c r="AH86" s="2">
        <f t="shared" si="21"/>
        <v>0.40292545862063162</v>
      </c>
      <c r="AI86" s="71">
        <f t="shared" si="21"/>
        <v>0.18643857479099865</v>
      </c>
      <c r="AJ86" s="2">
        <f t="shared" si="21"/>
        <v>0.50673093135800595</v>
      </c>
      <c r="AK86" s="2">
        <f t="shared" si="21"/>
        <v>0</v>
      </c>
    </row>
    <row r="87" spans="2:37" x14ac:dyDescent="0.25">
      <c r="B87" s="1" t="s">
        <v>6</v>
      </c>
      <c r="C87" s="2">
        <f>AVERAGE(C63:C69)</f>
        <v>583</v>
      </c>
      <c r="D87" s="2">
        <f t="shared" ref="D87:S87" si="22">AVERAGE(D63:D69)</f>
        <v>16.285714285714285</v>
      </c>
      <c r="E87" s="2">
        <f t="shared" si="22"/>
        <v>12.571428571428571</v>
      </c>
      <c r="F87" s="2">
        <f t="shared" si="22"/>
        <v>21</v>
      </c>
      <c r="G87" s="2">
        <f t="shared" si="22"/>
        <v>4.4285714285714288</v>
      </c>
      <c r="H87" s="2">
        <f t="shared" si="22"/>
        <v>2.5714285714285716</v>
      </c>
      <c r="I87" s="2">
        <f t="shared" si="22"/>
        <v>1.5714285714285714</v>
      </c>
      <c r="J87" s="2">
        <f t="shared" si="22"/>
        <v>6.1428571428571432</v>
      </c>
      <c r="K87" s="26">
        <f t="shared" si="22"/>
        <v>0.8571428571428571</v>
      </c>
      <c r="L87" s="2">
        <f t="shared" si="22"/>
        <v>17</v>
      </c>
      <c r="M87" s="2">
        <f t="shared" si="22"/>
        <v>13.142857142857142</v>
      </c>
      <c r="N87" s="2">
        <f t="shared" si="22"/>
        <v>21.571428571428573</v>
      </c>
      <c r="O87" s="2">
        <f t="shared" si="22"/>
        <v>4.7142857142857144</v>
      </c>
      <c r="P87" s="2">
        <f t="shared" si="22"/>
        <v>3.1428571428571428</v>
      </c>
      <c r="Q87" s="2">
        <f t="shared" si="22"/>
        <v>2.1428571428571428</v>
      </c>
      <c r="R87" s="2">
        <f t="shared" si="22"/>
        <v>7.1428571428571432</v>
      </c>
      <c r="S87" s="2">
        <f t="shared" si="22"/>
        <v>1.1428571428571428</v>
      </c>
      <c r="U87" s="1" t="s">
        <v>6</v>
      </c>
      <c r="V87" s="2">
        <f>AVERAGE(V63:V69)</f>
        <v>2.7934329821122277</v>
      </c>
      <c r="W87" s="2">
        <f t="shared" ref="W87:AK87" si="23">AVERAGE(W63:W69)</f>
        <v>2.1563342318059298</v>
      </c>
      <c r="X87" s="2">
        <f t="shared" si="23"/>
        <v>3.6020583190394517</v>
      </c>
      <c r="Y87" s="2">
        <f t="shared" si="23"/>
        <v>0.75961774074981625</v>
      </c>
      <c r="Z87" s="2">
        <f t="shared" si="23"/>
        <v>0.44106836559666746</v>
      </c>
      <c r="AA87" s="2">
        <f t="shared" si="23"/>
        <v>0.26954177897574122</v>
      </c>
      <c r="AB87" s="2">
        <f t="shared" si="23"/>
        <v>1.0536633178142614</v>
      </c>
      <c r="AC87" s="61">
        <f t="shared" si="23"/>
        <v>0.14702278853222248</v>
      </c>
      <c r="AD87" s="65">
        <f t="shared" si="23"/>
        <v>2.9159519725557463</v>
      </c>
      <c r="AE87" s="61">
        <f t="shared" si="23"/>
        <v>2.2543494241607451</v>
      </c>
      <c r="AF87" s="61">
        <f t="shared" si="23"/>
        <v>3.7000735113942662</v>
      </c>
      <c r="AG87" s="66">
        <f t="shared" si="23"/>
        <v>0.80862533692722371</v>
      </c>
      <c r="AH87" s="2">
        <f t="shared" si="23"/>
        <v>0.53908355795148244</v>
      </c>
      <c r="AI87" s="71">
        <f t="shared" si="23"/>
        <v>0.36755697133055626</v>
      </c>
      <c r="AJ87" s="2">
        <f t="shared" si="23"/>
        <v>1.2251899044351877</v>
      </c>
      <c r="AK87" s="2">
        <f t="shared" si="23"/>
        <v>0.19603038470963</v>
      </c>
    </row>
    <row r="88" spans="2:37" ht="15.75" thickBot="1" x14ac:dyDescent="0.3">
      <c r="B88" s="1" t="s">
        <v>7</v>
      </c>
      <c r="C88" s="2">
        <f>AVERAGE(C70:C76)</f>
        <v>583</v>
      </c>
      <c r="D88" s="2">
        <f t="shared" ref="D88:S88" si="24">AVERAGE(D70:D76)</f>
        <v>10.571428571428571</v>
      </c>
      <c r="E88" s="2">
        <f t="shared" si="24"/>
        <v>9.8571428571428577</v>
      </c>
      <c r="F88" s="2">
        <f t="shared" si="24"/>
        <v>19.857142857142858</v>
      </c>
      <c r="G88" s="2">
        <f t="shared" si="24"/>
        <v>3.1428571428571428</v>
      </c>
      <c r="H88" s="2">
        <f t="shared" si="24"/>
        <v>1.2857142857142858</v>
      </c>
      <c r="I88" s="2">
        <f t="shared" si="24"/>
        <v>1</v>
      </c>
      <c r="J88" s="2">
        <f t="shared" si="24"/>
        <v>4.7142857142857144</v>
      </c>
      <c r="K88" s="26">
        <f t="shared" si="24"/>
        <v>0.42857142857142855</v>
      </c>
      <c r="L88" s="2">
        <f t="shared" si="24"/>
        <v>10.857142857142858</v>
      </c>
      <c r="M88" s="2">
        <f t="shared" si="24"/>
        <v>10.285714285714286</v>
      </c>
      <c r="N88" s="2">
        <f t="shared" si="24"/>
        <v>20.285714285714285</v>
      </c>
      <c r="O88" s="2">
        <f t="shared" si="24"/>
        <v>3.2857142857142856</v>
      </c>
      <c r="P88" s="2">
        <f t="shared" si="24"/>
        <v>1.4285714285714286</v>
      </c>
      <c r="Q88" s="2">
        <f t="shared" si="24"/>
        <v>1.1428571428571428</v>
      </c>
      <c r="R88" s="2">
        <f t="shared" si="24"/>
        <v>5.2857142857142856</v>
      </c>
      <c r="S88" s="2">
        <f t="shared" si="24"/>
        <v>0.5714285714285714</v>
      </c>
      <c r="U88" s="1" t="s">
        <v>7</v>
      </c>
      <c r="V88" s="2">
        <f>AVERAGE(V70:V76)</f>
        <v>1.8132810585640775</v>
      </c>
      <c r="W88" s="2">
        <f t="shared" ref="W88:AK88" si="25">AVERAGE(W70:W76)</f>
        <v>1.6907620681205588</v>
      </c>
      <c r="X88" s="2">
        <f t="shared" si="25"/>
        <v>3.406027934329821</v>
      </c>
      <c r="Y88" s="2">
        <f t="shared" si="25"/>
        <v>0.53908355795148244</v>
      </c>
      <c r="Z88" s="2">
        <f t="shared" si="25"/>
        <v>0.22053418279833373</v>
      </c>
      <c r="AA88" s="2">
        <f t="shared" si="25"/>
        <v>0.17152658662092626</v>
      </c>
      <c r="AB88" s="2">
        <f t="shared" si="25"/>
        <v>0.80862533692722383</v>
      </c>
      <c r="AC88" s="61">
        <f t="shared" si="25"/>
        <v>7.3511394266111238E-2</v>
      </c>
      <c r="AD88" s="67">
        <f t="shared" si="25"/>
        <v>1.862288654741485</v>
      </c>
      <c r="AE88" s="68">
        <f t="shared" si="25"/>
        <v>1.76427346238667</v>
      </c>
      <c r="AF88" s="68">
        <f t="shared" si="25"/>
        <v>3.4795393285959326</v>
      </c>
      <c r="AG88" s="69">
        <f t="shared" si="25"/>
        <v>0.56358735604018628</v>
      </c>
      <c r="AH88" s="2">
        <f t="shared" si="25"/>
        <v>0.24503798088703749</v>
      </c>
      <c r="AI88" s="72">
        <f t="shared" si="25"/>
        <v>0.19603038470963</v>
      </c>
      <c r="AJ88" s="2">
        <f t="shared" si="25"/>
        <v>0.90664052928203875</v>
      </c>
      <c r="AK88" s="2">
        <f t="shared" si="25"/>
        <v>9.8015192354814998E-2</v>
      </c>
    </row>
    <row r="89" spans="2:37" ht="15.75" thickBot="1" x14ac:dyDescent="0.3"/>
    <row r="90" spans="2:37" x14ac:dyDescent="0.25">
      <c r="U90" s="1" t="s">
        <v>2</v>
      </c>
      <c r="V90" s="2">
        <f>_xlfn.STDEV.S(V3:V10)/SQRT(COUNT(V3:V10))</f>
        <v>0.47934375548715841</v>
      </c>
      <c r="W90" s="40">
        <f t="shared" ref="W90:AK90" si="26">_xlfn.STDEV.S(W3:W10)/SQRT(COUNT(W3:W10))</f>
        <v>0.36164591763353154</v>
      </c>
      <c r="X90" s="40">
        <f t="shared" si="26"/>
        <v>0.48532361176162547</v>
      </c>
      <c r="Y90" s="40">
        <f t="shared" si="26"/>
        <v>0.26090149898450649</v>
      </c>
      <c r="Z90" s="40">
        <f t="shared" si="26"/>
        <v>0.14661773697423464</v>
      </c>
      <c r="AA90" s="40">
        <f t="shared" si="26"/>
        <v>0.10844069020217072</v>
      </c>
      <c r="AB90" s="40">
        <f t="shared" si="26"/>
        <v>0.13002760990921952</v>
      </c>
      <c r="AC90" s="49">
        <f t="shared" si="26"/>
        <v>7.8955481843529102E-2</v>
      </c>
      <c r="AD90" s="50">
        <f t="shared" si="26"/>
        <v>0.52110626303809027</v>
      </c>
      <c r="AE90" s="51">
        <f t="shared" si="26"/>
        <v>0.38003594389526729</v>
      </c>
      <c r="AF90" s="51">
        <f t="shared" si="26"/>
        <v>0.60249292002081567</v>
      </c>
      <c r="AG90" s="52">
        <f t="shared" si="26"/>
        <v>0.32161344611591264</v>
      </c>
      <c r="AH90" s="40">
        <f t="shared" si="26"/>
        <v>0.15952669838686531</v>
      </c>
      <c r="AI90" s="58">
        <f t="shared" si="26"/>
        <v>0.13343682707665944</v>
      </c>
      <c r="AJ90" s="40">
        <f t="shared" si="26"/>
        <v>0.15090777034360064</v>
      </c>
      <c r="AK90" s="40">
        <f t="shared" si="26"/>
        <v>9.8969309184326337E-2</v>
      </c>
    </row>
    <row r="91" spans="2:37" x14ac:dyDescent="0.25">
      <c r="U91" s="1" t="s">
        <v>3</v>
      </c>
      <c r="V91" s="2">
        <f>_xlfn.STDEV.S(V11:V18)/SQRT(COUNT(V11:V18))</f>
        <v>0.5714681762477023</v>
      </c>
      <c r="W91" s="40">
        <f t="shared" ref="W91:AK91" si="27">_xlfn.STDEV.S(W11:W18)/SQRT(COUNT(W11:W18))</f>
        <v>0.31845030364099719</v>
      </c>
      <c r="X91" s="40">
        <f t="shared" si="27"/>
        <v>0.37819714885419387</v>
      </c>
      <c r="Y91" s="40">
        <f t="shared" si="27"/>
        <v>0.21032064147223212</v>
      </c>
      <c r="Z91" s="40">
        <f t="shared" si="27"/>
        <v>8.863878649688664E-2</v>
      </c>
      <c r="AA91" s="40">
        <f t="shared" si="27"/>
        <v>5.4879188361112899E-2</v>
      </c>
      <c r="AB91" s="40">
        <f t="shared" si="27"/>
        <v>0.12884846730989705</v>
      </c>
      <c r="AC91" s="49">
        <f t="shared" si="27"/>
        <v>3.6250769436252765E-2</v>
      </c>
      <c r="AD91" s="53">
        <f t="shared" si="27"/>
        <v>0.68216631326960919</v>
      </c>
      <c r="AE91" s="49">
        <f t="shared" si="27"/>
        <v>0.3459279755620524</v>
      </c>
      <c r="AF91" s="49">
        <f t="shared" si="27"/>
        <v>0.41894413905995642</v>
      </c>
      <c r="AG91" s="54">
        <f t="shared" si="27"/>
        <v>0.21084710329337952</v>
      </c>
      <c r="AH91" s="40">
        <f t="shared" si="27"/>
        <v>8.9455222023474446E-2</v>
      </c>
      <c r="AI91" s="59">
        <f t="shared" si="27"/>
        <v>5.9661784947085753E-2</v>
      </c>
      <c r="AJ91" s="40">
        <f t="shared" si="27"/>
        <v>0.13772865336318552</v>
      </c>
      <c r="AK91" s="40">
        <f t="shared" si="27"/>
        <v>5.1066372672641872E-2</v>
      </c>
    </row>
    <row r="92" spans="2:37" x14ac:dyDescent="0.25">
      <c r="U92" s="1" t="s">
        <v>8</v>
      </c>
      <c r="V92" s="2">
        <f>_xlfn.STDEV.S(V19:V26)/SQRT(COUNT(V19:V26))</f>
        <v>0.49421052894051887</v>
      </c>
      <c r="W92" s="40">
        <f t="shared" ref="W92:AK92" si="28">_xlfn.STDEV.S(W19:W26)/SQRT(COUNT(W19:W26))</f>
        <v>0.30606899119711312</v>
      </c>
      <c r="X92" s="40">
        <f t="shared" si="28"/>
        <v>0.43240297952417434</v>
      </c>
      <c r="Y92" s="40">
        <f t="shared" si="28"/>
        <v>0.19327790084238422</v>
      </c>
      <c r="Z92" s="40">
        <f t="shared" si="28"/>
        <v>0.17268408595267284</v>
      </c>
      <c r="AA92" s="40">
        <f t="shared" si="28"/>
        <v>0.10237182399385414</v>
      </c>
      <c r="AB92" s="40">
        <f t="shared" si="28"/>
        <v>0.19124056013472934</v>
      </c>
      <c r="AC92" s="49">
        <f t="shared" si="28"/>
        <v>5.8204919473297353E-2</v>
      </c>
      <c r="AD92" s="53">
        <f t="shared" si="28"/>
        <v>0.55619641891725324</v>
      </c>
      <c r="AE92" s="49">
        <f t="shared" si="28"/>
        <v>0.35236059935048786</v>
      </c>
      <c r="AF92" s="49">
        <f t="shared" si="28"/>
        <v>0.43192179654332463</v>
      </c>
      <c r="AG92" s="54">
        <f t="shared" si="28"/>
        <v>0.21918969217452966</v>
      </c>
      <c r="AH92" s="40">
        <f t="shared" si="28"/>
        <v>0.18228329239214155</v>
      </c>
      <c r="AI92" s="59">
        <f t="shared" si="28"/>
        <v>0.10667418750550114</v>
      </c>
      <c r="AJ92" s="40">
        <f t="shared" si="28"/>
        <v>0.28428640420620932</v>
      </c>
      <c r="AK92" s="40">
        <f t="shared" si="28"/>
        <v>5.8204919473297353E-2</v>
      </c>
    </row>
    <row r="93" spans="2:37" x14ac:dyDescent="0.25">
      <c r="U93" s="1" t="s">
        <v>0</v>
      </c>
      <c r="V93" s="2">
        <f>_xlfn.STDEV.S(V27:V35)/SQRT(COUNT(V27:V35))</f>
        <v>0.32759034234394835</v>
      </c>
      <c r="W93" s="40">
        <f t="shared" ref="W93:AK93" si="29">_xlfn.STDEV.S(W27:W35)/SQRT(COUNT(W27:W35))</f>
        <v>0.44382839237941579</v>
      </c>
      <c r="X93" s="40">
        <f t="shared" si="29"/>
        <v>0.5381323129587785</v>
      </c>
      <c r="Y93" s="40">
        <f t="shared" si="29"/>
        <v>0.17921124059911944</v>
      </c>
      <c r="Z93" s="40">
        <f t="shared" si="29"/>
        <v>9.877403637105879E-2</v>
      </c>
      <c r="AA93" s="40">
        <f t="shared" si="29"/>
        <v>0.13599459718039614</v>
      </c>
      <c r="AB93" s="40">
        <f t="shared" si="29"/>
        <v>0.2001286566580687</v>
      </c>
      <c r="AC93" s="49">
        <f t="shared" si="29"/>
        <v>6.1146051712089457E-2</v>
      </c>
      <c r="AD93" s="53">
        <f t="shared" si="29"/>
        <v>0.29960888226537036</v>
      </c>
      <c r="AE93" s="49">
        <f t="shared" si="29"/>
        <v>0.48169870389972907</v>
      </c>
      <c r="AF93" s="49">
        <f t="shared" si="29"/>
        <v>0.5481738642107733</v>
      </c>
      <c r="AG93" s="54">
        <f t="shared" si="29"/>
        <v>0.18760822492860518</v>
      </c>
      <c r="AH93" s="40">
        <f t="shared" si="29"/>
        <v>0.103958728200456</v>
      </c>
      <c r="AI93" s="59">
        <f t="shared" si="29"/>
        <v>0.18890159924297342</v>
      </c>
      <c r="AJ93" s="40">
        <f t="shared" si="29"/>
        <v>0.32729842535175974</v>
      </c>
      <c r="AK93" s="40">
        <f t="shared" si="29"/>
        <v>9.8440143864296337E-2</v>
      </c>
    </row>
    <row r="94" spans="2:37" x14ac:dyDescent="0.25">
      <c r="U94" s="1" t="s">
        <v>1</v>
      </c>
      <c r="V94" s="2">
        <f>_xlfn.STDEV.S(V36:V44)/SQRT(COUNT(V36:V44))</f>
        <v>0.3116826109362687</v>
      </c>
      <c r="W94" s="40">
        <f t="shared" ref="W94:AK94" si="30">_xlfn.STDEV.S(W36:W44)/SQRT(COUNT(W36:W44))</f>
        <v>0.2613824449994257</v>
      </c>
      <c r="X94" s="40">
        <f t="shared" si="30"/>
        <v>0.52307106502856693</v>
      </c>
      <c r="Y94" s="40">
        <f t="shared" si="30"/>
        <v>0.10932518320975747</v>
      </c>
      <c r="Z94" s="40">
        <f t="shared" si="30"/>
        <v>9.3601960276551988E-2</v>
      </c>
      <c r="AA94" s="40">
        <f t="shared" si="30"/>
        <v>0.19740197747828703</v>
      </c>
      <c r="AB94" s="40">
        <f t="shared" si="30"/>
        <v>0.26167850716505392</v>
      </c>
      <c r="AC94" s="49">
        <f t="shared" si="30"/>
        <v>7.6235883388115752E-2</v>
      </c>
      <c r="AD94" s="53">
        <f t="shared" si="30"/>
        <v>0.31329334784120455</v>
      </c>
      <c r="AE94" s="49">
        <f t="shared" si="30"/>
        <v>0.28833606996111733</v>
      </c>
      <c r="AF94" s="49">
        <f t="shared" si="30"/>
        <v>0.53018829778094845</v>
      </c>
      <c r="AG94" s="54">
        <f t="shared" si="30"/>
        <v>0.10224396691360133</v>
      </c>
      <c r="AH94" s="40">
        <f t="shared" si="30"/>
        <v>0.10608398982071705</v>
      </c>
      <c r="AI94" s="59">
        <f t="shared" si="30"/>
        <v>0.2686518562291047</v>
      </c>
      <c r="AJ94" s="40">
        <f t="shared" si="30"/>
        <v>0.33677328826685099</v>
      </c>
      <c r="AK94" s="40">
        <f t="shared" si="30"/>
        <v>7.6235883388115752E-2</v>
      </c>
    </row>
    <row r="95" spans="2:37" x14ac:dyDescent="0.25">
      <c r="U95" s="1" t="s">
        <v>4</v>
      </c>
      <c r="V95" s="2">
        <f>_xlfn.STDEV.S(V45:V52)/SQRT(COUNT(V45:V52))</f>
        <v>0.35090702201655938</v>
      </c>
      <c r="W95" s="40">
        <f t="shared" ref="W95:AK95" si="31">_xlfn.STDEV.S(W45:W52)/SQRT(COUNT(W45:W52))</f>
        <v>0.32621088144839089</v>
      </c>
      <c r="X95" s="40">
        <f t="shared" si="31"/>
        <v>0.31924762486306102</v>
      </c>
      <c r="Y95" s="40">
        <f t="shared" si="31"/>
        <v>0.16904979439232348</v>
      </c>
      <c r="Z95" s="40">
        <f t="shared" si="31"/>
        <v>0.16879109319815877</v>
      </c>
      <c r="AA95" s="40">
        <f t="shared" si="31"/>
        <v>9.1525568274783864E-2</v>
      </c>
      <c r="AB95" s="40">
        <f t="shared" si="31"/>
        <v>0.11144571791689495</v>
      </c>
      <c r="AC95" s="49">
        <f t="shared" si="31"/>
        <v>7.3045023377519031E-2</v>
      </c>
      <c r="AD95" s="53">
        <f t="shared" si="31"/>
        <v>0.39312729063683044</v>
      </c>
      <c r="AE95" s="49">
        <f t="shared" si="31"/>
        <v>0.32893612459157218</v>
      </c>
      <c r="AF95" s="49">
        <f t="shared" si="31"/>
        <v>0.33088032100356135</v>
      </c>
      <c r="AG95" s="54">
        <f t="shared" si="31"/>
        <v>0.16904979439232348</v>
      </c>
      <c r="AH95" s="40">
        <f t="shared" si="31"/>
        <v>0.23113257883249216</v>
      </c>
      <c r="AI95" s="59">
        <f t="shared" si="31"/>
        <v>0.1074965048550168</v>
      </c>
      <c r="AJ95" s="40">
        <f t="shared" si="31"/>
        <v>0.15145919989025061</v>
      </c>
      <c r="AK95" s="40">
        <f t="shared" si="31"/>
        <v>9.140396989142012E-2</v>
      </c>
    </row>
    <row r="96" spans="2:37" x14ac:dyDescent="0.25">
      <c r="U96" s="1" t="s">
        <v>5</v>
      </c>
      <c r="V96" s="2">
        <f>_xlfn.STDEV.S(V53:V57)/SQRT(COUNT(V53:V57))</f>
        <v>0.31277572753492144</v>
      </c>
      <c r="W96" s="40">
        <f t="shared" ref="W96:AK96" si="32">_xlfn.STDEV.S(W53:W57)/SQRT(COUNT(W53:W57))</f>
        <v>0.35422573467072144</v>
      </c>
      <c r="X96" s="40">
        <f t="shared" si="32"/>
        <v>0.30447571319988459</v>
      </c>
      <c r="Y96" s="40">
        <f t="shared" si="32"/>
        <v>0.14444397209278897</v>
      </c>
      <c r="Z96" s="40">
        <f t="shared" si="32"/>
        <v>0.12751684265220539</v>
      </c>
      <c r="AA96" s="40">
        <f t="shared" si="32"/>
        <v>6.1249344161251731E-2</v>
      </c>
      <c r="AB96" s="40">
        <f t="shared" si="32"/>
        <v>0.1036731308026671</v>
      </c>
      <c r="AC96" s="49">
        <f t="shared" si="32"/>
        <v>4.6682320966215426E-2</v>
      </c>
      <c r="AD96" s="53">
        <f t="shared" si="32"/>
        <v>0.31676598207212442</v>
      </c>
      <c r="AE96" s="49">
        <f t="shared" si="32"/>
        <v>0.41186230850707661</v>
      </c>
      <c r="AF96" s="49">
        <f t="shared" si="32"/>
        <v>0.30133763488719922</v>
      </c>
      <c r="AG96" s="54">
        <f t="shared" si="32"/>
        <v>0.14444397209278897</v>
      </c>
      <c r="AH96" s="40">
        <f t="shared" si="32"/>
        <v>0.12751684265220539</v>
      </c>
      <c r="AI96" s="59">
        <f t="shared" si="32"/>
        <v>8.5843586350621517E-2</v>
      </c>
      <c r="AJ96" s="40">
        <f t="shared" si="32"/>
        <v>0.15024864555283129</v>
      </c>
      <c r="AK96" s="40">
        <f t="shared" si="32"/>
        <v>4.6682320966215426E-2</v>
      </c>
    </row>
    <row r="97" spans="2:37" x14ac:dyDescent="0.25">
      <c r="U97" s="1" t="s">
        <v>9</v>
      </c>
      <c r="V97" s="2">
        <f>_xlfn.STDEV.S(V58:V62)/SQRT(COUNT(V58:V62))</f>
        <v>0.27263186804699074</v>
      </c>
      <c r="W97" s="40">
        <f t="shared" ref="W97:AK97" si="33">_xlfn.STDEV.S(W58:W62)/SQRT(COUNT(W58:W62))</f>
        <v>0.38053044804464642</v>
      </c>
      <c r="X97" s="40">
        <f t="shared" si="33"/>
        <v>0.58373806814246054</v>
      </c>
      <c r="Y97" s="40">
        <f t="shared" si="33"/>
        <v>0.28199470142880229</v>
      </c>
      <c r="Z97" s="40">
        <f t="shared" si="33"/>
        <v>6.99938810937768E-2</v>
      </c>
      <c r="AA97" s="40">
        <f t="shared" si="33"/>
        <v>0.10735906828230188</v>
      </c>
      <c r="AB97" s="40">
        <f t="shared" si="33"/>
        <v>0.2065707874356911</v>
      </c>
      <c r="AC97" s="49">
        <f t="shared" si="33"/>
        <v>0</v>
      </c>
      <c r="AD97" s="53">
        <f t="shared" si="33"/>
        <v>0.31653564240468612</v>
      </c>
      <c r="AE97" s="49">
        <f t="shared" si="33"/>
        <v>0.43471754407421898</v>
      </c>
      <c r="AF97" s="49">
        <f t="shared" si="33"/>
        <v>0.58373806814246054</v>
      </c>
      <c r="AG97" s="54">
        <f t="shared" si="33"/>
        <v>0.28199470142880229</v>
      </c>
      <c r="AH97" s="40">
        <f t="shared" si="33"/>
        <v>6.99938810937768E-2</v>
      </c>
      <c r="AI97" s="59">
        <f t="shared" si="33"/>
        <v>0.10735906828230188</v>
      </c>
      <c r="AJ97" s="40">
        <f t="shared" si="33"/>
        <v>0.21066716431577756</v>
      </c>
      <c r="AK97" s="40">
        <f t="shared" si="33"/>
        <v>0</v>
      </c>
    </row>
    <row r="98" spans="2:37" x14ac:dyDescent="0.25">
      <c r="U98" s="1" t="s">
        <v>6</v>
      </c>
      <c r="V98" s="2">
        <f>_xlfn.STDEV.S(V63:V69)/SQRT(COUNT(V63:V69))</f>
        <v>0.24462924335329447</v>
      </c>
      <c r="W98" s="40">
        <f t="shared" ref="W98:AK98" si="34">_xlfn.STDEV.S(W63:W69)/SQRT(COUNT(W63:W69))</f>
        <v>0.41656456750796383</v>
      </c>
      <c r="X98" s="40">
        <f t="shared" si="34"/>
        <v>0.48225400372867722</v>
      </c>
      <c r="Y98" s="40">
        <f t="shared" si="34"/>
        <v>0.20107054847816991</v>
      </c>
      <c r="Z98" s="40">
        <f t="shared" si="34"/>
        <v>0.14427445669080854</v>
      </c>
      <c r="AA98" s="40">
        <f t="shared" si="34"/>
        <v>0.1342128295773502</v>
      </c>
      <c r="AB98" s="40">
        <f t="shared" si="34"/>
        <v>0.19957186511264563</v>
      </c>
      <c r="AC98" s="49">
        <f t="shared" si="34"/>
        <v>9.4902801916378718E-2</v>
      </c>
      <c r="AD98" s="53">
        <f t="shared" si="34"/>
        <v>0.26730487906483047</v>
      </c>
      <c r="AE98" s="49">
        <f t="shared" si="34"/>
        <v>0.44513359775998412</v>
      </c>
      <c r="AF98" s="49">
        <f t="shared" si="34"/>
        <v>0.4935351250517292</v>
      </c>
      <c r="AG98" s="54">
        <f t="shared" si="34"/>
        <v>0.22986600146157463</v>
      </c>
      <c r="AH98" s="40">
        <f t="shared" si="34"/>
        <v>0.21315018133953911</v>
      </c>
      <c r="AI98" s="59">
        <f t="shared" si="34"/>
        <v>0.22899364157275484</v>
      </c>
      <c r="AJ98" s="40">
        <f t="shared" si="34"/>
        <v>0.23799399304636867</v>
      </c>
      <c r="AK98" s="40">
        <f t="shared" si="34"/>
        <v>0.14217834832581239</v>
      </c>
    </row>
    <row r="99" spans="2:37" ht="15.75" thickBot="1" x14ac:dyDescent="0.3">
      <c r="U99" s="1" t="s">
        <v>7</v>
      </c>
      <c r="V99" s="2">
        <f>_xlfn.STDEV.S(V70:V76)/SQRT(COUNT(V70:V76))</f>
        <v>0.14427445669080868</v>
      </c>
      <c r="W99" s="40">
        <f t="shared" ref="W99:AK99" si="35">_xlfn.STDEV.S(W70:W76)/SQRT(COUNT(W70:W76))</f>
        <v>0.22591385585133281</v>
      </c>
      <c r="X99" s="40">
        <f t="shared" si="35"/>
        <v>0.31188243228027024</v>
      </c>
      <c r="Y99" s="40">
        <f t="shared" si="35"/>
        <v>5.8330706759314239E-2</v>
      </c>
      <c r="Z99" s="40">
        <f t="shared" si="35"/>
        <v>7.21372283454043E-2</v>
      </c>
      <c r="AA99" s="40">
        <f t="shared" si="35"/>
        <v>5.2934253846343697E-2</v>
      </c>
      <c r="AB99" s="40">
        <f t="shared" si="35"/>
        <v>0.14837786591999463</v>
      </c>
      <c r="AC99" s="49">
        <f t="shared" si="35"/>
        <v>3.4653603586696759E-2</v>
      </c>
      <c r="AD99" s="55">
        <f t="shared" si="35"/>
        <v>0.13716291451234741</v>
      </c>
      <c r="AE99" s="56">
        <f t="shared" si="35"/>
        <v>0.26391398221683421</v>
      </c>
      <c r="AF99" s="56">
        <f t="shared" si="35"/>
        <v>0.30342523272084715</v>
      </c>
      <c r="AG99" s="57">
        <f t="shared" si="35"/>
        <v>7.2137228345404189E-2</v>
      </c>
      <c r="AH99" s="40">
        <f t="shared" si="35"/>
        <v>7.3511394266111266E-2</v>
      </c>
      <c r="AI99" s="60">
        <f t="shared" si="35"/>
        <v>5.8330706759314295E-2</v>
      </c>
      <c r="AJ99" s="40">
        <f t="shared" si="35"/>
        <v>0.16619284447746305</v>
      </c>
      <c r="AK99" s="40">
        <f t="shared" si="35"/>
        <v>5.1008723339037797E-2</v>
      </c>
    </row>
    <row r="101" spans="2:37" x14ac:dyDescent="0.25">
      <c r="B101" s="1" t="s">
        <v>2</v>
      </c>
      <c r="C101">
        <f>D79/C79</f>
        <v>6.0831781502172562E-2</v>
      </c>
      <c r="U101" s="1" t="s">
        <v>72</v>
      </c>
      <c r="V101" s="3">
        <f>TTEST(V3:V10,V11:V18,2,2)</f>
        <v>1.9306520585874086E-2</v>
      </c>
      <c r="W101" s="3">
        <f t="shared" ref="W101:AK101" si="36">TTEST(W3:W10,W11:W18,2,2)</f>
        <v>7.8301519896601147E-3</v>
      </c>
      <c r="X101" s="3">
        <f t="shared" si="36"/>
        <v>0.22651370743182045</v>
      </c>
      <c r="Y101" s="3">
        <f t="shared" si="36"/>
        <v>9.189988303012828E-3</v>
      </c>
      <c r="Z101" s="3">
        <f t="shared" si="36"/>
        <v>8.5506864492344556E-2</v>
      </c>
      <c r="AA101" s="3">
        <f t="shared" si="36"/>
        <v>1.1679476615271082E-3</v>
      </c>
      <c r="AB101" s="3">
        <f t="shared" si="36"/>
        <v>0.64965246130645538</v>
      </c>
      <c r="AC101" s="28">
        <f t="shared" si="36"/>
        <v>0.44562432601146595</v>
      </c>
      <c r="AD101" s="3">
        <f t="shared" si="36"/>
        <v>3.067908099979216E-2</v>
      </c>
      <c r="AE101" s="3">
        <f t="shared" si="36"/>
        <v>1.3810392548039773E-2</v>
      </c>
      <c r="AF101" s="3">
        <f t="shared" si="36"/>
        <v>0.22518579973164671</v>
      </c>
      <c r="AG101" s="3">
        <f t="shared" si="36"/>
        <v>1.2000155292419417E-2</v>
      </c>
      <c r="AH101" s="3">
        <f t="shared" si="36"/>
        <v>7.4942210601210382E-2</v>
      </c>
      <c r="AI101" s="3">
        <f t="shared" si="36"/>
        <v>1.6808505263270726E-3</v>
      </c>
      <c r="AJ101" s="3">
        <f t="shared" si="36"/>
        <v>0.94781725466080546</v>
      </c>
      <c r="AK101" s="3">
        <f t="shared" si="36"/>
        <v>0.52456104409866766</v>
      </c>
    </row>
    <row r="102" spans="2:37" x14ac:dyDescent="0.25">
      <c r="B102" s="1" t="s">
        <v>3</v>
      </c>
      <c r="C102">
        <f t="shared" ref="C102:C110" si="37">D80/C80</f>
        <v>4.1416791604197901E-2</v>
      </c>
      <c r="U102" s="1" t="s">
        <v>73</v>
      </c>
      <c r="V102" s="3">
        <f>TTEST(V3:V10,V27:V35,2,2)</f>
        <v>6.4537531650339284E-4</v>
      </c>
      <c r="W102" s="3">
        <f t="shared" ref="W102:AK102" si="38">TTEST(W3:W10,W27:W35,2,2)</f>
        <v>3.7080248104220288E-2</v>
      </c>
      <c r="X102" s="3">
        <f t="shared" si="38"/>
        <v>0.54637448464930127</v>
      </c>
      <c r="Y102" s="3">
        <f t="shared" si="38"/>
        <v>2.5185919742282185E-2</v>
      </c>
      <c r="Z102" s="3">
        <f t="shared" si="38"/>
        <v>0.1010637702595813</v>
      </c>
      <c r="AA102" s="3">
        <f t="shared" si="38"/>
        <v>6.7947006176443669E-2</v>
      </c>
      <c r="AB102" s="3">
        <f t="shared" si="38"/>
        <v>0.32932412418444579</v>
      </c>
      <c r="AC102" s="28">
        <f t="shared" si="38"/>
        <v>0.78752846594275216</v>
      </c>
      <c r="AD102" s="3">
        <f t="shared" si="38"/>
        <v>3.9909315255347956E-4</v>
      </c>
      <c r="AE102" s="3">
        <f t="shared" si="38"/>
        <v>6.3249416743206249E-2</v>
      </c>
      <c r="AF102" s="3">
        <f t="shared" si="38"/>
        <v>0.45081211516212716</v>
      </c>
      <c r="AG102" s="3">
        <f t="shared" si="38"/>
        <v>3.8256688316775721E-2</v>
      </c>
      <c r="AH102" s="3">
        <f t="shared" si="38"/>
        <v>0.15724512944193034</v>
      </c>
      <c r="AI102" s="3">
        <f>TTEST(AI3:AI10,AI27:AI35,2,2)</f>
        <v>0.17050806784663133</v>
      </c>
      <c r="AJ102" s="3">
        <f t="shared" si="38"/>
        <v>0.17340712341259279</v>
      </c>
      <c r="AK102" s="3">
        <f t="shared" si="38"/>
        <v>0.93378827336469894</v>
      </c>
    </row>
    <row r="103" spans="2:37" x14ac:dyDescent="0.25">
      <c r="B103" s="1" t="s">
        <v>8</v>
      </c>
      <c r="C103">
        <f t="shared" si="37"/>
        <v>4.4616519174041296E-2</v>
      </c>
      <c r="U103" s="1" t="s">
        <v>76</v>
      </c>
      <c r="V103" s="3">
        <f>TTEST(V11:V18,V27:V35,2,2)</f>
        <v>0.4729415064203657</v>
      </c>
      <c r="W103" s="3">
        <f t="shared" ref="W103:AK103" si="39">TTEST(W11:W18,W27:W35,2,2)</f>
        <v>0.77508485289277862</v>
      </c>
      <c r="X103" s="3">
        <f t="shared" si="39"/>
        <v>0.63500606990295982</v>
      </c>
      <c r="Y103" s="3">
        <f t="shared" si="39"/>
        <v>0.39590393348596864</v>
      </c>
      <c r="Z103" s="3">
        <f t="shared" si="39"/>
        <v>0.91616304159330264</v>
      </c>
      <c r="AA103" s="3">
        <f t="shared" si="39"/>
        <v>0.35909414082458568</v>
      </c>
      <c r="AB103" s="3">
        <f t="shared" si="39"/>
        <v>0.19475137825378336</v>
      </c>
      <c r="AC103" s="28">
        <f t="shared" si="39"/>
        <v>0.58390588476571992</v>
      </c>
      <c r="AD103" s="3">
        <f t="shared" si="39"/>
        <v>0.42835175067754816</v>
      </c>
      <c r="AE103" s="3">
        <f t="shared" si="39"/>
        <v>0.75529207283389366</v>
      </c>
      <c r="AF103" s="3">
        <f t="shared" si="39"/>
        <v>0.67407140289093037</v>
      </c>
      <c r="AG103" s="3">
        <f t="shared" si="39"/>
        <v>0.32375493202645955</v>
      </c>
      <c r="AH103" s="3">
        <f t="shared" si="39"/>
        <v>0.59916659728538546</v>
      </c>
      <c r="AI103" s="3">
        <f t="shared" si="39"/>
        <v>0.29737243833980553</v>
      </c>
      <c r="AJ103" s="3">
        <f t="shared" si="39"/>
        <v>0.17895555527121146</v>
      </c>
      <c r="AK103" s="3">
        <f t="shared" si="39"/>
        <v>0.47464450990978391</v>
      </c>
    </row>
    <row r="104" spans="2:37" x14ac:dyDescent="0.25">
      <c r="B104" s="1" t="s">
        <v>0</v>
      </c>
      <c r="C104">
        <f t="shared" si="37"/>
        <v>3.7531437415360802E-2</v>
      </c>
      <c r="U104" s="1" t="s">
        <v>75</v>
      </c>
      <c r="V104" s="3">
        <f>TTEST(V11:V18,V36:V44,2,2)</f>
        <v>2.176710570823439E-2</v>
      </c>
      <c r="W104" s="3">
        <f t="shared" ref="W104:AK104" si="40">TTEST(W11:W18,W36:W44,2,2)</f>
        <v>8.6088137199526432E-2</v>
      </c>
      <c r="X104" s="3">
        <f t="shared" si="40"/>
        <v>0.34893477301394782</v>
      </c>
      <c r="Y104" s="3">
        <f t="shared" si="40"/>
        <v>0.31850888950471667</v>
      </c>
      <c r="Z104" s="3">
        <f t="shared" si="40"/>
        <v>0.99721334365991299</v>
      </c>
      <c r="AA104" s="3">
        <f t="shared" si="40"/>
        <v>0.49630581940319429</v>
      </c>
      <c r="AB104" s="3">
        <f t="shared" si="40"/>
        <v>7.3990792099328503E-2</v>
      </c>
      <c r="AC104" s="28">
        <f t="shared" si="40"/>
        <v>0.36680063253136652</v>
      </c>
      <c r="AD104" s="3">
        <f t="shared" si="40"/>
        <v>2.269528587915845E-2</v>
      </c>
      <c r="AE104" s="3">
        <f t="shared" si="40"/>
        <v>8.4650380299187367E-2</v>
      </c>
      <c r="AF104" s="3">
        <f t="shared" si="40"/>
        <v>0.3863446497041404</v>
      </c>
      <c r="AG104" s="3">
        <f t="shared" si="40"/>
        <v>0.30106214630924699</v>
      </c>
      <c r="AH104" s="3">
        <f t="shared" si="40"/>
        <v>0.84001168306958507</v>
      </c>
      <c r="AI104" s="3">
        <f t="shared" si="40"/>
        <v>0.54242487734392619</v>
      </c>
      <c r="AJ104" s="3">
        <f t="shared" si="40"/>
        <v>0.15882526357369067</v>
      </c>
      <c r="AK104" s="3">
        <f t="shared" si="40"/>
        <v>0.56535914009328647</v>
      </c>
    </row>
    <row r="105" spans="2:37" x14ac:dyDescent="0.25">
      <c r="B105" s="1" t="s">
        <v>1</v>
      </c>
      <c r="C105">
        <f t="shared" si="37"/>
        <v>2.6953655225906537E-2</v>
      </c>
      <c r="V105" s="3"/>
      <c r="W105" s="3"/>
      <c r="X105" s="3"/>
      <c r="Y105" s="3"/>
      <c r="Z105" s="3"/>
      <c r="AA105" s="3"/>
      <c r="AB105" s="3"/>
      <c r="AC105" s="28"/>
      <c r="AD105" s="3"/>
      <c r="AE105" s="3"/>
      <c r="AF105" s="3"/>
      <c r="AG105" s="3"/>
      <c r="AH105" s="3"/>
      <c r="AI105" s="3"/>
      <c r="AJ105" s="3"/>
      <c r="AK105" s="3"/>
    </row>
    <row r="106" spans="2:37" x14ac:dyDescent="0.25">
      <c r="B106" s="1" t="s">
        <v>4</v>
      </c>
      <c r="C106">
        <f t="shared" si="37"/>
        <v>2.4811877160870448E-2</v>
      </c>
      <c r="U106" s="1" t="s">
        <v>74</v>
      </c>
      <c r="V106" s="3">
        <f>TTEST(V45:V52,V63:V69,2,2)</f>
        <v>0.31242291360955493</v>
      </c>
      <c r="W106" s="3">
        <f t="shared" ref="W106:AK106" si="41">TTEST(W45:W52,W63:W69,2,2)</f>
        <v>0.45219338247256813</v>
      </c>
      <c r="X106" s="3">
        <f t="shared" si="41"/>
        <v>0.27432123701905209</v>
      </c>
      <c r="Y106" s="3">
        <f t="shared" si="41"/>
        <v>0.62497942445067967</v>
      </c>
      <c r="Z106" s="3">
        <f t="shared" si="41"/>
        <v>0.83993209195344443</v>
      </c>
      <c r="AA106" s="3">
        <f t="shared" si="41"/>
        <v>0.56494663365511688</v>
      </c>
      <c r="AB106" s="3">
        <f t="shared" si="41"/>
        <v>8.3262709272790794E-2</v>
      </c>
      <c r="AC106" s="28">
        <f t="shared" si="41"/>
        <v>0.90590700121808343</v>
      </c>
      <c r="AD106" s="3">
        <f t="shared" si="41"/>
        <v>0.41146433231148072</v>
      </c>
      <c r="AE106" s="3">
        <f t="shared" si="41"/>
        <v>0.40801024072043934</v>
      </c>
      <c r="AF106" s="3">
        <f t="shared" si="41"/>
        <v>0.23447562910050862</v>
      </c>
      <c r="AG106" s="3">
        <f t="shared" si="41"/>
        <v>0.53332589728021396</v>
      </c>
      <c r="AH106" s="3">
        <f t="shared" si="41"/>
        <v>0.86637336818565269</v>
      </c>
      <c r="AI106" s="3">
        <f t="shared" si="41"/>
        <v>0.92386429371098533</v>
      </c>
      <c r="AJ106" s="3">
        <f t="shared" si="41"/>
        <v>9.8036508964198257E-2</v>
      </c>
      <c r="AK106" s="3">
        <f t="shared" si="41"/>
        <v>0.96677856492524716</v>
      </c>
    </row>
    <row r="107" spans="2:37" x14ac:dyDescent="0.25">
      <c r="B107" s="1" t="s">
        <v>5</v>
      </c>
      <c r="C107">
        <f t="shared" si="37"/>
        <v>1.6504126031507877E-2</v>
      </c>
    </row>
    <row r="108" spans="2:37" x14ac:dyDescent="0.25">
      <c r="B108" s="1" t="s">
        <v>9</v>
      </c>
      <c r="C108">
        <f t="shared" si="37"/>
        <v>3.2732622287605741E-2</v>
      </c>
    </row>
    <row r="109" spans="2:37" x14ac:dyDescent="0.25">
      <c r="B109" s="1" t="s">
        <v>6</v>
      </c>
      <c r="C109">
        <f t="shared" si="37"/>
        <v>2.7934329821122272E-2</v>
      </c>
    </row>
    <row r="110" spans="2:37" x14ac:dyDescent="0.25">
      <c r="B110" s="1" t="s">
        <v>7</v>
      </c>
      <c r="C110">
        <f t="shared" si="37"/>
        <v>1.8132810585640775E-2</v>
      </c>
    </row>
  </sheetData>
  <mergeCells count="14">
    <mergeCell ref="A63:A69"/>
    <mergeCell ref="A70:A76"/>
    <mergeCell ref="A19:A26"/>
    <mergeCell ref="A27:A35"/>
    <mergeCell ref="A36:A44"/>
    <mergeCell ref="A45:A52"/>
    <mergeCell ref="A53:A57"/>
    <mergeCell ref="A58:A62"/>
    <mergeCell ref="D1:K1"/>
    <mergeCell ref="L1:S1"/>
    <mergeCell ref="V1:AC1"/>
    <mergeCell ref="AD1:AK1"/>
    <mergeCell ref="A3:A10"/>
    <mergeCell ref="A11:A18"/>
  </mergeCells>
  <conditionalFormatting sqref="V101:AK104 V106:AK106">
    <cfRule type="cellIs" dxfId="0" priority="1" operator="lessThan">
      <formula>0.05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SlowSpi</vt:lpstr>
      <vt:lpstr>BroadBdSpi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2017-04-06T09:10:04Z</dcterms:modified>
</cp:coreProperties>
</file>