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40" yWindow="105" windowWidth="14805" windowHeight="8010"/>
  </bookViews>
  <sheets>
    <sheet name="SlowSpi" sheetId="39" r:id="rId1"/>
    <sheet name="BroadBdSpi" sheetId="40" r:id="rId2"/>
  </sheets>
  <calcPr calcId="145621"/>
  <fileRecoveryPr repairLoad="1"/>
</workbook>
</file>

<file path=xl/calcChain.xml><?xml version="1.0" encoding="utf-8"?>
<calcChain xmlns="http://schemas.openxmlformats.org/spreadsheetml/2006/main">
  <c r="C101" i="40" l="1"/>
  <c r="G99" i="40"/>
  <c r="O98" i="40"/>
  <c r="G98" i="40"/>
  <c r="O97" i="40"/>
  <c r="G97" i="40"/>
  <c r="O96" i="40"/>
  <c r="G96" i="40"/>
  <c r="O95" i="40"/>
  <c r="G95" i="40"/>
  <c r="O94" i="40"/>
  <c r="G94" i="40"/>
  <c r="O93" i="40"/>
  <c r="G93" i="40"/>
  <c r="O92" i="40"/>
  <c r="G92" i="40"/>
  <c r="O88" i="40"/>
  <c r="N88" i="40"/>
  <c r="K88" i="40"/>
  <c r="J88" i="40"/>
  <c r="G88" i="40"/>
  <c r="F88" i="40"/>
  <c r="C99" i="40" s="1"/>
  <c r="C88" i="40"/>
  <c r="O87" i="40"/>
  <c r="N87" i="40"/>
  <c r="K87" i="40"/>
  <c r="J87" i="40"/>
  <c r="G87" i="40"/>
  <c r="F87" i="40"/>
  <c r="C98" i="40" s="1"/>
  <c r="C87" i="40"/>
  <c r="O86" i="40"/>
  <c r="N86" i="40"/>
  <c r="K86" i="40"/>
  <c r="J86" i="40"/>
  <c r="G86" i="40"/>
  <c r="F86" i="40"/>
  <c r="C86" i="40"/>
  <c r="C97" i="40" s="1"/>
  <c r="O85" i="40"/>
  <c r="N85" i="40"/>
  <c r="K85" i="40"/>
  <c r="J85" i="40"/>
  <c r="G85" i="40"/>
  <c r="F85" i="40"/>
  <c r="C96" i="40" s="1"/>
  <c r="C85" i="40"/>
  <c r="O84" i="40"/>
  <c r="N84" i="40"/>
  <c r="K84" i="40"/>
  <c r="J84" i="40"/>
  <c r="G84" i="40"/>
  <c r="F84" i="40"/>
  <c r="C95" i="40" s="1"/>
  <c r="C84" i="40"/>
  <c r="O83" i="40"/>
  <c r="N83" i="40"/>
  <c r="K83" i="40"/>
  <c r="J83" i="40"/>
  <c r="G83" i="40"/>
  <c r="F83" i="40"/>
  <c r="C94" i="40" s="1"/>
  <c r="C83" i="40"/>
  <c r="O82" i="40"/>
  <c r="N82" i="40"/>
  <c r="K82" i="40"/>
  <c r="J82" i="40"/>
  <c r="G82" i="40"/>
  <c r="F82" i="40"/>
  <c r="C82" i="40"/>
  <c r="C93" i="40" s="1"/>
  <c r="O81" i="40"/>
  <c r="N81" i="40"/>
  <c r="K81" i="40"/>
  <c r="J81" i="40"/>
  <c r="G81" i="40"/>
  <c r="F81" i="40"/>
  <c r="C81" i="40"/>
  <c r="O80" i="40"/>
  <c r="N80" i="40"/>
  <c r="K80" i="40"/>
  <c r="J80" i="40"/>
  <c r="G80" i="40"/>
  <c r="F80" i="40"/>
  <c r="C80" i="40"/>
  <c r="O79" i="40"/>
  <c r="N79" i="40"/>
  <c r="K79" i="40"/>
  <c r="J79" i="40"/>
  <c r="G79" i="40"/>
  <c r="F79" i="40"/>
  <c r="C79" i="40"/>
  <c r="AB77" i="40"/>
  <c r="AA77" i="40"/>
  <c r="Z77" i="40"/>
  <c r="Y77" i="40"/>
  <c r="X77" i="40"/>
  <c r="W77" i="40"/>
  <c r="V77" i="40"/>
  <c r="U77" i="40"/>
  <c r="T77" i="40"/>
  <c r="S77" i="40"/>
  <c r="R77" i="40"/>
  <c r="Q77" i="40"/>
  <c r="AB76" i="40"/>
  <c r="AA76" i="40"/>
  <c r="Z76" i="40"/>
  <c r="Y76" i="40"/>
  <c r="X76" i="40"/>
  <c r="W76" i="40"/>
  <c r="V76" i="40"/>
  <c r="U76" i="40"/>
  <c r="T76" i="40"/>
  <c r="S76" i="40"/>
  <c r="R76" i="40"/>
  <c r="Q76" i="40"/>
  <c r="AB75" i="40"/>
  <c r="AA75" i="40"/>
  <c r="Z75" i="40"/>
  <c r="Y75" i="40"/>
  <c r="X75" i="40"/>
  <c r="W75" i="40"/>
  <c r="V75" i="40"/>
  <c r="U75" i="40"/>
  <c r="T75" i="40"/>
  <c r="S75" i="40"/>
  <c r="R75" i="40"/>
  <c r="Q75" i="40"/>
  <c r="AB74" i="40"/>
  <c r="AA74" i="40"/>
  <c r="Z74" i="40"/>
  <c r="Y74" i="40"/>
  <c r="X74" i="40"/>
  <c r="W74" i="40"/>
  <c r="V74" i="40"/>
  <c r="U74" i="40"/>
  <c r="T74" i="40"/>
  <c r="S74" i="40"/>
  <c r="R74" i="40"/>
  <c r="Q74" i="40"/>
  <c r="AB73" i="40"/>
  <c r="AA73" i="40"/>
  <c r="Z73" i="40"/>
  <c r="Y73" i="40"/>
  <c r="X73" i="40"/>
  <c r="W73" i="40"/>
  <c r="V73" i="40"/>
  <c r="U73" i="40"/>
  <c r="T73" i="40"/>
  <c r="S73" i="40"/>
  <c r="R73" i="40"/>
  <c r="Q73" i="40"/>
  <c r="AB72" i="40"/>
  <c r="AA72" i="40"/>
  <c r="Z72" i="40"/>
  <c r="Y72" i="40"/>
  <c r="X72" i="40"/>
  <c r="W72" i="40"/>
  <c r="V72" i="40"/>
  <c r="U72" i="40"/>
  <c r="T72" i="40"/>
  <c r="S72" i="40"/>
  <c r="R72" i="40"/>
  <c r="Q72" i="40"/>
  <c r="AB71" i="40"/>
  <c r="AA71" i="40"/>
  <c r="Z71" i="40"/>
  <c r="Z88" i="40" s="1"/>
  <c r="Y71" i="40"/>
  <c r="X71" i="40"/>
  <c r="W71" i="40"/>
  <c r="V71" i="40"/>
  <c r="U71" i="40"/>
  <c r="U88" i="40" s="1"/>
  <c r="T71" i="40"/>
  <c r="S71" i="40"/>
  <c r="R71" i="40"/>
  <c r="R88" i="40" s="1"/>
  <c r="Q71" i="40"/>
  <c r="AB70" i="40"/>
  <c r="AA70" i="40"/>
  <c r="Z70" i="40"/>
  <c r="Y70" i="40"/>
  <c r="X70" i="40"/>
  <c r="W70" i="40"/>
  <c r="V70" i="40"/>
  <c r="U70" i="40"/>
  <c r="T70" i="40"/>
  <c r="S70" i="40"/>
  <c r="R70" i="40"/>
  <c r="Q70" i="40"/>
  <c r="AB69" i="40"/>
  <c r="AA69" i="40"/>
  <c r="Z69" i="40"/>
  <c r="Y69" i="40"/>
  <c r="X69" i="40"/>
  <c r="W69" i="40"/>
  <c r="V69" i="40"/>
  <c r="U69" i="40"/>
  <c r="T69" i="40"/>
  <c r="S69" i="40"/>
  <c r="R69" i="40"/>
  <c r="Q69" i="40"/>
  <c r="AB68" i="40"/>
  <c r="AA68" i="40"/>
  <c r="Z68" i="40"/>
  <c r="Y68" i="40"/>
  <c r="X68" i="40"/>
  <c r="W68" i="40"/>
  <c r="V68" i="40"/>
  <c r="U68" i="40"/>
  <c r="T68" i="40"/>
  <c r="S68" i="40"/>
  <c r="R68" i="40"/>
  <c r="Q68" i="40"/>
  <c r="AB67" i="40"/>
  <c r="AA67" i="40"/>
  <c r="Z67" i="40"/>
  <c r="Y67" i="40"/>
  <c r="X67" i="40"/>
  <c r="W67" i="40"/>
  <c r="V67" i="40"/>
  <c r="U67" i="40"/>
  <c r="T67" i="40"/>
  <c r="S67" i="40"/>
  <c r="R67" i="40"/>
  <c r="Q67" i="40"/>
  <c r="AB66" i="40"/>
  <c r="AA66" i="40"/>
  <c r="Z66" i="40"/>
  <c r="Y66" i="40"/>
  <c r="X66" i="40"/>
  <c r="W66" i="40"/>
  <c r="V66" i="40"/>
  <c r="U66" i="40"/>
  <c r="T66" i="40"/>
  <c r="S66" i="40"/>
  <c r="R66" i="40"/>
  <c r="Q66" i="40"/>
  <c r="AB65" i="40"/>
  <c r="AA65" i="40"/>
  <c r="Z65" i="40"/>
  <c r="Y65" i="40"/>
  <c r="X65" i="40"/>
  <c r="W65" i="40"/>
  <c r="V65" i="40"/>
  <c r="U65" i="40"/>
  <c r="T65" i="40"/>
  <c r="S65" i="40"/>
  <c r="R65" i="40"/>
  <c r="Q65" i="40"/>
  <c r="AB64" i="40"/>
  <c r="AA64" i="40"/>
  <c r="Z64" i="40"/>
  <c r="Z87" i="40" s="1"/>
  <c r="Y64" i="40"/>
  <c r="Y87" i="40" s="1"/>
  <c r="X64" i="40"/>
  <c r="W64" i="40"/>
  <c r="V64" i="40"/>
  <c r="V87" i="40" s="1"/>
  <c r="U64" i="40"/>
  <c r="U87" i="40" s="1"/>
  <c r="T64" i="40"/>
  <c r="S64" i="40"/>
  <c r="R64" i="40"/>
  <c r="R87" i="40" s="1"/>
  <c r="Q64" i="40"/>
  <c r="Q87" i="40" s="1"/>
  <c r="AB63" i="40"/>
  <c r="AA63" i="40"/>
  <c r="Z63" i="40"/>
  <c r="Y63" i="40"/>
  <c r="X63" i="40"/>
  <c r="W63" i="40"/>
  <c r="V63" i="40"/>
  <c r="U63" i="40"/>
  <c r="T63" i="40"/>
  <c r="S63" i="40"/>
  <c r="R63" i="40"/>
  <c r="Q63" i="40"/>
  <c r="AB62" i="40"/>
  <c r="AA62" i="40"/>
  <c r="Z62" i="40"/>
  <c r="Y62" i="40"/>
  <c r="X62" i="40"/>
  <c r="W62" i="40"/>
  <c r="V62" i="40"/>
  <c r="U62" i="40"/>
  <c r="T62" i="40"/>
  <c r="S62" i="40"/>
  <c r="R62" i="40"/>
  <c r="Q62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AB60" i="40"/>
  <c r="AA60" i="40"/>
  <c r="Z60" i="40"/>
  <c r="Y60" i="40"/>
  <c r="X60" i="40"/>
  <c r="W60" i="40"/>
  <c r="V60" i="40"/>
  <c r="U60" i="40"/>
  <c r="T60" i="40"/>
  <c r="S60" i="40"/>
  <c r="R60" i="40"/>
  <c r="Q60" i="40"/>
  <c r="AB59" i="40"/>
  <c r="AA59" i="40"/>
  <c r="Z59" i="40"/>
  <c r="Z86" i="40" s="1"/>
  <c r="Y59" i="40"/>
  <c r="Y86" i="40" s="1"/>
  <c r="X59" i="40"/>
  <c r="W59" i="40"/>
  <c r="V59" i="40"/>
  <c r="V86" i="40" s="1"/>
  <c r="U59" i="40"/>
  <c r="U86" i="40" s="1"/>
  <c r="T59" i="40"/>
  <c r="S59" i="40"/>
  <c r="R59" i="40"/>
  <c r="R86" i="40" s="1"/>
  <c r="Q59" i="40"/>
  <c r="Q86" i="40" s="1"/>
  <c r="AB58" i="40"/>
  <c r="AA58" i="40"/>
  <c r="Z58" i="40"/>
  <c r="Y58" i="40"/>
  <c r="X58" i="40"/>
  <c r="W58" i="40"/>
  <c r="V58" i="40"/>
  <c r="U58" i="40"/>
  <c r="T58" i="40"/>
  <c r="S58" i="40"/>
  <c r="R58" i="40"/>
  <c r="Q58" i="40"/>
  <c r="AB57" i="40"/>
  <c r="AA57" i="40"/>
  <c r="Z57" i="40"/>
  <c r="Y57" i="40"/>
  <c r="X57" i="40"/>
  <c r="W57" i="40"/>
  <c r="V57" i="40"/>
  <c r="U57" i="40"/>
  <c r="T57" i="40"/>
  <c r="S57" i="40"/>
  <c r="R57" i="40"/>
  <c r="Q57" i="40"/>
  <c r="AB56" i="40"/>
  <c r="AA56" i="40"/>
  <c r="Z56" i="40"/>
  <c r="Y56" i="40"/>
  <c r="X56" i="40"/>
  <c r="W56" i="40"/>
  <c r="V56" i="40"/>
  <c r="U56" i="40"/>
  <c r="T56" i="40"/>
  <c r="S56" i="40"/>
  <c r="R56" i="40"/>
  <c r="Q56" i="40"/>
  <c r="AB55" i="40"/>
  <c r="AA55" i="40"/>
  <c r="Z55" i="40"/>
  <c r="Y55" i="40"/>
  <c r="X55" i="40"/>
  <c r="W55" i="40"/>
  <c r="V55" i="40"/>
  <c r="U55" i="40"/>
  <c r="T55" i="40"/>
  <c r="S55" i="40"/>
  <c r="R55" i="40"/>
  <c r="Q55" i="40"/>
  <c r="AB54" i="40"/>
  <c r="AA54" i="40"/>
  <c r="Z54" i="40"/>
  <c r="Z85" i="40" s="1"/>
  <c r="Y54" i="40"/>
  <c r="Y85" i="40" s="1"/>
  <c r="X54" i="40"/>
  <c r="W54" i="40"/>
  <c r="V54" i="40"/>
  <c r="V85" i="40" s="1"/>
  <c r="U54" i="40"/>
  <c r="U85" i="40" s="1"/>
  <c r="T54" i="40"/>
  <c r="S54" i="40"/>
  <c r="R54" i="40"/>
  <c r="R85" i="40" s="1"/>
  <c r="Q54" i="40"/>
  <c r="Q85" i="40" s="1"/>
  <c r="AB53" i="40"/>
  <c r="AA53" i="40"/>
  <c r="Z53" i="40"/>
  <c r="Y53" i="40"/>
  <c r="X53" i="40"/>
  <c r="W53" i="40"/>
  <c r="V53" i="40"/>
  <c r="U53" i="40"/>
  <c r="T53" i="40"/>
  <c r="S53" i="40"/>
  <c r="R53" i="40"/>
  <c r="Q53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AB50" i="40"/>
  <c r="AA50" i="40"/>
  <c r="Z50" i="40"/>
  <c r="Y50" i="40"/>
  <c r="X50" i="40"/>
  <c r="W50" i="40"/>
  <c r="V50" i="40"/>
  <c r="U50" i="40"/>
  <c r="T50" i="40"/>
  <c r="S50" i="40"/>
  <c r="R50" i="40"/>
  <c r="Q50" i="40"/>
  <c r="AB49" i="40"/>
  <c r="AA49" i="40"/>
  <c r="Z49" i="40"/>
  <c r="Y49" i="40"/>
  <c r="X49" i="40"/>
  <c r="W49" i="40"/>
  <c r="V49" i="40"/>
  <c r="U49" i="40"/>
  <c r="T49" i="40"/>
  <c r="S49" i="40"/>
  <c r="R49" i="40"/>
  <c r="Q49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AB46" i="40"/>
  <c r="AA46" i="40"/>
  <c r="Z46" i="40"/>
  <c r="Z84" i="40" s="1"/>
  <c r="Y46" i="40"/>
  <c r="Y84" i="40" s="1"/>
  <c r="X46" i="40"/>
  <c r="W46" i="40"/>
  <c r="V46" i="40"/>
  <c r="U46" i="40"/>
  <c r="U84" i="40" s="1"/>
  <c r="T46" i="40"/>
  <c r="S46" i="40"/>
  <c r="R46" i="40"/>
  <c r="R84" i="40" s="1"/>
  <c r="Q46" i="40"/>
  <c r="Q84" i="40" s="1"/>
  <c r="AB45" i="40"/>
  <c r="AA45" i="40"/>
  <c r="Z45" i="40"/>
  <c r="Y45" i="40"/>
  <c r="X45" i="40"/>
  <c r="W45" i="40"/>
  <c r="V45" i="40"/>
  <c r="U45" i="40"/>
  <c r="T45" i="40"/>
  <c r="S45" i="40"/>
  <c r="R45" i="40"/>
  <c r="Q45" i="40"/>
  <c r="AB44" i="40"/>
  <c r="AA44" i="40"/>
  <c r="Z44" i="40"/>
  <c r="Y44" i="40"/>
  <c r="X44" i="40"/>
  <c r="W44" i="40"/>
  <c r="V44" i="40"/>
  <c r="U44" i="40"/>
  <c r="T44" i="40"/>
  <c r="S44" i="40"/>
  <c r="R44" i="40"/>
  <c r="Q44" i="40"/>
  <c r="AB43" i="40"/>
  <c r="AA43" i="40"/>
  <c r="Z43" i="40"/>
  <c r="Y43" i="40"/>
  <c r="X43" i="40"/>
  <c r="W43" i="40"/>
  <c r="V43" i="40"/>
  <c r="U43" i="40"/>
  <c r="T43" i="40"/>
  <c r="S43" i="40"/>
  <c r="R43" i="40"/>
  <c r="Q43" i="40"/>
  <c r="AB42" i="40"/>
  <c r="AA42" i="40"/>
  <c r="Z42" i="40"/>
  <c r="Y42" i="40"/>
  <c r="X42" i="40"/>
  <c r="W42" i="40"/>
  <c r="V42" i="40"/>
  <c r="U42" i="40"/>
  <c r="T42" i="40"/>
  <c r="S42" i="40"/>
  <c r="R42" i="40"/>
  <c r="Q42" i="40"/>
  <c r="AB41" i="40"/>
  <c r="AA41" i="40"/>
  <c r="Z41" i="40"/>
  <c r="Y41" i="40"/>
  <c r="X41" i="40"/>
  <c r="W41" i="40"/>
  <c r="V41" i="40"/>
  <c r="U41" i="40"/>
  <c r="T41" i="40"/>
  <c r="S41" i="40"/>
  <c r="R41" i="40"/>
  <c r="Q41" i="40"/>
  <c r="AB40" i="40"/>
  <c r="AA40" i="40"/>
  <c r="Z40" i="40"/>
  <c r="Y40" i="40"/>
  <c r="X40" i="40"/>
  <c r="W40" i="40"/>
  <c r="V40" i="40"/>
  <c r="U40" i="40"/>
  <c r="T40" i="40"/>
  <c r="S40" i="40"/>
  <c r="R40" i="40"/>
  <c r="Q40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AB38" i="40"/>
  <c r="AA38" i="40"/>
  <c r="Z38" i="40"/>
  <c r="Y38" i="40"/>
  <c r="X38" i="40"/>
  <c r="W38" i="40"/>
  <c r="V38" i="40"/>
  <c r="U38" i="40"/>
  <c r="T38" i="40"/>
  <c r="S38" i="40"/>
  <c r="R38" i="40"/>
  <c r="Q38" i="40"/>
  <c r="AB37" i="40"/>
  <c r="AA37" i="40"/>
  <c r="Z37" i="40"/>
  <c r="Z83" i="40" s="1"/>
  <c r="Y37" i="40"/>
  <c r="Y83" i="40" s="1"/>
  <c r="X37" i="40"/>
  <c r="W37" i="40"/>
  <c r="V37" i="40"/>
  <c r="V83" i="40" s="1"/>
  <c r="U37" i="40"/>
  <c r="U83" i="40" s="1"/>
  <c r="T37" i="40"/>
  <c r="S37" i="40"/>
  <c r="R37" i="40"/>
  <c r="R83" i="40" s="1"/>
  <c r="Q37" i="40"/>
  <c r="Q83" i="40" s="1"/>
  <c r="AB36" i="40"/>
  <c r="AA36" i="40"/>
  <c r="Z36" i="40"/>
  <c r="Y36" i="40"/>
  <c r="X36" i="40"/>
  <c r="W36" i="40"/>
  <c r="V36" i="40"/>
  <c r="U36" i="40"/>
  <c r="T36" i="40"/>
  <c r="S36" i="40"/>
  <c r="R36" i="40"/>
  <c r="Q36" i="40"/>
  <c r="AB35" i="40"/>
  <c r="AA35" i="40"/>
  <c r="Z35" i="40"/>
  <c r="Y35" i="40"/>
  <c r="X35" i="40"/>
  <c r="W35" i="40"/>
  <c r="V35" i="40"/>
  <c r="U35" i="40"/>
  <c r="T35" i="40"/>
  <c r="S35" i="40"/>
  <c r="R35" i="40"/>
  <c r="Q35" i="40"/>
  <c r="AB34" i="40"/>
  <c r="AA34" i="40"/>
  <c r="Z34" i="40"/>
  <c r="Y34" i="40"/>
  <c r="X34" i="40"/>
  <c r="W34" i="40"/>
  <c r="V34" i="40"/>
  <c r="U34" i="40"/>
  <c r="T34" i="40"/>
  <c r="S34" i="40"/>
  <c r="R34" i="40"/>
  <c r="Q34" i="40"/>
  <c r="AB33" i="40"/>
  <c r="AA33" i="40"/>
  <c r="Z33" i="40"/>
  <c r="Y33" i="40"/>
  <c r="X33" i="40"/>
  <c r="W33" i="40"/>
  <c r="V33" i="40"/>
  <c r="U33" i="40"/>
  <c r="T33" i="40"/>
  <c r="S33" i="40"/>
  <c r="R33" i="40"/>
  <c r="Q33" i="40"/>
  <c r="AB32" i="40"/>
  <c r="AA32" i="40"/>
  <c r="Z32" i="40"/>
  <c r="Y32" i="40"/>
  <c r="X32" i="40"/>
  <c r="W32" i="40"/>
  <c r="V32" i="40"/>
  <c r="U32" i="40"/>
  <c r="T32" i="40"/>
  <c r="S32" i="40"/>
  <c r="R32" i="40"/>
  <c r="Q32" i="40"/>
  <c r="AB31" i="40"/>
  <c r="AA31" i="40"/>
  <c r="Z31" i="40"/>
  <c r="Y31" i="40"/>
  <c r="X31" i="40"/>
  <c r="W31" i="40"/>
  <c r="V31" i="40"/>
  <c r="U31" i="40"/>
  <c r="T31" i="40"/>
  <c r="S31" i="40"/>
  <c r="R31" i="40"/>
  <c r="Q31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AB28" i="40"/>
  <c r="AA28" i="40"/>
  <c r="Z28" i="40"/>
  <c r="Z82" i="40" s="1"/>
  <c r="Y28" i="40"/>
  <c r="Y82" i="40" s="1"/>
  <c r="X28" i="40"/>
  <c r="W28" i="40"/>
  <c r="V28" i="40"/>
  <c r="V82" i="40" s="1"/>
  <c r="U28" i="40"/>
  <c r="U82" i="40" s="1"/>
  <c r="T28" i="40"/>
  <c r="S28" i="40"/>
  <c r="R28" i="40"/>
  <c r="R82" i="40" s="1"/>
  <c r="Q28" i="40"/>
  <c r="Q82" i="40" s="1"/>
  <c r="AB27" i="40"/>
  <c r="AA27" i="40"/>
  <c r="Z27" i="40"/>
  <c r="Y27" i="40"/>
  <c r="X27" i="40"/>
  <c r="W27" i="40"/>
  <c r="V27" i="40"/>
  <c r="U27" i="40"/>
  <c r="T27" i="40"/>
  <c r="S27" i="40"/>
  <c r="R27" i="40"/>
  <c r="Q27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AB20" i="40"/>
  <c r="AA20" i="40"/>
  <c r="Z20" i="40"/>
  <c r="Z81" i="40" s="1"/>
  <c r="Y20" i="40"/>
  <c r="Y81" i="40" s="1"/>
  <c r="X20" i="40"/>
  <c r="W20" i="40"/>
  <c r="V20" i="40"/>
  <c r="V81" i="40" s="1"/>
  <c r="U20" i="40"/>
  <c r="U81" i="40" s="1"/>
  <c r="T20" i="40"/>
  <c r="S20" i="40"/>
  <c r="R20" i="40"/>
  <c r="R81" i="40" s="1"/>
  <c r="Q20" i="40"/>
  <c r="Q81" i="40" s="1"/>
  <c r="AB19" i="40"/>
  <c r="AA19" i="40"/>
  <c r="Z19" i="40"/>
  <c r="Y19" i="40"/>
  <c r="X19" i="40"/>
  <c r="W19" i="40"/>
  <c r="V19" i="40"/>
  <c r="U19" i="40"/>
  <c r="T19" i="40"/>
  <c r="S19" i="40"/>
  <c r="R19" i="40"/>
  <c r="Q19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AB12" i="40"/>
  <c r="AA12" i="40"/>
  <c r="Z12" i="40"/>
  <c r="Z80" i="40" s="1"/>
  <c r="Y12" i="40"/>
  <c r="Y80" i="40" s="1"/>
  <c r="X12" i="40"/>
  <c r="W12" i="40"/>
  <c r="V12" i="40"/>
  <c r="V80" i="40" s="1"/>
  <c r="U12" i="40"/>
  <c r="U80" i="40" s="1"/>
  <c r="T12" i="40"/>
  <c r="S12" i="40"/>
  <c r="R12" i="40"/>
  <c r="R80" i="40" s="1"/>
  <c r="Q12" i="40"/>
  <c r="Q80" i="40" s="1"/>
  <c r="AB11" i="40"/>
  <c r="AA11" i="40"/>
  <c r="Z11" i="40"/>
  <c r="Y11" i="40"/>
  <c r="X11" i="40"/>
  <c r="W11" i="40"/>
  <c r="V11" i="40"/>
  <c r="U11" i="40"/>
  <c r="T11" i="40"/>
  <c r="S11" i="40"/>
  <c r="R11" i="40"/>
  <c r="Q11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AB9" i="40"/>
  <c r="AA9" i="40"/>
  <c r="Z9" i="40"/>
  <c r="Y9" i="40"/>
  <c r="X9" i="40"/>
  <c r="W9" i="40"/>
  <c r="V9" i="40"/>
  <c r="U9" i="40"/>
  <c r="T9" i="40"/>
  <c r="S9" i="40"/>
  <c r="R9" i="40"/>
  <c r="Q9" i="40"/>
  <c r="AB8" i="40"/>
  <c r="AA8" i="40"/>
  <c r="Z8" i="40"/>
  <c r="Y8" i="40"/>
  <c r="X8" i="40"/>
  <c r="W8" i="40"/>
  <c r="V8" i="40"/>
  <c r="U8" i="40"/>
  <c r="T8" i="40"/>
  <c r="S8" i="40"/>
  <c r="R8" i="40"/>
  <c r="Q8" i="40"/>
  <c r="AB7" i="40"/>
  <c r="AA7" i="40"/>
  <c r="Z7" i="40"/>
  <c r="Y7" i="40"/>
  <c r="X7" i="40"/>
  <c r="W7" i="40"/>
  <c r="V7" i="40"/>
  <c r="U7" i="40"/>
  <c r="T7" i="40"/>
  <c r="S7" i="40"/>
  <c r="R7" i="40"/>
  <c r="Q7" i="40"/>
  <c r="AB6" i="40"/>
  <c r="AA6" i="40"/>
  <c r="Z6" i="40"/>
  <c r="Y6" i="40"/>
  <c r="X6" i="40"/>
  <c r="W6" i="40"/>
  <c r="V6" i="40"/>
  <c r="U6" i="40"/>
  <c r="T6" i="40"/>
  <c r="S6" i="40"/>
  <c r="R6" i="40"/>
  <c r="Q6" i="40"/>
  <c r="AB5" i="40"/>
  <c r="AA5" i="40"/>
  <c r="Z5" i="40"/>
  <c r="Y5" i="40"/>
  <c r="X5" i="40"/>
  <c r="W5" i="40"/>
  <c r="V5" i="40"/>
  <c r="U5" i="40"/>
  <c r="T5" i="40"/>
  <c r="S5" i="40"/>
  <c r="R5" i="40"/>
  <c r="Q5" i="40"/>
  <c r="AB4" i="40"/>
  <c r="AA4" i="40"/>
  <c r="Z4" i="40"/>
  <c r="Z79" i="40" s="1"/>
  <c r="Y4" i="40"/>
  <c r="Y79" i="40" s="1"/>
  <c r="X4" i="40"/>
  <c r="W4" i="40"/>
  <c r="V4" i="40"/>
  <c r="V79" i="40" s="1"/>
  <c r="U4" i="40"/>
  <c r="U79" i="40" s="1"/>
  <c r="T4" i="40"/>
  <c r="S4" i="40"/>
  <c r="R4" i="40"/>
  <c r="R79" i="40" s="1"/>
  <c r="Q4" i="40"/>
  <c r="Q79" i="40" s="1"/>
  <c r="C101" i="39"/>
  <c r="C90" i="39"/>
  <c r="Q5" i="39"/>
  <c r="R5" i="39"/>
  <c r="S5" i="39"/>
  <c r="T5" i="39"/>
  <c r="U5" i="39"/>
  <c r="V5" i="39"/>
  <c r="W5" i="39"/>
  <c r="X5" i="39"/>
  <c r="Y5" i="39"/>
  <c r="Z5" i="39"/>
  <c r="AA5" i="39"/>
  <c r="AB5" i="39"/>
  <c r="Q6" i="39"/>
  <c r="R6" i="39"/>
  <c r="S6" i="39"/>
  <c r="T6" i="39"/>
  <c r="U6" i="39"/>
  <c r="V6" i="39"/>
  <c r="W6" i="39"/>
  <c r="X6" i="39"/>
  <c r="Y6" i="39"/>
  <c r="Z6" i="39"/>
  <c r="AA6" i="39"/>
  <c r="AB6" i="39"/>
  <c r="Q7" i="39"/>
  <c r="R7" i="39"/>
  <c r="S7" i="39"/>
  <c r="T7" i="39"/>
  <c r="U7" i="39"/>
  <c r="V7" i="39"/>
  <c r="W7" i="39"/>
  <c r="X7" i="39"/>
  <c r="Y7" i="39"/>
  <c r="Z7" i="39"/>
  <c r="AA7" i="39"/>
  <c r="AB7" i="39"/>
  <c r="Q8" i="39"/>
  <c r="R8" i="39"/>
  <c r="S8" i="39"/>
  <c r="T8" i="39"/>
  <c r="U8" i="39"/>
  <c r="V8" i="39"/>
  <c r="W8" i="39"/>
  <c r="X8" i="39"/>
  <c r="Y8" i="39"/>
  <c r="Z8" i="39"/>
  <c r="AA8" i="39"/>
  <c r="AB8" i="39"/>
  <c r="Q9" i="39"/>
  <c r="R9" i="39"/>
  <c r="S9" i="39"/>
  <c r="T9" i="39"/>
  <c r="U9" i="39"/>
  <c r="V9" i="39"/>
  <c r="W9" i="39"/>
  <c r="X9" i="39"/>
  <c r="Y9" i="39"/>
  <c r="Z9" i="39"/>
  <c r="AA9" i="39"/>
  <c r="AB9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Q19" i="39"/>
  <c r="R19" i="39"/>
  <c r="S19" i="39"/>
  <c r="T19" i="39"/>
  <c r="U19" i="39"/>
  <c r="V19" i="39"/>
  <c r="W19" i="39"/>
  <c r="X19" i="39"/>
  <c r="Y19" i="39"/>
  <c r="Z19" i="39"/>
  <c r="AA19" i="39"/>
  <c r="AB19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Q21" i="39"/>
  <c r="R21" i="39"/>
  <c r="S21" i="39"/>
  <c r="T21" i="39"/>
  <c r="U21" i="39"/>
  <c r="V21" i="39"/>
  <c r="W21" i="39"/>
  <c r="X21" i="39"/>
  <c r="Y21" i="39"/>
  <c r="Z21" i="39"/>
  <c r="AA21" i="39"/>
  <c r="AB21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Q30" i="39"/>
  <c r="R30" i="39"/>
  <c r="S30" i="39"/>
  <c r="T30" i="39"/>
  <c r="U30" i="39"/>
  <c r="V30" i="39"/>
  <c r="W30" i="39"/>
  <c r="X30" i="39"/>
  <c r="Y30" i="39"/>
  <c r="Z30" i="39"/>
  <c r="AA30" i="39"/>
  <c r="AB30" i="39"/>
  <c r="Q31" i="39"/>
  <c r="R31" i="39"/>
  <c r="S31" i="39"/>
  <c r="T31" i="39"/>
  <c r="U31" i="39"/>
  <c r="V31" i="39"/>
  <c r="W31" i="39"/>
  <c r="X31" i="39"/>
  <c r="Y31" i="39"/>
  <c r="Z31" i="39"/>
  <c r="AA31" i="39"/>
  <c r="AB31" i="39"/>
  <c r="Q32" i="39"/>
  <c r="R32" i="39"/>
  <c r="S32" i="39"/>
  <c r="T32" i="39"/>
  <c r="U32" i="39"/>
  <c r="V32" i="39"/>
  <c r="W32" i="39"/>
  <c r="X32" i="39"/>
  <c r="Y32" i="39"/>
  <c r="Z32" i="39"/>
  <c r="AA32" i="39"/>
  <c r="AB32" i="39"/>
  <c r="Q33" i="39"/>
  <c r="R33" i="39"/>
  <c r="S33" i="39"/>
  <c r="T33" i="39"/>
  <c r="U33" i="39"/>
  <c r="V33" i="39"/>
  <c r="W33" i="39"/>
  <c r="X33" i="39"/>
  <c r="Y33" i="39"/>
  <c r="Z33" i="39"/>
  <c r="AA33" i="39"/>
  <c r="AB33" i="39"/>
  <c r="Q34" i="39"/>
  <c r="R34" i="39"/>
  <c r="S34" i="39"/>
  <c r="T34" i="39"/>
  <c r="U34" i="39"/>
  <c r="V34" i="39"/>
  <c r="W34" i="39"/>
  <c r="X34" i="39"/>
  <c r="Y34" i="39"/>
  <c r="Z34" i="39"/>
  <c r="AA34" i="39"/>
  <c r="AB34" i="39"/>
  <c r="Q35" i="39"/>
  <c r="R35" i="39"/>
  <c r="S35" i="39"/>
  <c r="T35" i="39"/>
  <c r="U35" i="39"/>
  <c r="V35" i="39"/>
  <c r="W35" i="39"/>
  <c r="X35" i="39"/>
  <c r="Y35" i="39"/>
  <c r="Z35" i="39"/>
  <c r="AA35" i="39"/>
  <c r="AB35" i="39"/>
  <c r="Q36" i="39"/>
  <c r="R36" i="39"/>
  <c r="S36" i="39"/>
  <c r="T36" i="39"/>
  <c r="U36" i="39"/>
  <c r="V36" i="39"/>
  <c r="W36" i="39"/>
  <c r="X36" i="39"/>
  <c r="Y36" i="39"/>
  <c r="Z36" i="39"/>
  <c r="AA36" i="39"/>
  <c r="AB36" i="39"/>
  <c r="Q37" i="39"/>
  <c r="R37" i="39"/>
  <c r="S37" i="39"/>
  <c r="T37" i="39"/>
  <c r="U37" i="39"/>
  <c r="V37" i="39"/>
  <c r="W37" i="39"/>
  <c r="X37" i="39"/>
  <c r="Y37" i="39"/>
  <c r="Z37" i="39"/>
  <c r="AA37" i="39"/>
  <c r="AB37" i="39"/>
  <c r="Q38" i="39"/>
  <c r="R38" i="39"/>
  <c r="S38" i="39"/>
  <c r="T38" i="39"/>
  <c r="U38" i="39"/>
  <c r="V38" i="39"/>
  <c r="W38" i="39"/>
  <c r="X38" i="39"/>
  <c r="Y38" i="39"/>
  <c r="Z38" i="39"/>
  <c r="AA38" i="39"/>
  <c r="AB38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Q40" i="39"/>
  <c r="R40" i="39"/>
  <c r="S40" i="39"/>
  <c r="T40" i="39"/>
  <c r="U40" i="39"/>
  <c r="V40" i="39"/>
  <c r="W40" i="39"/>
  <c r="X40" i="39"/>
  <c r="Y40" i="39"/>
  <c r="Z40" i="39"/>
  <c r="AA40" i="39"/>
  <c r="AB40" i="39"/>
  <c r="Q41" i="39"/>
  <c r="R41" i="39"/>
  <c r="S41" i="39"/>
  <c r="T41" i="39"/>
  <c r="U41" i="39"/>
  <c r="V41" i="39"/>
  <c r="W41" i="39"/>
  <c r="X41" i="39"/>
  <c r="Y41" i="39"/>
  <c r="Z41" i="39"/>
  <c r="AA41" i="39"/>
  <c r="AB41" i="39"/>
  <c r="Q42" i="39"/>
  <c r="R42" i="39"/>
  <c r="S42" i="39"/>
  <c r="T42" i="39"/>
  <c r="U42" i="39"/>
  <c r="V42" i="39"/>
  <c r="W42" i="39"/>
  <c r="X42" i="39"/>
  <c r="Y42" i="39"/>
  <c r="Z42" i="39"/>
  <c r="AA42" i="39"/>
  <c r="AB42" i="39"/>
  <c r="Q43" i="39"/>
  <c r="R43" i="39"/>
  <c r="S43" i="39"/>
  <c r="T43" i="39"/>
  <c r="U43" i="39"/>
  <c r="V43" i="39"/>
  <c r="W43" i="39"/>
  <c r="X43" i="39"/>
  <c r="Y43" i="39"/>
  <c r="Z43" i="39"/>
  <c r="AA43" i="39"/>
  <c r="AB43" i="39"/>
  <c r="Q44" i="39"/>
  <c r="R44" i="39"/>
  <c r="S44" i="39"/>
  <c r="T44" i="39"/>
  <c r="U44" i="39"/>
  <c r="V44" i="39"/>
  <c r="W44" i="39"/>
  <c r="X44" i="39"/>
  <c r="Y44" i="39"/>
  <c r="Z44" i="39"/>
  <c r="AA44" i="39"/>
  <c r="AB44" i="39"/>
  <c r="Q45" i="39"/>
  <c r="R45" i="39"/>
  <c r="S45" i="39"/>
  <c r="T45" i="39"/>
  <c r="U45" i="39"/>
  <c r="V45" i="39"/>
  <c r="W45" i="39"/>
  <c r="X45" i="39"/>
  <c r="Y45" i="39"/>
  <c r="Z45" i="39"/>
  <c r="AA45" i="39"/>
  <c r="AB45" i="39"/>
  <c r="Q46" i="39"/>
  <c r="R46" i="39"/>
  <c r="S46" i="39"/>
  <c r="T46" i="39"/>
  <c r="U46" i="39"/>
  <c r="V46" i="39"/>
  <c r="W46" i="39"/>
  <c r="X46" i="39"/>
  <c r="Y46" i="39"/>
  <c r="Z46" i="39"/>
  <c r="AA46" i="39"/>
  <c r="AB46" i="39"/>
  <c r="Q47" i="39"/>
  <c r="R47" i="39"/>
  <c r="S47" i="39"/>
  <c r="T47" i="39"/>
  <c r="U47" i="39"/>
  <c r="V47" i="39"/>
  <c r="W47" i="39"/>
  <c r="X47" i="39"/>
  <c r="Y47" i="39"/>
  <c r="Z47" i="39"/>
  <c r="AA47" i="39"/>
  <c r="AB47" i="39"/>
  <c r="Q48" i="39"/>
  <c r="R48" i="39"/>
  <c r="S48" i="39"/>
  <c r="T48" i="39"/>
  <c r="U48" i="39"/>
  <c r="V48" i="39"/>
  <c r="W48" i="39"/>
  <c r="X48" i="39"/>
  <c r="Y48" i="39"/>
  <c r="Z48" i="39"/>
  <c r="AA48" i="39"/>
  <c r="AB48" i="39"/>
  <c r="Q49" i="39"/>
  <c r="R49" i="39"/>
  <c r="S49" i="39"/>
  <c r="T49" i="39"/>
  <c r="U49" i="39"/>
  <c r="V49" i="39"/>
  <c r="W49" i="39"/>
  <c r="X49" i="39"/>
  <c r="Y49" i="39"/>
  <c r="Z49" i="39"/>
  <c r="AA49" i="39"/>
  <c r="AB49" i="39"/>
  <c r="Q50" i="39"/>
  <c r="R50" i="39"/>
  <c r="S50" i="39"/>
  <c r="T50" i="39"/>
  <c r="U50" i="39"/>
  <c r="V50" i="39"/>
  <c r="W50" i="39"/>
  <c r="X50" i="39"/>
  <c r="Y50" i="39"/>
  <c r="Z50" i="39"/>
  <c r="AA50" i="39"/>
  <c r="AB50" i="39"/>
  <c r="Q51" i="39"/>
  <c r="R51" i="39"/>
  <c r="S51" i="39"/>
  <c r="T51" i="39"/>
  <c r="U51" i="39"/>
  <c r="V51" i="39"/>
  <c r="W51" i="39"/>
  <c r="X51" i="39"/>
  <c r="Y51" i="39"/>
  <c r="Z51" i="39"/>
  <c r="AA51" i="39"/>
  <c r="AB51" i="39"/>
  <c r="Q52" i="39"/>
  <c r="R52" i="39"/>
  <c r="S52" i="39"/>
  <c r="T52" i="39"/>
  <c r="U52" i="39"/>
  <c r="V52" i="39"/>
  <c r="W52" i="39"/>
  <c r="X52" i="39"/>
  <c r="Y52" i="39"/>
  <c r="Z52" i="39"/>
  <c r="AA52" i="39"/>
  <c r="AB52" i="39"/>
  <c r="Q53" i="39"/>
  <c r="R53" i="39"/>
  <c r="S53" i="39"/>
  <c r="T53" i="39"/>
  <c r="U53" i="39"/>
  <c r="V53" i="39"/>
  <c r="W53" i="39"/>
  <c r="X53" i="39"/>
  <c r="Y53" i="39"/>
  <c r="Z53" i="39"/>
  <c r="AA53" i="39"/>
  <c r="AB53" i="39"/>
  <c r="Q54" i="39"/>
  <c r="R54" i="39"/>
  <c r="S54" i="39"/>
  <c r="T54" i="39"/>
  <c r="U54" i="39"/>
  <c r="V54" i="39"/>
  <c r="W54" i="39"/>
  <c r="X54" i="39"/>
  <c r="Y54" i="39"/>
  <c r="Z54" i="39"/>
  <c r="AA54" i="39"/>
  <c r="AB54" i="39"/>
  <c r="Q55" i="39"/>
  <c r="R55" i="39"/>
  <c r="S55" i="39"/>
  <c r="T55" i="39"/>
  <c r="U55" i="39"/>
  <c r="V55" i="39"/>
  <c r="W55" i="39"/>
  <c r="X55" i="39"/>
  <c r="Y55" i="39"/>
  <c r="Z55" i="39"/>
  <c r="AA55" i="39"/>
  <c r="AB55" i="39"/>
  <c r="Q56" i="39"/>
  <c r="R56" i="39"/>
  <c r="S56" i="39"/>
  <c r="T56" i="39"/>
  <c r="U56" i="39"/>
  <c r="V56" i="39"/>
  <c r="W56" i="39"/>
  <c r="X56" i="39"/>
  <c r="Y56" i="39"/>
  <c r="Z56" i="39"/>
  <c r="AA56" i="39"/>
  <c r="AB56" i="39"/>
  <c r="Q57" i="39"/>
  <c r="R57" i="39"/>
  <c r="S57" i="39"/>
  <c r="T57" i="39"/>
  <c r="U57" i="39"/>
  <c r="V57" i="39"/>
  <c r="W57" i="39"/>
  <c r="X57" i="39"/>
  <c r="Y57" i="39"/>
  <c r="Z57" i="39"/>
  <c r="AA57" i="39"/>
  <c r="AB57" i="39"/>
  <c r="Q58" i="39"/>
  <c r="R58" i="39"/>
  <c r="S58" i="39"/>
  <c r="T58" i="39"/>
  <c r="U58" i="39"/>
  <c r="V58" i="39"/>
  <c r="W58" i="39"/>
  <c r="X58" i="39"/>
  <c r="Y58" i="39"/>
  <c r="Z58" i="39"/>
  <c r="AA58" i="39"/>
  <c r="AB58" i="39"/>
  <c r="Q59" i="39"/>
  <c r="R59" i="39"/>
  <c r="S59" i="39"/>
  <c r="T59" i="39"/>
  <c r="U59" i="39"/>
  <c r="V59" i="39"/>
  <c r="W59" i="39"/>
  <c r="X59" i="39"/>
  <c r="Y59" i="39"/>
  <c r="Z59" i="39"/>
  <c r="AA59" i="39"/>
  <c r="AB59" i="39"/>
  <c r="Q60" i="39"/>
  <c r="R60" i="39"/>
  <c r="S60" i="39"/>
  <c r="T60" i="39"/>
  <c r="U60" i="39"/>
  <c r="V60" i="39"/>
  <c r="W60" i="39"/>
  <c r="X60" i="39"/>
  <c r="Y60" i="39"/>
  <c r="Z60" i="39"/>
  <c r="AA60" i="39"/>
  <c r="AB60" i="39"/>
  <c r="Q61" i="39"/>
  <c r="R61" i="39"/>
  <c r="S61" i="39"/>
  <c r="T61" i="39"/>
  <c r="U61" i="39"/>
  <c r="V61" i="39"/>
  <c r="W61" i="39"/>
  <c r="X61" i="39"/>
  <c r="Y61" i="39"/>
  <c r="Z61" i="39"/>
  <c r="AA61" i="39"/>
  <c r="AB61" i="39"/>
  <c r="Q62" i="39"/>
  <c r="R62" i="39"/>
  <c r="S62" i="39"/>
  <c r="T62" i="39"/>
  <c r="U62" i="39"/>
  <c r="V62" i="39"/>
  <c r="W62" i="39"/>
  <c r="X62" i="39"/>
  <c r="Y62" i="39"/>
  <c r="Z62" i="39"/>
  <c r="AA62" i="39"/>
  <c r="AB62" i="39"/>
  <c r="Q63" i="39"/>
  <c r="R63" i="39"/>
  <c r="S63" i="39"/>
  <c r="T63" i="39"/>
  <c r="U63" i="39"/>
  <c r="V63" i="39"/>
  <c r="W63" i="39"/>
  <c r="X63" i="39"/>
  <c r="Y63" i="39"/>
  <c r="Z63" i="39"/>
  <c r="AA63" i="39"/>
  <c r="AB63" i="39"/>
  <c r="Q64" i="39"/>
  <c r="R64" i="39"/>
  <c r="S64" i="39"/>
  <c r="T64" i="39"/>
  <c r="U64" i="39"/>
  <c r="V64" i="39"/>
  <c r="W64" i="39"/>
  <c r="X64" i="39"/>
  <c r="Y64" i="39"/>
  <c r="Z64" i="39"/>
  <c r="AA64" i="39"/>
  <c r="AB64" i="39"/>
  <c r="Q65" i="39"/>
  <c r="R65" i="39"/>
  <c r="S65" i="39"/>
  <c r="T65" i="39"/>
  <c r="U65" i="39"/>
  <c r="V65" i="39"/>
  <c r="W65" i="39"/>
  <c r="X65" i="39"/>
  <c r="Y65" i="39"/>
  <c r="Z65" i="39"/>
  <c r="AA65" i="39"/>
  <c r="AB65" i="39"/>
  <c r="Q66" i="39"/>
  <c r="R66" i="39"/>
  <c r="S66" i="39"/>
  <c r="T66" i="39"/>
  <c r="U66" i="39"/>
  <c r="V66" i="39"/>
  <c r="W66" i="39"/>
  <c r="X66" i="39"/>
  <c r="Y66" i="39"/>
  <c r="Z66" i="39"/>
  <c r="AA66" i="39"/>
  <c r="AB66" i="39"/>
  <c r="Q67" i="39"/>
  <c r="R67" i="39"/>
  <c r="S67" i="39"/>
  <c r="T67" i="39"/>
  <c r="U67" i="39"/>
  <c r="V67" i="39"/>
  <c r="W67" i="39"/>
  <c r="X67" i="39"/>
  <c r="Y67" i="39"/>
  <c r="Z67" i="39"/>
  <c r="AA67" i="39"/>
  <c r="AB67" i="39"/>
  <c r="Q68" i="39"/>
  <c r="R68" i="39"/>
  <c r="S68" i="39"/>
  <c r="T68" i="39"/>
  <c r="U68" i="39"/>
  <c r="V68" i="39"/>
  <c r="W68" i="39"/>
  <c r="X68" i="39"/>
  <c r="Y68" i="39"/>
  <c r="Z68" i="39"/>
  <c r="AA68" i="39"/>
  <c r="AB68" i="39"/>
  <c r="Q69" i="39"/>
  <c r="R69" i="39"/>
  <c r="S69" i="39"/>
  <c r="T69" i="39"/>
  <c r="U69" i="39"/>
  <c r="V69" i="39"/>
  <c r="W69" i="39"/>
  <c r="X69" i="39"/>
  <c r="Y69" i="39"/>
  <c r="Z69" i="39"/>
  <c r="AA69" i="39"/>
  <c r="AB69" i="39"/>
  <c r="Q70" i="39"/>
  <c r="R70" i="39"/>
  <c r="S70" i="39"/>
  <c r="T70" i="39"/>
  <c r="U70" i="39"/>
  <c r="V70" i="39"/>
  <c r="W70" i="39"/>
  <c r="X70" i="39"/>
  <c r="Y70" i="39"/>
  <c r="Z70" i="39"/>
  <c r="AA70" i="39"/>
  <c r="AB70" i="39"/>
  <c r="Q71" i="39"/>
  <c r="R71" i="39"/>
  <c r="S71" i="39"/>
  <c r="T71" i="39"/>
  <c r="U71" i="39"/>
  <c r="V71" i="39"/>
  <c r="W71" i="39"/>
  <c r="X71" i="39"/>
  <c r="Y71" i="39"/>
  <c r="Z71" i="39"/>
  <c r="AA71" i="39"/>
  <c r="AB71" i="39"/>
  <c r="Q72" i="39"/>
  <c r="R72" i="39"/>
  <c r="S72" i="39"/>
  <c r="T72" i="39"/>
  <c r="U72" i="39"/>
  <c r="V72" i="39"/>
  <c r="W72" i="39"/>
  <c r="X72" i="39"/>
  <c r="Y72" i="39"/>
  <c r="Z72" i="39"/>
  <c r="AA72" i="39"/>
  <c r="AB72" i="39"/>
  <c r="Q73" i="39"/>
  <c r="R73" i="39"/>
  <c r="S73" i="39"/>
  <c r="T73" i="39"/>
  <c r="U73" i="39"/>
  <c r="V73" i="39"/>
  <c r="W73" i="39"/>
  <c r="X73" i="39"/>
  <c r="Y73" i="39"/>
  <c r="Z73" i="39"/>
  <c r="AA73" i="39"/>
  <c r="AB73" i="39"/>
  <c r="Q74" i="39"/>
  <c r="R74" i="39"/>
  <c r="S74" i="39"/>
  <c r="T74" i="39"/>
  <c r="U74" i="39"/>
  <c r="V74" i="39"/>
  <c r="W74" i="39"/>
  <c r="X74" i="39"/>
  <c r="Y74" i="39"/>
  <c r="Z74" i="39"/>
  <c r="AA74" i="39"/>
  <c r="AB74" i="39"/>
  <c r="Q75" i="39"/>
  <c r="R75" i="39"/>
  <c r="S75" i="39"/>
  <c r="T75" i="39"/>
  <c r="U75" i="39"/>
  <c r="V75" i="39"/>
  <c r="W75" i="39"/>
  <c r="X75" i="39"/>
  <c r="Y75" i="39"/>
  <c r="Z75" i="39"/>
  <c r="AA75" i="39"/>
  <c r="AB75" i="39"/>
  <c r="Q76" i="39"/>
  <c r="R76" i="39"/>
  <c r="S76" i="39"/>
  <c r="T76" i="39"/>
  <c r="U76" i="39"/>
  <c r="V76" i="39"/>
  <c r="W76" i="39"/>
  <c r="X76" i="39"/>
  <c r="Y76" i="39"/>
  <c r="Z76" i="39"/>
  <c r="AA76" i="39"/>
  <c r="AB76" i="39"/>
  <c r="Q77" i="39"/>
  <c r="R77" i="39"/>
  <c r="S77" i="39"/>
  <c r="T77" i="39"/>
  <c r="U77" i="39"/>
  <c r="V77" i="39"/>
  <c r="W77" i="39"/>
  <c r="X77" i="39"/>
  <c r="Y77" i="39"/>
  <c r="Z77" i="39"/>
  <c r="AA77" i="39"/>
  <c r="AB77" i="39"/>
  <c r="AB4" i="39"/>
  <c r="R4" i="39"/>
  <c r="S4" i="39"/>
  <c r="T4" i="39"/>
  <c r="U4" i="39"/>
  <c r="V4" i="39"/>
  <c r="W4" i="39"/>
  <c r="X4" i="39"/>
  <c r="Y4" i="39"/>
  <c r="Z4" i="39"/>
  <c r="AA4" i="39"/>
  <c r="Q4" i="39"/>
  <c r="Q88" i="40" l="1"/>
  <c r="Y88" i="40"/>
  <c r="V88" i="40"/>
  <c r="G101" i="40"/>
  <c r="V84" i="40"/>
  <c r="C92" i="40"/>
  <c r="C91" i="40"/>
  <c r="C90" i="40"/>
  <c r="G99" i="39"/>
  <c r="O98" i="39"/>
  <c r="G98" i="39"/>
  <c r="O97" i="39"/>
  <c r="G97" i="39"/>
  <c r="O96" i="39"/>
  <c r="G96" i="39"/>
  <c r="O95" i="39"/>
  <c r="G95" i="39"/>
  <c r="O94" i="39"/>
  <c r="G94" i="39"/>
  <c r="O93" i="39"/>
  <c r="G101" i="39" s="1"/>
  <c r="G93" i="39"/>
  <c r="O92" i="39"/>
  <c r="G92" i="39"/>
  <c r="F84" i="39" l="1"/>
  <c r="K79" i="39" l="1"/>
  <c r="N79" i="39"/>
  <c r="O79" i="39"/>
  <c r="K80" i="39"/>
  <c r="N80" i="39"/>
  <c r="O80" i="39"/>
  <c r="K81" i="39"/>
  <c r="N81" i="39"/>
  <c r="O81" i="39"/>
  <c r="K82" i="39"/>
  <c r="N82" i="39"/>
  <c r="O82" i="39"/>
  <c r="K83" i="39"/>
  <c r="N83" i="39"/>
  <c r="O83" i="39"/>
  <c r="K84" i="39"/>
  <c r="N84" i="39"/>
  <c r="O84" i="39"/>
  <c r="K85" i="39"/>
  <c r="N85" i="39"/>
  <c r="O85" i="39"/>
  <c r="K86" i="39"/>
  <c r="N86" i="39"/>
  <c r="O86" i="39"/>
  <c r="K87" i="39"/>
  <c r="N87" i="39"/>
  <c r="O87" i="39"/>
  <c r="K88" i="39"/>
  <c r="N88" i="39"/>
  <c r="O88" i="39"/>
  <c r="C79" i="39"/>
  <c r="F79" i="39"/>
  <c r="G79" i="39"/>
  <c r="C80" i="39"/>
  <c r="F80" i="39"/>
  <c r="G80" i="39"/>
  <c r="C81" i="39"/>
  <c r="F81" i="39"/>
  <c r="G81" i="39"/>
  <c r="C82" i="39"/>
  <c r="F82" i="39"/>
  <c r="G82" i="39"/>
  <c r="C83" i="39"/>
  <c r="F83" i="39"/>
  <c r="G83" i="39"/>
  <c r="C84" i="39"/>
  <c r="C95" i="39" s="1"/>
  <c r="G84" i="39"/>
  <c r="C85" i="39"/>
  <c r="F85" i="39"/>
  <c r="G85" i="39"/>
  <c r="C86" i="39"/>
  <c r="F86" i="39"/>
  <c r="G86" i="39"/>
  <c r="C87" i="39"/>
  <c r="F87" i="39"/>
  <c r="G87" i="39"/>
  <c r="C88" i="39"/>
  <c r="F88" i="39"/>
  <c r="C99" i="39" s="1"/>
  <c r="G88" i="39"/>
  <c r="C98" i="39" l="1"/>
  <c r="C91" i="39"/>
  <c r="C92" i="39"/>
  <c r="C97" i="39"/>
  <c r="C94" i="39"/>
  <c r="C96" i="39"/>
  <c r="C93" i="39"/>
  <c r="Y79" i="39" l="1"/>
  <c r="Q79" i="39"/>
  <c r="U79" i="39"/>
  <c r="U88" i="39"/>
  <c r="Z88" i="39"/>
  <c r="Y88" i="39"/>
  <c r="Q88" i="39"/>
  <c r="U87" i="39"/>
  <c r="Y86" i="39"/>
  <c r="Y83" i="39"/>
  <c r="Q83" i="39"/>
  <c r="U82" i="39"/>
  <c r="U81" i="39"/>
  <c r="U80" i="39"/>
  <c r="V88" i="39"/>
  <c r="Z87" i="39"/>
  <c r="R87" i="39"/>
  <c r="V86" i="39"/>
  <c r="V83" i="39"/>
  <c r="Z82" i="39"/>
  <c r="R82" i="39"/>
  <c r="Z81" i="39"/>
  <c r="R81" i="39"/>
  <c r="Z80" i="39"/>
  <c r="R80" i="39"/>
  <c r="Y87" i="39"/>
  <c r="Q87" i="39"/>
  <c r="U83" i="39"/>
  <c r="Y82" i="39"/>
  <c r="Q82" i="39"/>
  <c r="Y81" i="39"/>
  <c r="Q81" i="39"/>
  <c r="Y80" i="39"/>
  <c r="Q80" i="39"/>
  <c r="R88" i="39"/>
  <c r="V87" i="39"/>
  <c r="Z83" i="39"/>
  <c r="R83" i="39"/>
  <c r="V82" i="39"/>
  <c r="V81" i="39"/>
  <c r="V80" i="39"/>
  <c r="U86" i="39"/>
  <c r="Z86" i="39"/>
  <c r="R86" i="39"/>
  <c r="Q86" i="39"/>
  <c r="V85" i="39"/>
  <c r="U85" i="39"/>
  <c r="Z85" i="39"/>
  <c r="R85" i="39"/>
  <c r="Y85" i="39"/>
  <c r="Q85" i="39"/>
  <c r="Y84" i="39"/>
  <c r="V84" i="39"/>
  <c r="U84" i="39"/>
  <c r="Z84" i="39"/>
  <c r="R84" i="39"/>
  <c r="Q84" i="39"/>
  <c r="R79" i="39"/>
  <c r="V79" i="39"/>
  <c r="Z79" i="39"/>
  <c r="J88" i="39"/>
  <c r="J87" i="39"/>
  <c r="J86" i="39"/>
  <c r="J85" i="39"/>
  <c r="J84" i="39"/>
  <c r="J83" i="39"/>
  <c r="J82" i="39"/>
  <c r="J81" i="39"/>
  <c r="J80" i="39"/>
  <c r="J79" i="39"/>
</calcChain>
</file>

<file path=xl/sharedStrings.xml><?xml version="1.0" encoding="utf-8"?>
<sst xmlns="http://schemas.openxmlformats.org/spreadsheetml/2006/main" count="324" uniqueCount="73">
  <si>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</si>
  <si>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</si>
  <si>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</si>
  <si>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</si>
  <si>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</si>
  <si>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</si>
  <si>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</si>
  <si>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</si>
  <si>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</si>
  <si>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</si>
  <si>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</si>
  <si>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</si>
  <si>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</si>
  <si>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</si>
  <si>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</si>
  <si>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</si>
  <si>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'IN-FC-OS65'</t>
  </si>
  <si>
    <t>'IN-FC-OS83'</t>
  </si>
  <si>
    <t>'IN-FC-OS86'</t>
  </si>
  <si>
    <t>'IN-FC-OS88'</t>
  </si>
  <si>
    <t>FOR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</si>
  <si>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</si>
  <si>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</si>
  <si>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</si>
  <si>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</si>
  <si>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</si>
  <si>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</si>
  <si>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</si>
  <si>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'OUT-FC-OS89'</t>
  </si>
  <si>
    <t>'NOSTIM-FC-OS41'</t>
  </si>
  <si>
    <t>'NOSTIM-FC-OS44'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</si>
  <si>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</si>
  <si>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</si>
  <si>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</si>
  <si>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</si>
  <si>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</si>
  <si>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</si>
  <si>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</si>
  <si>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</si>
  <si>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</si>
  <si>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</si>
  <si>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</si>
  <si>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</si>
  <si>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</si>
  <si>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</si>
  <si>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</si>
  <si>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</si>
  <si>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</si>
  <si>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</si>
  <si>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</si>
  <si>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</si>
  <si>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</si>
  <si>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</si>
  <si>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</si>
  <si>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</si>
  <si>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</si>
  <si>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</si>
  <si>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</si>
  <si>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</si>
  <si>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</si>
  <si>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</si>
  <si>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</si>
  <si>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</si>
  <si>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</si>
  <si>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</si>
  <si>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</si>
  <si>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Stim#</t>
  </si>
  <si>
    <t>SpiRipple</t>
  </si>
  <si>
    <t>SOSpiRipple</t>
  </si>
  <si>
    <t>Spindle</t>
  </si>
  <si>
    <t>Ripple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</si>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</sst>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1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tabSelected="1" workbookViewId="0">
      <selection activeCell="I31" sqref="I31"/>
    </sheetView>
  </sheetViews>
  <sheetFormatPr defaultColWidth="9.140625" defaultRowHeight="15"/>
  <cols>
    <col min="2" max="2" width="24.140625" bestFit="1" customWidth="1"/>
    <col min="15" max="15" width="7.7109375" bestFit="1" customWidth="1"/>
    <col min="16" max="16" width="14.42578125" customWidth="1"/>
    <col min="17" max="17" width="10.7109375" bestFit="1" customWidth="1"/>
    <col min="18" max="18" width="11.85546875" bestFit="1" customWidth="1"/>
    <col min="19" max="30" width="11.85546875" customWidth="1"/>
    <col min="31" max="31" width="11.85546875" bestFit="1" customWidth="1"/>
  </cols>
  <sheetData>
    <row r="1" spans="1:29">
      <c r="C1" s="5"/>
      <c r="D1" s="7" t="s">
        <v>20</v>
      </c>
      <c r="E1" s="7"/>
      <c r="F1" s="7"/>
      <c r="G1" s="7"/>
      <c r="H1" s="7" t="s">
        <v>8</v>
      </c>
      <c r="I1" s="7"/>
      <c r="J1" s="7"/>
      <c r="K1" s="7"/>
      <c r="L1" s="7" t="s">
        <v>9</v>
      </c>
      <c r="M1" s="7"/>
      <c r="N1" s="7"/>
      <c r="O1" s="7"/>
      <c r="Q1" s="7" t="s">
        <v>20</v>
      </c>
      <c r="R1" s="7"/>
      <c r="S1" s="7"/>
      <c r="T1" s="7"/>
      <c r="U1" s="7" t="s">
        <v>8</v>
      </c>
      <c r="V1" s="7"/>
      <c r="W1" s="7"/>
      <c r="X1" s="7"/>
      <c r="Y1" s="7" t="s">
        <v>9</v>
      </c>
      <c r="Z1" s="7"/>
      <c r="AA1" s="7"/>
      <c r="AB1" s="7"/>
    </row>
    <row r="2" spans="1:29">
      <c r="C2" s="5"/>
      <c r="D2" s="7" t="s">
        <v>71</v>
      </c>
      <c r="E2" s="7"/>
      <c r="F2" s="7" t="s">
        <v>72</v>
      </c>
      <c r="G2" s="7"/>
      <c r="H2" s="7" t="s">
        <v>71</v>
      </c>
      <c r="I2" s="7"/>
      <c r="J2" s="7" t="s">
        <v>72</v>
      </c>
      <c r="K2" s="7"/>
      <c r="L2" s="7" t="s">
        <v>71</v>
      </c>
      <c r="M2" s="7"/>
      <c r="N2" s="7" t="s">
        <v>72</v>
      </c>
      <c r="O2" s="7"/>
      <c r="Q2" s="7" t="s">
        <v>71</v>
      </c>
      <c r="R2" s="7"/>
      <c r="S2" s="7" t="s">
        <v>72</v>
      </c>
      <c r="T2" s="7"/>
      <c r="U2" s="7" t="s">
        <v>71</v>
      </c>
      <c r="V2" s="7"/>
      <c r="W2" s="7" t="s">
        <v>72</v>
      </c>
      <c r="X2" s="7"/>
      <c r="Y2" s="7" t="s">
        <v>71</v>
      </c>
      <c r="Z2" s="7"/>
      <c r="AA2" s="7" t="s">
        <v>72</v>
      </c>
      <c r="AB2" s="7"/>
      <c r="AC2" s="6"/>
    </row>
    <row r="3" spans="1:29">
      <c r="C3" t="s">
        <v>66</v>
      </c>
      <c r="D3" t="s">
        <v>69</v>
      </c>
      <c r="E3" t="s">
        <v>70</v>
      </c>
      <c r="F3" t="s">
        <v>69</v>
      </c>
      <c r="G3" t="s">
        <v>70</v>
      </c>
      <c r="H3" t="s">
        <v>69</v>
      </c>
      <c r="I3" t="s">
        <v>70</v>
      </c>
      <c r="J3" t="s">
        <v>69</v>
      </c>
      <c r="K3" t="s">
        <v>70</v>
      </c>
      <c r="L3" t="s">
        <v>69</v>
      </c>
      <c r="M3" t="s">
        <v>70</v>
      </c>
      <c r="N3" t="s">
        <v>69</v>
      </c>
      <c r="O3" t="s">
        <v>70</v>
      </c>
      <c r="Q3" t="s">
        <v>67</v>
      </c>
      <c r="R3" t="s">
        <v>68</v>
      </c>
      <c r="S3" t="s">
        <v>67</v>
      </c>
      <c r="T3" t="s">
        <v>68</v>
      </c>
      <c r="U3" t="s">
        <v>67</v>
      </c>
      <c r="V3" t="s">
        <v>68</v>
      </c>
      <c r="W3" t="s">
        <v>67</v>
      </c>
      <c r="X3" t="s">
        <v>68</v>
      </c>
      <c r="Y3" t="s">
        <v>67</v>
      </c>
      <c r="Z3" t="s">
        <v>68</v>
      </c>
      <c r="AA3" t="s">
        <v>67</v>
      </c>
      <c r="AB3" t="s">
        <v>68</v>
      </c>
    </row>
    <row r="4" spans="1:29">
      <c r="A4" s="8" t="s">
        <v>58</v>
      </c>
      <c r="B4" t="s">
        <v>12</v>
      </c>
      <c r="C4" s="4">
        <v>169</v>
      </c>
      <c r="D4" s="4">
        <v>80</v>
      </c>
      <c r="E4" s="4">
        <v>83</v>
      </c>
      <c r="F4" s="4">
        <v>21</v>
      </c>
      <c r="G4" s="4">
        <v>23</v>
      </c>
      <c r="H4" s="4">
        <v>56</v>
      </c>
      <c r="I4" s="4">
        <v>57</v>
      </c>
      <c r="J4" s="4">
        <v>18</v>
      </c>
      <c r="K4">
        <v>22</v>
      </c>
      <c r="L4">
        <v>46</v>
      </c>
      <c r="M4">
        <v>49</v>
      </c>
      <c r="N4">
        <v>12</v>
      </c>
      <c r="O4">
        <v>16</v>
      </c>
      <c r="Q4" s="1">
        <f>D4/$C4</f>
        <v>0.47337278106508873</v>
      </c>
      <c r="R4" s="1">
        <f t="shared" ref="R4:AA4" si="0">E4/$C4</f>
        <v>0.4911242603550296</v>
      </c>
      <c r="S4" s="1">
        <f t="shared" si="0"/>
        <v>0.1242603550295858</v>
      </c>
      <c r="T4" s="1">
        <f t="shared" si="0"/>
        <v>0.13609467455621302</v>
      </c>
      <c r="U4" s="1">
        <f t="shared" si="0"/>
        <v>0.33136094674556216</v>
      </c>
      <c r="V4" s="1">
        <f t="shared" si="0"/>
        <v>0.33727810650887574</v>
      </c>
      <c r="W4" s="1">
        <f t="shared" si="0"/>
        <v>0.10650887573964497</v>
      </c>
      <c r="X4" s="1">
        <f t="shared" si="0"/>
        <v>0.13017751479289941</v>
      </c>
      <c r="Y4" s="1">
        <f t="shared" si="0"/>
        <v>0.27218934911242604</v>
      </c>
      <c r="Z4" s="1">
        <f t="shared" si="0"/>
        <v>0.28994082840236685</v>
      </c>
      <c r="AA4" s="1">
        <f t="shared" si="0"/>
        <v>7.1005917159763315E-2</v>
      </c>
      <c r="AB4" s="1">
        <f>O4/$C4</f>
        <v>9.4674556213017749E-2</v>
      </c>
      <c r="AC4" s="1"/>
    </row>
    <row r="5" spans="1:29">
      <c r="A5" s="8"/>
      <c r="B5" t="s">
        <v>13</v>
      </c>
      <c r="C5" s="4">
        <v>316</v>
      </c>
      <c r="D5" s="4">
        <v>127</v>
      </c>
      <c r="E5" s="4">
        <v>131</v>
      </c>
      <c r="F5" s="4">
        <v>32</v>
      </c>
      <c r="G5" s="4">
        <v>40</v>
      </c>
      <c r="H5" s="4">
        <v>70</v>
      </c>
      <c r="I5" s="4">
        <v>74</v>
      </c>
      <c r="J5" s="4">
        <v>20</v>
      </c>
      <c r="K5">
        <v>22</v>
      </c>
      <c r="L5">
        <v>59</v>
      </c>
      <c r="M5">
        <v>61</v>
      </c>
      <c r="N5">
        <v>18</v>
      </c>
      <c r="O5">
        <v>19</v>
      </c>
      <c r="Q5" s="1">
        <f t="shared" ref="Q5:Q68" si="1">D5/$C5</f>
        <v>0.40189873417721517</v>
      </c>
      <c r="R5" s="1">
        <f t="shared" ref="R5:R68" si="2">E5/$C5</f>
        <v>0.41455696202531644</v>
      </c>
      <c r="S5" s="1">
        <f t="shared" ref="S5:S68" si="3">F5/$C5</f>
        <v>0.10126582278481013</v>
      </c>
      <c r="T5" s="1">
        <f t="shared" ref="T5:T68" si="4">G5/$C5</f>
        <v>0.12658227848101267</v>
      </c>
      <c r="U5" s="1">
        <f t="shared" ref="U5:U68" si="5">H5/$C5</f>
        <v>0.22151898734177214</v>
      </c>
      <c r="V5" s="1">
        <f t="shared" ref="V5:V68" si="6">I5/$C5</f>
        <v>0.23417721518987342</v>
      </c>
      <c r="W5" s="1">
        <f t="shared" ref="W5:W68" si="7">J5/$C5</f>
        <v>6.3291139240506333E-2</v>
      </c>
      <c r="X5" s="1">
        <f t="shared" ref="X5:X68" si="8">K5/$C5</f>
        <v>6.9620253164556958E-2</v>
      </c>
      <c r="Y5" s="1">
        <f t="shared" ref="Y5:Y68" si="9">L5/$C5</f>
        <v>0.18670886075949367</v>
      </c>
      <c r="Z5" s="1">
        <f t="shared" ref="Z5:Z68" si="10">M5/$C5</f>
        <v>0.19303797468354431</v>
      </c>
      <c r="AA5" s="1">
        <f t="shared" ref="AA5:AA68" si="11">N5/$C5</f>
        <v>5.6962025316455694E-2</v>
      </c>
      <c r="AB5" s="1">
        <f t="shared" ref="AB5:AB68" si="12">O5/$C5</f>
        <v>6.0126582278481014E-2</v>
      </c>
      <c r="AC5" s="1"/>
    </row>
    <row r="6" spans="1:29">
      <c r="A6" s="8"/>
      <c r="B6" t="s">
        <v>14</v>
      </c>
      <c r="C6" s="4">
        <v>727</v>
      </c>
      <c r="D6" s="4">
        <v>349</v>
      </c>
      <c r="E6" s="4">
        <v>365</v>
      </c>
      <c r="F6" s="4">
        <v>81</v>
      </c>
      <c r="G6" s="4">
        <v>104</v>
      </c>
      <c r="H6" s="4">
        <v>176</v>
      </c>
      <c r="I6" s="4">
        <v>184</v>
      </c>
      <c r="J6" s="4">
        <v>56</v>
      </c>
      <c r="K6">
        <v>81</v>
      </c>
      <c r="L6">
        <v>144</v>
      </c>
      <c r="M6">
        <v>150</v>
      </c>
      <c r="N6">
        <v>68</v>
      </c>
      <c r="O6">
        <v>95</v>
      </c>
      <c r="Q6" s="1">
        <f t="shared" si="1"/>
        <v>0.48005502063273725</v>
      </c>
      <c r="R6" s="1">
        <f t="shared" si="2"/>
        <v>0.50206327372764792</v>
      </c>
      <c r="S6" s="1">
        <f t="shared" si="3"/>
        <v>0.11141678129298486</v>
      </c>
      <c r="T6" s="1">
        <f t="shared" si="4"/>
        <v>0.14305364511691884</v>
      </c>
      <c r="U6" s="1">
        <f t="shared" si="5"/>
        <v>0.24209078404401652</v>
      </c>
      <c r="V6" s="1">
        <f t="shared" si="6"/>
        <v>0.25309491059147182</v>
      </c>
      <c r="W6" s="1">
        <f t="shared" si="7"/>
        <v>7.7028885832187075E-2</v>
      </c>
      <c r="X6" s="1">
        <f t="shared" si="8"/>
        <v>0.11141678129298486</v>
      </c>
      <c r="Y6" s="1">
        <f t="shared" si="9"/>
        <v>0.19807427785419532</v>
      </c>
      <c r="Z6" s="1">
        <f t="shared" si="10"/>
        <v>0.2063273727647868</v>
      </c>
      <c r="AA6" s="1">
        <f t="shared" si="11"/>
        <v>9.353507565337002E-2</v>
      </c>
      <c r="AB6" s="1">
        <f t="shared" si="12"/>
        <v>0.13067400275103164</v>
      </c>
      <c r="AC6" s="1"/>
    </row>
    <row r="7" spans="1:29">
      <c r="A7" s="8"/>
      <c r="B7" t="s">
        <v>15</v>
      </c>
      <c r="C7" s="4">
        <v>650</v>
      </c>
      <c r="D7" s="4">
        <v>327</v>
      </c>
      <c r="E7" s="4">
        <v>340</v>
      </c>
      <c r="F7" s="4">
        <v>95</v>
      </c>
      <c r="G7" s="4">
        <v>112</v>
      </c>
      <c r="H7" s="4">
        <v>182</v>
      </c>
      <c r="I7" s="4">
        <v>191</v>
      </c>
      <c r="J7" s="4">
        <v>70</v>
      </c>
      <c r="K7">
        <v>90</v>
      </c>
      <c r="L7">
        <v>143</v>
      </c>
      <c r="M7">
        <v>151</v>
      </c>
      <c r="N7">
        <v>63</v>
      </c>
      <c r="O7">
        <v>78</v>
      </c>
      <c r="Q7" s="1">
        <f t="shared" si="1"/>
        <v>0.50307692307692309</v>
      </c>
      <c r="R7" s="1">
        <f t="shared" si="2"/>
        <v>0.52307692307692311</v>
      </c>
      <c r="S7" s="1">
        <f t="shared" si="3"/>
        <v>0.14615384615384616</v>
      </c>
      <c r="T7" s="1">
        <f t="shared" si="4"/>
        <v>0.1723076923076923</v>
      </c>
      <c r="U7" s="1">
        <f t="shared" si="5"/>
        <v>0.28000000000000003</v>
      </c>
      <c r="V7" s="1">
        <f t="shared" si="6"/>
        <v>0.29384615384615387</v>
      </c>
      <c r="W7" s="1">
        <f t="shared" si="7"/>
        <v>0.1076923076923077</v>
      </c>
      <c r="X7" s="1">
        <f t="shared" si="8"/>
        <v>0.13846153846153847</v>
      </c>
      <c r="Y7" s="1">
        <f t="shared" si="9"/>
        <v>0.22</v>
      </c>
      <c r="Z7" s="1">
        <f t="shared" si="10"/>
        <v>0.2323076923076923</v>
      </c>
      <c r="AA7" s="1">
        <f t="shared" si="11"/>
        <v>9.6923076923076917E-2</v>
      </c>
      <c r="AB7" s="1">
        <f t="shared" si="12"/>
        <v>0.12</v>
      </c>
      <c r="AC7" s="1"/>
    </row>
    <row r="8" spans="1:29">
      <c r="A8" s="8"/>
      <c r="B8" t="s">
        <v>16</v>
      </c>
      <c r="C8" s="4">
        <v>692</v>
      </c>
      <c r="D8" s="4">
        <v>398</v>
      </c>
      <c r="E8" s="4">
        <v>415</v>
      </c>
      <c r="F8" s="4">
        <v>75</v>
      </c>
      <c r="G8" s="4">
        <v>92</v>
      </c>
      <c r="H8" s="4">
        <v>194</v>
      </c>
      <c r="I8" s="4">
        <v>204</v>
      </c>
      <c r="J8" s="4">
        <v>51</v>
      </c>
      <c r="K8">
        <v>62</v>
      </c>
      <c r="L8">
        <v>194</v>
      </c>
      <c r="M8">
        <v>201</v>
      </c>
      <c r="N8">
        <v>53</v>
      </c>
      <c r="O8">
        <v>60</v>
      </c>
      <c r="Q8" s="1">
        <f t="shared" si="1"/>
        <v>0.57514450867052025</v>
      </c>
      <c r="R8" s="1">
        <f t="shared" si="2"/>
        <v>0.5997109826589595</v>
      </c>
      <c r="S8" s="1">
        <f t="shared" si="3"/>
        <v>0.10838150289017341</v>
      </c>
      <c r="T8" s="1">
        <f t="shared" si="4"/>
        <v>0.13294797687861271</v>
      </c>
      <c r="U8" s="1">
        <f t="shared" si="5"/>
        <v>0.28034682080924855</v>
      </c>
      <c r="V8" s="1">
        <f t="shared" si="6"/>
        <v>0.2947976878612717</v>
      </c>
      <c r="W8" s="1">
        <f t="shared" si="7"/>
        <v>7.3699421965317924E-2</v>
      </c>
      <c r="X8" s="1">
        <f t="shared" si="8"/>
        <v>8.9595375722543349E-2</v>
      </c>
      <c r="Y8" s="1">
        <f t="shared" si="9"/>
        <v>0.28034682080924855</v>
      </c>
      <c r="Z8" s="1">
        <f t="shared" si="10"/>
        <v>0.29046242774566472</v>
      </c>
      <c r="AA8" s="1">
        <f t="shared" si="11"/>
        <v>7.6589595375722547E-2</v>
      </c>
      <c r="AB8" s="1">
        <f t="shared" si="12"/>
        <v>8.6705202312138727E-2</v>
      </c>
      <c r="AC8" s="1"/>
    </row>
    <row r="9" spans="1:29">
      <c r="A9" s="8"/>
      <c r="B9" t="s">
        <v>17</v>
      </c>
      <c r="C9" s="4">
        <v>591</v>
      </c>
      <c r="D9" s="4">
        <v>248</v>
      </c>
      <c r="E9" s="4">
        <v>253</v>
      </c>
      <c r="F9" s="4">
        <v>32</v>
      </c>
      <c r="G9" s="4">
        <v>36</v>
      </c>
      <c r="H9" s="4">
        <v>146</v>
      </c>
      <c r="I9" s="4">
        <v>149</v>
      </c>
      <c r="J9" s="4">
        <v>42</v>
      </c>
      <c r="K9">
        <v>60</v>
      </c>
      <c r="L9">
        <v>135</v>
      </c>
      <c r="M9">
        <v>144</v>
      </c>
      <c r="N9">
        <v>46</v>
      </c>
      <c r="O9">
        <v>60</v>
      </c>
      <c r="Q9" s="1">
        <f t="shared" si="1"/>
        <v>0.41962774957698817</v>
      </c>
      <c r="R9" s="1">
        <f t="shared" si="2"/>
        <v>0.42808798646362101</v>
      </c>
      <c r="S9" s="1">
        <f t="shared" si="3"/>
        <v>5.4145516074450083E-2</v>
      </c>
      <c r="T9" s="1">
        <f t="shared" si="4"/>
        <v>6.0913705583756347E-2</v>
      </c>
      <c r="U9" s="1">
        <f t="shared" si="5"/>
        <v>0.24703891708967851</v>
      </c>
      <c r="V9" s="1">
        <f t="shared" si="6"/>
        <v>0.25211505922165822</v>
      </c>
      <c r="W9" s="1">
        <f t="shared" si="7"/>
        <v>7.1065989847715741E-2</v>
      </c>
      <c r="X9" s="1">
        <f t="shared" si="8"/>
        <v>0.10152284263959391</v>
      </c>
      <c r="Y9" s="1">
        <f t="shared" si="9"/>
        <v>0.22842639593908629</v>
      </c>
      <c r="Z9" s="1">
        <f t="shared" si="10"/>
        <v>0.24365482233502539</v>
      </c>
      <c r="AA9" s="1">
        <f t="shared" si="11"/>
        <v>7.7834179357021999E-2</v>
      </c>
      <c r="AB9" s="1">
        <f t="shared" si="12"/>
        <v>0.10152284263959391</v>
      </c>
      <c r="AC9" s="1"/>
    </row>
    <row r="10" spans="1:29">
      <c r="A10" s="8"/>
      <c r="B10" t="s">
        <v>18</v>
      </c>
      <c r="C10" s="4">
        <v>807</v>
      </c>
      <c r="D10" s="4">
        <v>372</v>
      </c>
      <c r="E10" s="4">
        <v>390</v>
      </c>
      <c r="F10" s="4">
        <v>96</v>
      </c>
      <c r="G10" s="4">
        <v>122</v>
      </c>
      <c r="H10" s="4">
        <v>191</v>
      </c>
      <c r="I10" s="4">
        <v>202</v>
      </c>
      <c r="J10" s="4">
        <v>86</v>
      </c>
      <c r="K10">
        <v>124</v>
      </c>
      <c r="L10">
        <v>216</v>
      </c>
      <c r="M10">
        <v>223</v>
      </c>
      <c r="N10">
        <v>79</v>
      </c>
      <c r="O10">
        <v>112</v>
      </c>
      <c r="Q10" s="1">
        <f t="shared" si="1"/>
        <v>0.46096654275092935</v>
      </c>
      <c r="R10" s="1">
        <f t="shared" si="2"/>
        <v>0.48327137546468402</v>
      </c>
      <c r="S10" s="1">
        <f t="shared" si="3"/>
        <v>0.11895910780669144</v>
      </c>
      <c r="T10" s="1">
        <f t="shared" si="4"/>
        <v>0.15117719950433706</v>
      </c>
      <c r="U10" s="1">
        <f t="shared" si="5"/>
        <v>0.23667905824039653</v>
      </c>
      <c r="V10" s="1">
        <f t="shared" si="6"/>
        <v>0.2503097893432466</v>
      </c>
      <c r="W10" s="1">
        <f t="shared" si="7"/>
        <v>0.10656753407682776</v>
      </c>
      <c r="X10" s="1">
        <f t="shared" si="8"/>
        <v>0.15365551425030979</v>
      </c>
      <c r="Y10" s="1">
        <f t="shared" si="9"/>
        <v>0.26765799256505574</v>
      </c>
      <c r="Z10" s="1">
        <f t="shared" si="10"/>
        <v>0.27633209417596033</v>
      </c>
      <c r="AA10" s="1">
        <f t="shared" si="11"/>
        <v>9.7893432465923177E-2</v>
      </c>
      <c r="AB10" s="1">
        <f t="shared" si="12"/>
        <v>0.13878562577447337</v>
      </c>
      <c r="AC10" s="1"/>
    </row>
    <row r="11" spans="1:29">
      <c r="A11" s="8"/>
      <c r="B11" t="s">
        <v>19</v>
      </c>
      <c r="C11" s="4">
        <v>881</v>
      </c>
      <c r="D11" s="4">
        <v>433</v>
      </c>
      <c r="E11" s="4">
        <v>449</v>
      </c>
      <c r="F11" s="4">
        <v>97</v>
      </c>
      <c r="G11" s="4">
        <v>108</v>
      </c>
      <c r="H11" s="4">
        <v>228</v>
      </c>
      <c r="I11" s="4">
        <v>235</v>
      </c>
      <c r="J11" s="4">
        <v>75</v>
      </c>
      <c r="K11">
        <v>91</v>
      </c>
      <c r="L11">
        <v>181</v>
      </c>
      <c r="M11">
        <v>190</v>
      </c>
      <c r="N11">
        <v>72</v>
      </c>
      <c r="O11">
        <v>93</v>
      </c>
      <c r="Q11" s="1">
        <f t="shared" si="1"/>
        <v>0.49148694665153236</v>
      </c>
      <c r="R11" s="1">
        <f t="shared" si="2"/>
        <v>0.50964812712826335</v>
      </c>
      <c r="S11" s="1">
        <f t="shared" si="3"/>
        <v>0.11010215664018161</v>
      </c>
      <c r="T11" s="1">
        <f t="shared" si="4"/>
        <v>0.12258796821793416</v>
      </c>
      <c r="U11" s="1">
        <f t="shared" si="5"/>
        <v>0.25879682179341656</v>
      </c>
      <c r="V11" s="1">
        <f t="shared" si="6"/>
        <v>0.2667423382519864</v>
      </c>
      <c r="W11" s="1">
        <f t="shared" si="7"/>
        <v>8.5130533484676502E-2</v>
      </c>
      <c r="X11" s="1">
        <f t="shared" si="8"/>
        <v>0.10329171396140749</v>
      </c>
      <c r="Y11" s="1">
        <f t="shared" si="9"/>
        <v>0.20544835414301929</v>
      </c>
      <c r="Z11" s="1">
        <f t="shared" si="10"/>
        <v>0.21566401816118047</v>
      </c>
      <c r="AA11" s="1">
        <f t="shared" si="11"/>
        <v>8.1725312145289442E-2</v>
      </c>
      <c r="AB11" s="1">
        <f t="shared" si="12"/>
        <v>0.10556186152099886</v>
      </c>
      <c r="AC11" s="1"/>
    </row>
    <row r="12" spans="1:29">
      <c r="A12" s="8" t="s">
        <v>59</v>
      </c>
      <c r="B12" t="s">
        <v>21</v>
      </c>
      <c r="C12" s="4">
        <v>600</v>
      </c>
      <c r="D12" s="4">
        <v>171</v>
      </c>
      <c r="E12" s="4">
        <v>180</v>
      </c>
      <c r="F12" s="4">
        <v>26</v>
      </c>
      <c r="G12" s="4">
        <v>36</v>
      </c>
      <c r="H12" s="4">
        <v>169</v>
      </c>
      <c r="I12" s="4">
        <v>175</v>
      </c>
      <c r="J12" s="4">
        <v>38</v>
      </c>
      <c r="K12">
        <v>50</v>
      </c>
      <c r="L12">
        <v>119</v>
      </c>
      <c r="M12">
        <v>126</v>
      </c>
      <c r="N12">
        <v>25</v>
      </c>
      <c r="O12">
        <v>31</v>
      </c>
      <c r="Q12" s="1">
        <f t="shared" si="1"/>
        <v>0.28499999999999998</v>
      </c>
      <c r="R12" s="1">
        <f t="shared" si="2"/>
        <v>0.3</v>
      </c>
      <c r="S12" s="1">
        <f t="shared" si="3"/>
        <v>4.3333333333333335E-2</v>
      </c>
      <c r="T12" s="1">
        <f t="shared" si="4"/>
        <v>0.06</v>
      </c>
      <c r="U12" s="1">
        <f t="shared" si="5"/>
        <v>0.28166666666666668</v>
      </c>
      <c r="V12" s="1">
        <f t="shared" si="6"/>
        <v>0.29166666666666669</v>
      </c>
      <c r="W12" s="1">
        <f t="shared" si="7"/>
        <v>6.3333333333333339E-2</v>
      </c>
      <c r="X12" s="1">
        <f t="shared" si="8"/>
        <v>8.3333333333333329E-2</v>
      </c>
      <c r="Y12" s="1">
        <f t="shared" si="9"/>
        <v>0.19833333333333333</v>
      </c>
      <c r="Z12" s="1">
        <f t="shared" si="10"/>
        <v>0.21</v>
      </c>
      <c r="AA12" s="1">
        <f t="shared" si="11"/>
        <v>4.1666666666666664E-2</v>
      </c>
      <c r="AB12" s="1">
        <f t="shared" si="12"/>
        <v>5.1666666666666666E-2</v>
      </c>
      <c r="AC12" s="1"/>
    </row>
    <row r="13" spans="1:29">
      <c r="A13" s="8"/>
      <c r="B13" t="s">
        <v>22</v>
      </c>
      <c r="C13" s="4">
        <v>752</v>
      </c>
      <c r="D13" s="4">
        <v>235</v>
      </c>
      <c r="E13" s="4">
        <v>246</v>
      </c>
      <c r="F13" s="4">
        <v>49</v>
      </c>
      <c r="G13" s="4">
        <v>56</v>
      </c>
      <c r="H13" s="4">
        <v>172</v>
      </c>
      <c r="I13" s="4">
        <v>183</v>
      </c>
      <c r="J13" s="4">
        <v>55</v>
      </c>
      <c r="K13">
        <v>72</v>
      </c>
      <c r="L13">
        <v>166</v>
      </c>
      <c r="M13">
        <v>174</v>
      </c>
      <c r="N13">
        <v>63</v>
      </c>
      <c r="O13">
        <v>76</v>
      </c>
      <c r="Q13" s="1">
        <f t="shared" si="1"/>
        <v>0.3125</v>
      </c>
      <c r="R13" s="1">
        <f t="shared" si="2"/>
        <v>0.3271276595744681</v>
      </c>
      <c r="S13" s="1">
        <f t="shared" si="3"/>
        <v>6.515957446808511E-2</v>
      </c>
      <c r="T13" s="1">
        <f t="shared" si="4"/>
        <v>7.4468085106382975E-2</v>
      </c>
      <c r="U13" s="1">
        <f t="shared" si="5"/>
        <v>0.22872340425531915</v>
      </c>
      <c r="V13" s="1">
        <f t="shared" si="6"/>
        <v>0.24335106382978725</v>
      </c>
      <c r="W13" s="1">
        <f t="shared" si="7"/>
        <v>7.3138297872340427E-2</v>
      </c>
      <c r="X13" s="1">
        <f t="shared" si="8"/>
        <v>9.5744680851063829E-2</v>
      </c>
      <c r="Y13" s="1">
        <f t="shared" si="9"/>
        <v>0.22074468085106383</v>
      </c>
      <c r="Z13" s="1">
        <f t="shared" si="10"/>
        <v>0.23138297872340424</v>
      </c>
      <c r="AA13" s="1">
        <f t="shared" si="11"/>
        <v>8.3776595744680854E-2</v>
      </c>
      <c r="AB13" s="1">
        <f t="shared" si="12"/>
        <v>0.10106382978723404</v>
      </c>
      <c r="AC13" s="1"/>
    </row>
    <row r="14" spans="1:29">
      <c r="A14" s="8"/>
      <c r="B14" t="s">
        <v>23</v>
      </c>
      <c r="C14" s="4">
        <v>545</v>
      </c>
      <c r="D14" s="4">
        <v>198</v>
      </c>
      <c r="E14" s="4">
        <v>208</v>
      </c>
      <c r="F14" s="4">
        <v>31</v>
      </c>
      <c r="G14" s="4">
        <v>37</v>
      </c>
      <c r="H14" s="4">
        <v>142</v>
      </c>
      <c r="I14" s="4">
        <v>155</v>
      </c>
      <c r="J14" s="4">
        <v>34</v>
      </c>
      <c r="K14">
        <v>41</v>
      </c>
      <c r="L14">
        <v>133</v>
      </c>
      <c r="M14">
        <v>142</v>
      </c>
      <c r="N14">
        <v>29</v>
      </c>
      <c r="O14">
        <v>36</v>
      </c>
      <c r="Q14" s="1">
        <f t="shared" si="1"/>
        <v>0.363302752293578</v>
      </c>
      <c r="R14" s="1">
        <f t="shared" si="2"/>
        <v>0.38165137614678901</v>
      </c>
      <c r="S14" s="1">
        <f t="shared" si="3"/>
        <v>5.6880733944954132E-2</v>
      </c>
      <c r="T14" s="1">
        <f t="shared" si="4"/>
        <v>6.7889908256880738E-2</v>
      </c>
      <c r="U14" s="1">
        <f t="shared" si="5"/>
        <v>0.26055045871559634</v>
      </c>
      <c r="V14" s="1">
        <f t="shared" si="6"/>
        <v>0.28440366972477066</v>
      </c>
      <c r="W14" s="1">
        <f t="shared" si="7"/>
        <v>6.2385321100917435E-2</v>
      </c>
      <c r="X14" s="1">
        <f t="shared" si="8"/>
        <v>7.5229357798165142E-2</v>
      </c>
      <c r="Y14" s="1">
        <f t="shared" si="9"/>
        <v>0.24403669724770644</v>
      </c>
      <c r="Z14" s="1">
        <f t="shared" si="10"/>
        <v>0.26055045871559634</v>
      </c>
      <c r="AA14" s="1">
        <f t="shared" si="11"/>
        <v>5.321100917431193E-2</v>
      </c>
      <c r="AB14" s="1">
        <f t="shared" si="12"/>
        <v>6.6055045871559637E-2</v>
      </c>
      <c r="AC14" s="1"/>
    </row>
    <row r="15" spans="1:29">
      <c r="A15" s="8"/>
      <c r="B15" t="s">
        <v>24</v>
      </c>
      <c r="C15" s="4">
        <v>903</v>
      </c>
      <c r="D15" s="4">
        <v>286</v>
      </c>
      <c r="E15" s="4">
        <v>302</v>
      </c>
      <c r="F15" s="4">
        <v>49</v>
      </c>
      <c r="G15" s="4">
        <v>56</v>
      </c>
      <c r="H15" s="4">
        <v>216</v>
      </c>
      <c r="I15" s="4">
        <v>226</v>
      </c>
      <c r="J15" s="4">
        <v>53</v>
      </c>
      <c r="K15">
        <v>66</v>
      </c>
      <c r="L15">
        <v>184</v>
      </c>
      <c r="M15">
        <v>190</v>
      </c>
      <c r="N15">
        <v>53</v>
      </c>
      <c r="O15">
        <v>63</v>
      </c>
      <c r="Q15" s="1">
        <f t="shared" si="1"/>
        <v>0.31672203765227019</v>
      </c>
      <c r="R15" s="1">
        <f t="shared" si="2"/>
        <v>0.33444075304540422</v>
      </c>
      <c r="S15" s="1">
        <f t="shared" si="3"/>
        <v>5.4263565891472867E-2</v>
      </c>
      <c r="T15" s="1">
        <f t="shared" si="4"/>
        <v>6.2015503875968991E-2</v>
      </c>
      <c r="U15" s="1">
        <f t="shared" si="5"/>
        <v>0.23920265780730898</v>
      </c>
      <c r="V15" s="1">
        <f t="shared" si="6"/>
        <v>0.25027685492801771</v>
      </c>
      <c r="W15" s="1">
        <f t="shared" si="7"/>
        <v>5.8693244739756366E-2</v>
      </c>
      <c r="X15" s="1">
        <f t="shared" si="8"/>
        <v>7.3089700996677748E-2</v>
      </c>
      <c r="Y15" s="1">
        <f t="shared" si="9"/>
        <v>0.20376522702104097</v>
      </c>
      <c r="Z15" s="1">
        <f t="shared" si="10"/>
        <v>0.21040974529346623</v>
      </c>
      <c r="AA15" s="1">
        <f t="shared" si="11"/>
        <v>5.8693244739756366E-2</v>
      </c>
      <c r="AB15" s="1">
        <f t="shared" si="12"/>
        <v>6.9767441860465115E-2</v>
      </c>
      <c r="AC15" s="1"/>
    </row>
    <row r="16" spans="1:29">
      <c r="A16" s="8"/>
      <c r="B16" t="s">
        <v>25</v>
      </c>
      <c r="C16" s="4">
        <v>660</v>
      </c>
      <c r="D16" s="4">
        <v>208</v>
      </c>
      <c r="E16" s="4">
        <v>220</v>
      </c>
      <c r="F16" s="4">
        <v>59</v>
      </c>
      <c r="G16" s="4">
        <v>73</v>
      </c>
      <c r="H16" s="4">
        <v>182</v>
      </c>
      <c r="I16" s="4">
        <v>194</v>
      </c>
      <c r="J16" s="4">
        <v>72</v>
      </c>
      <c r="K16">
        <v>95</v>
      </c>
      <c r="L16">
        <v>169</v>
      </c>
      <c r="M16">
        <v>178</v>
      </c>
      <c r="N16">
        <v>57</v>
      </c>
      <c r="O16">
        <v>72</v>
      </c>
      <c r="Q16" s="1">
        <f t="shared" si="1"/>
        <v>0.31515151515151513</v>
      </c>
      <c r="R16" s="1">
        <f t="shared" si="2"/>
        <v>0.33333333333333331</v>
      </c>
      <c r="S16" s="1">
        <f t="shared" si="3"/>
        <v>8.9393939393939401E-2</v>
      </c>
      <c r="T16" s="1">
        <f t="shared" si="4"/>
        <v>0.11060606060606061</v>
      </c>
      <c r="U16" s="1">
        <f t="shared" si="5"/>
        <v>0.27575757575757576</v>
      </c>
      <c r="V16" s="1">
        <f t="shared" si="6"/>
        <v>0.29393939393939394</v>
      </c>
      <c r="W16" s="1">
        <f t="shared" si="7"/>
        <v>0.10909090909090909</v>
      </c>
      <c r="X16" s="1">
        <f t="shared" si="8"/>
        <v>0.14393939393939395</v>
      </c>
      <c r="Y16" s="1">
        <f t="shared" si="9"/>
        <v>0.25606060606060604</v>
      </c>
      <c r="Z16" s="1">
        <f t="shared" si="10"/>
        <v>0.26969696969696971</v>
      </c>
      <c r="AA16" s="1">
        <f t="shared" si="11"/>
        <v>8.6363636363636365E-2</v>
      </c>
      <c r="AB16" s="1">
        <f t="shared" si="12"/>
        <v>0.10909090909090909</v>
      </c>
      <c r="AC16" s="1"/>
    </row>
    <row r="17" spans="1:29">
      <c r="A17" s="8"/>
      <c r="B17" t="s">
        <v>26</v>
      </c>
      <c r="C17" s="4">
        <v>614</v>
      </c>
      <c r="D17" s="4">
        <v>189</v>
      </c>
      <c r="E17" s="4">
        <v>198</v>
      </c>
      <c r="F17" s="4">
        <v>39</v>
      </c>
      <c r="G17" s="4">
        <v>50</v>
      </c>
      <c r="H17" s="4">
        <v>159</v>
      </c>
      <c r="I17" s="4">
        <v>168</v>
      </c>
      <c r="J17" s="4">
        <v>59</v>
      </c>
      <c r="K17">
        <v>81</v>
      </c>
      <c r="L17">
        <v>142</v>
      </c>
      <c r="M17">
        <v>150</v>
      </c>
      <c r="N17">
        <v>59</v>
      </c>
      <c r="O17">
        <v>74</v>
      </c>
      <c r="Q17" s="1">
        <f t="shared" si="1"/>
        <v>0.30781758957654726</v>
      </c>
      <c r="R17" s="1">
        <f t="shared" si="2"/>
        <v>0.32247557003257327</v>
      </c>
      <c r="S17" s="1">
        <f t="shared" si="3"/>
        <v>6.3517915309446255E-2</v>
      </c>
      <c r="T17" s="1">
        <f t="shared" si="4"/>
        <v>8.143322475570032E-2</v>
      </c>
      <c r="U17" s="1">
        <f t="shared" si="5"/>
        <v>0.25895765472312704</v>
      </c>
      <c r="V17" s="1">
        <f t="shared" si="6"/>
        <v>0.2736156351791531</v>
      </c>
      <c r="W17" s="1">
        <f t="shared" si="7"/>
        <v>9.6091205211726385E-2</v>
      </c>
      <c r="X17" s="1">
        <f t="shared" si="8"/>
        <v>0.13192182410423453</v>
      </c>
      <c r="Y17" s="1">
        <f t="shared" si="9"/>
        <v>0.23127035830618892</v>
      </c>
      <c r="Z17" s="1">
        <f t="shared" si="10"/>
        <v>0.24429967426710097</v>
      </c>
      <c r="AA17" s="1">
        <f t="shared" si="11"/>
        <v>9.6091205211726385E-2</v>
      </c>
      <c r="AB17" s="1">
        <f t="shared" si="12"/>
        <v>0.12052117263843648</v>
      </c>
      <c r="AC17" s="1"/>
    </row>
    <row r="18" spans="1:29">
      <c r="A18" s="8"/>
      <c r="B18" t="s">
        <v>27</v>
      </c>
      <c r="C18" s="4">
        <v>472</v>
      </c>
      <c r="D18" s="4">
        <v>156</v>
      </c>
      <c r="E18" s="4">
        <v>161</v>
      </c>
      <c r="F18" s="4">
        <v>33</v>
      </c>
      <c r="G18" s="4">
        <v>46</v>
      </c>
      <c r="H18" s="4">
        <v>117</v>
      </c>
      <c r="I18" s="4">
        <v>124</v>
      </c>
      <c r="J18" s="4">
        <v>45</v>
      </c>
      <c r="K18">
        <v>66</v>
      </c>
      <c r="L18">
        <v>104</v>
      </c>
      <c r="M18">
        <v>115</v>
      </c>
      <c r="N18">
        <v>41</v>
      </c>
      <c r="O18">
        <v>55</v>
      </c>
      <c r="Q18" s="1">
        <f t="shared" si="1"/>
        <v>0.33050847457627119</v>
      </c>
      <c r="R18" s="1">
        <f t="shared" si="2"/>
        <v>0.34110169491525422</v>
      </c>
      <c r="S18" s="1">
        <f t="shared" si="3"/>
        <v>6.991525423728813E-2</v>
      </c>
      <c r="T18" s="1">
        <f t="shared" si="4"/>
        <v>9.7457627118644072E-2</v>
      </c>
      <c r="U18" s="1">
        <f t="shared" si="5"/>
        <v>0.2478813559322034</v>
      </c>
      <c r="V18" s="1">
        <f t="shared" si="6"/>
        <v>0.26271186440677968</v>
      </c>
      <c r="W18" s="1">
        <f t="shared" si="7"/>
        <v>9.5338983050847453E-2</v>
      </c>
      <c r="X18" s="1">
        <f t="shared" si="8"/>
        <v>0.13983050847457626</v>
      </c>
      <c r="Y18" s="1">
        <f t="shared" si="9"/>
        <v>0.22033898305084745</v>
      </c>
      <c r="Z18" s="1">
        <f t="shared" si="10"/>
        <v>0.24364406779661016</v>
      </c>
      <c r="AA18" s="1">
        <f t="shared" si="11"/>
        <v>8.6864406779661021E-2</v>
      </c>
      <c r="AB18" s="1">
        <f t="shared" si="12"/>
        <v>0.11652542372881355</v>
      </c>
      <c r="AC18" s="1"/>
    </row>
    <row r="19" spans="1:29">
      <c r="A19" s="8"/>
      <c r="B19" t="s">
        <v>28</v>
      </c>
      <c r="C19" s="4">
        <v>790</v>
      </c>
      <c r="D19" s="4">
        <v>192</v>
      </c>
      <c r="E19" s="4">
        <v>199</v>
      </c>
      <c r="F19" s="4">
        <v>36</v>
      </c>
      <c r="G19" s="4">
        <v>46</v>
      </c>
      <c r="H19" s="4">
        <v>183</v>
      </c>
      <c r="I19" s="4">
        <v>192</v>
      </c>
      <c r="J19" s="4">
        <v>57</v>
      </c>
      <c r="K19">
        <v>80</v>
      </c>
      <c r="L19">
        <v>190</v>
      </c>
      <c r="M19">
        <v>205</v>
      </c>
      <c r="N19">
        <v>68</v>
      </c>
      <c r="O19">
        <v>90</v>
      </c>
      <c r="Q19" s="1">
        <f t="shared" si="1"/>
        <v>0.24303797468354429</v>
      </c>
      <c r="R19" s="1">
        <f t="shared" si="2"/>
        <v>0.2518987341772152</v>
      </c>
      <c r="S19" s="1">
        <f t="shared" si="3"/>
        <v>4.5569620253164557E-2</v>
      </c>
      <c r="T19" s="1">
        <f t="shared" si="4"/>
        <v>5.8227848101265821E-2</v>
      </c>
      <c r="U19" s="1">
        <f t="shared" si="5"/>
        <v>0.23164556962025318</v>
      </c>
      <c r="V19" s="1">
        <f t="shared" si="6"/>
        <v>0.24303797468354429</v>
      </c>
      <c r="W19" s="1">
        <f t="shared" si="7"/>
        <v>7.2151898734177211E-2</v>
      </c>
      <c r="X19" s="1">
        <f t="shared" si="8"/>
        <v>0.10126582278481013</v>
      </c>
      <c r="Y19" s="1">
        <f t="shared" si="9"/>
        <v>0.24050632911392406</v>
      </c>
      <c r="Z19" s="1">
        <f t="shared" si="10"/>
        <v>0.25949367088607594</v>
      </c>
      <c r="AA19" s="1">
        <f t="shared" si="11"/>
        <v>8.6075949367088608E-2</v>
      </c>
      <c r="AB19" s="1">
        <f t="shared" si="12"/>
        <v>0.11392405063291139</v>
      </c>
      <c r="AC19" s="1"/>
    </row>
    <row r="20" spans="1:29">
      <c r="A20" s="8" t="s">
        <v>60</v>
      </c>
      <c r="B20" t="s">
        <v>21</v>
      </c>
      <c r="C20" s="4">
        <v>607</v>
      </c>
      <c r="D20" s="4">
        <v>179</v>
      </c>
      <c r="E20" s="4">
        <v>199</v>
      </c>
      <c r="F20" s="4">
        <v>28</v>
      </c>
      <c r="G20" s="4">
        <v>35</v>
      </c>
      <c r="H20" s="4">
        <v>173</v>
      </c>
      <c r="I20" s="4">
        <v>185</v>
      </c>
      <c r="J20" s="4">
        <v>42</v>
      </c>
      <c r="K20">
        <v>52</v>
      </c>
      <c r="L20">
        <v>135</v>
      </c>
      <c r="M20">
        <v>138</v>
      </c>
      <c r="N20">
        <v>33</v>
      </c>
      <c r="O20">
        <v>43</v>
      </c>
      <c r="Q20" s="1">
        <f t="shared" si="1"/>
        <v>0.29489291598023065</v>
      </c>
      <c r="R20" s="1">
        <f t="shared" si="2"/>
        <v>0.32784184514003295</v>
      </c>
      <c r="S20" s="1">
        <f t="shared" si="3"/>
        <v>4.6128500823723231E-2</v>
      </c>
      <c r="T20" s="1">
        <f t="shared" si="4"/>
        <v>5.7660626029654036E-2</v>
      </c>
      <c r="U20" s="1">
        <f t="shared" si="5"/>
        <v>0.28500823723228996</v>
      </c>
      <c r="V20" s="1">
        <f t="shared" si="6"/>
        <v>0.30477759472817134</v>
      </c>
      <c r="W20" s="1">
        <f t="shared" si="7"/>
        <v>6.919275123558484E-2</v>
      </c>
      <c r="X20" s="1">
        <f t="shared" si="8"/>
        <v>8.5667215815486003E-2</v>
      </c>
      <c r="Y20" s="1">
        <f t="shared" si="9"/>
        <v>0.22240527182866557</v>
      </c>
      <c r="Z20" s="1">
        <f t="shared" si="10"/>
        <v>0.22734761120263591</v>
      </c>
      <c r="AA20" s="1">
        <f t="shared" si="11"/>
        <v>5.4365733113673806E-2</v>
      </c>
      <c r="AB20" s="1">
        <f t="shared" si="12"/>
        <v>7.0840197693574955E-2</v>
      </c>
      <c r="AC20" s="1"/>
    </row>
    <row r="21" spans="1:29">
      <c r="A21" s="8"/>
      <c r="B21" t="s">
        <v>22</v>
      </c>
      <c r="C21" s="4">
        <v>761</v>
      </c>
      <c r="D21" s="4">
        <v>198</v>
      </c>
      <c r="E21" s="4">
        <v>210</v>
      </c>
      <c r="F21" s="4">
        <v>44</v>
      </c>
      <c r="G21" s="4">
        <v>48</v>
      </c>
      <c r="H21" s="4">
        <v>176</v>
      </c>
      <c r="I21" s="4">
        <v>183</v>
      </c>
      <c r="J21" s="4">
        <v>55</v>
      </c>
      <c r="K21">
        <v>69</v>
      </c>
      <c r="L21">
        <v>156</v>
      </c>
      <c r="M21">
        <v>161</v>
      </c>
      <c r="N21">
        <v>61</v>
      </c>
      <c r="O21">
        <v>74</v>
      </c>
      <c r="Q21" s="1">
        <f t="shared" si="1"/>
        <v>0.26018396846254926</v>
      </c>
      <c r="R21" s="1">
        <f t="shared" si="2"/>
        <v>0.27595269382391591</v>
      </c>
      <c r="S21" s="1">
        <f t="shared" si="3"/>
        <v>5.7818659658344283E-2</v>
      </c>
      <c r="T21" s="1">
        <f t="shared" si="4"/>
        <v>6.3074901445466486E-2</v>
      </c>
      <c r="U21" s="1">
        <f t="shared" si="5"/>
        <v>0.23127463863337713</v>
      </c>
      <c r="V21" s="1">
        <f t="shared" si="6"/>
        <v>0.24047306176084099</v>
      </c>
      <c r="W21" s="1">
        <f t="shared" si="7"/>
        <v>7.2273324572930356E-2</v>
      </c>
      <c r="X21" s="1">
        <f t="shared" si="8"/>
        <v>9.0670170827858082E-2</v>
      </c>
      <c r="Y21" s="1">
        <f t="shared" si="9"/>
        <v>0.2049934296977661</v>
      </c>
      <c r="Z21" s="1">
        <f t="shared" si="10"/>
        <v>0.21156373193166886</v>
      </c>
      <c r="AA21" s="1">
        <f t="shared" si="11"/>
        <v>8.0157687253613663E-2</v>
      </c>
      <c r="AB21" s="1">
        <f t="shared" si="12"/>
        <v>9.724047306176084E-2</v>
      </c>
      <c r="AC21" s="1"/>
    </row>
    <row r="22" spans="1:29">
      <c r="A22" s="8"/>
      <c r="B22" t="s">
        <v>23</v>
      </c>
      <c r="C22" s="4">
        <v>562</v>
      </c>
      <c r="D22" s="4">
        <v>164</v>
      </c>
      <c r="E22" s="4">
        <v>193</v>
      </c>
      <c r="F22" s="4">
        <v>31</v>
      </c>
      <c r="G22" s="4">
        <v>39</v>
      </c>
      <c r="H22" s="4">
        <v>147</v>
      </c>
      <c r="I22" s="4">
        <v>156</v>
      </c>
      <c r="J22" s="4">
        <v>38</v>
      </c>
      <c r="K22">
        <v>48</v>
      </c>
      <c r="L22">
        <v>119</v>
      </c>
      <c r="M22">
        <v>125</v>
      </c>
      <c r="N22">
        <v>30</v>
      </c>
      <c r="O22">
        <v>36</v>
      </c>
      <c r="Q22" s="1">
        <f t="shared" si="1"/>
        <v>0.29181494661921709</v>
      </c>
      <c r="R22" s="1">
        <f t="shared" si="2"/>
        <v>0.34341637010676157</v>
      </c>
      <c r="S22" s="1">
        <f t="shared" si="3"/>
        <v>5.5160142348754451E-2</v>
      </c>
      <c r="T22" s="1">
        <f t="shared" si="4"/>
        <v>6.9395017793594305E-2</v>
      </c>
      <c r="U22" s="1">
        <f t="shared" si="5"/>
        <v>0.26156583629893237</v>
      </c>
      <c r="V22" s="1">
        <f t="shared" si="6"/>
        <v>0.27758007117437722</v>
      </c>
      <c r="W22" s="1">
        <f t="shared" si="7"/>
        <v>6.7615658362989328E-2</v>
      </c>
      <c r="X22" s="1">
        <f t="shared" si="8"/>
        <v>8.5409252669039148E-2</v>
      </c>
      <c r="Y22" s="1">
        <f t="shared" si="9"/>
        <v>0.21174377224199289</v>
      </c>
      <c r="Z22" s="1">
        <f t="shared" si="10"/>
        <v>0.22241992882562278</v>
      </c>
      <c r="AA22" s="1">
        <f t="shared" si="11"/>
        <v>5.3380782918149468E-2</v>
      </c>
      <c r="AB22" s="1">
        <f t="shared" si="12"/>
        <v>6.4056939501779361E-2</v>
      </c>
      <c r="AC22" s="1"/>
    </row>
    <row r="23" spans="1:29">
      <c r="A23" s="8"/>
      <c r="B23" t="s">
        <v>24</v>
      </c>
      <c r="C23" s="4">
        <v>911</v>
      </c>
      <c r="D23" s="4">
        <v>285</v>
      </c>
      <c r="E23" s="4">
        <v>308</v>
      </c>
      <c r="F23" s="4">
        <v>56</v>
      </c>
      <c r="G23" s="4">
        <v>76</v>
      </c>
      <c r="H23" s="4">
        <v>225</v>
      </c>
      <c r="I23" s="4">
        <v>230</v>
      </c>
      <c r="J23" s="4">
        <v>65</v>
      </c>
      <c r="K23">
        <v>78</v>
      </c>
      <c r="L23">
        <v>177</v>
      </c>
      <c r="M23">
        <v>187</v>
      </c>
      <c r="N23">
        <v>50</v>
      </c>
      <c r="O23">
        <v>57</v>
      </c>
      <c r="Q23" s="1">
        <f t="shared" si="1"/>
        <v>0.31284302963776073</v>
      </c>
      <c r="R23" s="1">
        <f t="shared" si="2"/>
        <v>0.33809001097694841</v>
      </c>
      <c r="S23" s="1">
        <f t="shared" si="3"/>
        <v>6.1470911086717893E-2</v>
      </c>
      <c r="T23" s="1">
        <f t="shared" si="4"/>
        <v>8.3424807903402856E-2</v>
      </c>
      <c r="U23" s="1">
        <f t="shared" si="5"/>
        <v>0.24698133918770582</v>
      </c>
      <c r="V23" s="1">
        <f t="shared" si="6"/>
        <v>0.25246981339187707</v>
      </c>
      <c r="W23" s="1">
        <f t="shared" si="7"/>
        <v>7.1350164654226125E-2</v>
      </c>
      <c r="X23" s="1">
        <f t="shared" si="8"/>
        <v>8.5620197585071348E-2</v>
      </c>
      <c r="Y23" s="1">
        <f t="shared" si="9"/>
        <v>0.19429198682766191</v>
      </c>
      <c r="Z23" s="1">
        <f t="shared" si="10"/>
        <v>0.2052689352360044</v>
      </c>
      <c r="AA23" s="1">
        <f t="shared" si="11"/>
        <v>5.4884742041712405E-2</v>
      </c>
      <c r="AB23" s="1">
        <f t="shared" si="12"/>
        <v>6.2568605927552146E-2</v>
      </c>
      <c r="AC23" s="1"/>
    </row>
    <row r="24" spans="1:29">
      <c r="A24" s="8"/>
      <c r="B24" t="s">
        <v>25</v>
      </c>
      <c r="C24" s="4">
        <v>670</v>
      </c>
      <c r="D24" s="4">
        <v>210</v>
      </c>
      <c r="E24" s="4">
        <v>224</v>
      </c>
      <c r="F24" s="4">
        <v>65</v>
      </c>
      <c r="G24" s="4">
        <v>80</v>
      </c>
      <c r="H24" s="4">
        <v>192</v>
      </c>
      <c r="I24" s="4">
        <v>199</v>
      </c>
      <c r="J24" s="4">
        <v>74</v>
      </c>
      <c r="K24">
        <v>105</v>
      </c>
      <c r="L24">
        <v>172</v>
      </c>
      <c r="M24">
        <v>178</v>
      </c>
      <c r="N24">
        <v>54</v>
      </c>
      <c r="O24">
        <v>66</v>
      </c>
      <c r="Q24" s="1">
        <f t="shared" si="1"/>
        <v>0.31343283582089554</v>
      </c>
      <c r="R24" s="1">
        <f t="shared" si="2"/>
        <v>0.33432835820895523</v>
      </c>
      <c r="S24" s="1">
        <f t="shared" si="3"/>
        <v>9.7014925373134331E-2</v>
      </c>
      <c r="T24" s="1">
        <f t="shared" si="4"/>
        <v>0.11940298507462686</v>
      </c>
      <c r="U24" s="1">
        <f t="shared" si="5"/>
        <v>0.28656716417910449</v>
      </c>
      <c r="V24" s="1">
        <f t="shared" si="6"/>
        <v>0.29701492537313434</v>
      </c>
      <c r="W24" s="1">
        <f t="shared" si="7"/>
        <v>0.11044776119402985</v>
      </c>
      <c r="X24" s="1">
        <f t="shared" si="8"/>
        <v>0.15671641791044777</v>
      </c>
      <c r="Y24" s="1">
        <f t="shared" si="9"/>
        <v>0.25671641791044775</v>
      </c>
      <c r="Z24" s="1">
        <f t="shared" si="10"/>
        <v>0.2656716417910448</v>
      </c>
      <c r="AA24" s="1">
        <f t="shared" si="11"/>
        <v>8.0597014925373134E-2</v>
      </c>
      <c r="AB24" s="1">
        <f t="shared" si="12"/>
        <v>9.8507462686567168E-2</v>
      </c>
      <c r="AC24" s="1"/>
    </row>
    <row r="25" spans="1:29">
      <c r="A25" s="8"/>
      <c r="B25" t="s">
        <v>26</v>
      </c>
      <c r="C25" s="4">
        <v>625</v>
      </c>
      <c r="D25" s="4">
        <v>188</v>
      </c>
      <c r="E25" s="4">
        <v>205</v>
      </c>
      <c r="F25" s="4">
        <v>40</v>
      </c>
      <c r="G25" s="4">
        <v>53</v>
      </c>
      <c r="H25" s="4">
        <v>152</v>
      </c>
      <c r="I25" s="4">
        <v>155</v>
      </c>
      <c r="J25" s="4">
        <v>43</v>
      </c>
      <c r="K25">
        <v>64</v>
      </c>
      <c r="L25">
        <v>125</v>
      </c>
      <c r="M25">
        <v>136</v>
      </c>
      <c r="N25">
        <v>44</v>
      </c>
      <c r="O25">
        <v>53</v>
      </c>
      <c r="Q25" s="1">
        <f t="shared" si="1"/>
        <v>0.30080000000000001</v>
      </c>
      <c r="R25" s="1">
        <f t="shared" si="2"/>
        <v>0.32800000000000001</v>
      </c>
      <c r="S25" s="1">
        <f t="shared" si="3"/>
        <v>6.4000000000000001E-2</v>
      </c>
      <c r="T25" s="1">
        <f t="shared" si="4"/>
        <v>8.48E-2</v>
      </c>
      <c r="U25" s="1">
        <f t="shared" si="5"/>
        <v>0.2432</v>
      </c>
      <c r="V25" s="1">
        <f t="shared" si="6"/>
        <v>0.248</v>
      </c>
      <c r="W25" s="1">
        <f t="shared" si="7"/>
        <v>6.88E-2</v>
      </c>
      <c r="X25" s="1">
        <f t="shared" si="8"/>
        <v>0.1024</v>
      </c>
      <c r="Y25" s="1">
        <f t="shared" si="9"/>
        <v>0.2</v>
      </c>
      <c r="Z25" s="1">
        <f t="shared" si="10"/>
        <v>0.21759999999999999</v>
      </c>
      <c r="AA25" s="1">
        <f t="shared" si="11"/>
        <v>7.0400000000000004E-2</v>
      </c>
      <c r="AB25" s="1">
        <f t="shared" si="12"/>
        <v>8.48E-2</v>
      </c>
      <c r="AC25" s="1"/>
    </row>
    <row r="26" spans="1:29">
      <c r="A26" s="8"/>
      <c r="B26" t="s">
        <v>27</v>
      </c>
      <c r="C26" s="4">
        <v>482</v>
      </c>
      <c r="D26" s="4">
        <v>142</v>
      </c>
      <c r="E26" s="4">
        <v>150</v>
      </c>
      <c r="F26" s="4">
        <v>30</v>
      </c>
      <c r="G26" s="4">
        <v>39</v>
      </c>
      <c r="H26" s="4">
        <v>118</v>
      </c>
      <c r="I26" s="4">
        <v>121</v>
      </c>
      <c r="J26" s="4">
        <v>46</v>
      </c>
      <c r="K26">
        <v>64</v>
      </c>
      <c r="L26">
        <v>90</v>
      </c>
      <c r="M26">
        <v>92</v>
      </c>
      <c r="N26">
        <v>33</v>
      </c>
      <c r="O26">
        <v>42</v>
      </c>
      <c r="Q26" s="1">
        <f t="shared" si="1"/>
        <v>0.29460580912863071</v>
      </c>
      <c r="R26" s="1">
        <f t="shared" si="2"/>
        <v>0.31120331950207469</v>
      </c>
      <c r="S26" s="1">
        <f t="shared" si="3"/>
        <v>6.2240663900414939E-2</v>
      </c>
      <c r="T26" s="1">
        <f t="shared" si="4"/>
        <v>8.0912863070539423E-2</v>
      </c>
      <c r="U26" s="1">
        <f t="shared" si="5"/>
        <v>0.24481327800829875</v>
      </c>
      <c r="V26" s="1">
        <f t="shared" si="6"/>
        <v>0.25103734439834025</v>
      </c>
      <c r="W26" s="1">
        <f t="shared" si="7"/>
        <v>9.5435684647302899E-2</v>
      </c>
      <c r="X26" s="1">
        <f t="shared" si="8"/>
        <v>0.13278008298755187</v>
      </c>
      <c r="Y26" s="1">
        <f t="shared" si="9"/>
        <v>0.18672199170124482</v>
      </c>
      <c r="Z26" s="1">
        <f t="shared" si="10"/>
        <v>0.1908713692946058</v>
      </c>
      <c r="AA26" s="1">
        <f t="shared" si="11"/>
        <v>6.8464730290456438E-2</v>
      </c>
      <c r="AB26" s="1">
        <f t="shared" si="12"/>
        <v>8.7136929460580909E-2</v>
      </c>
      <c r="AC26" s="1"/>
    </row>
    <row r="27" spans="1:29">
      <c r="A27" s="8"/>
      <c r="B27" t="s">
        <v>28</v>
      </c>
      <c r="C27" s="4">
        <v>806</v>
      </c>
      <c r="D27" s="4">
        <v>212</v>
      </c>
      <c r="E27" s="4">
        <v>226</v>
      </c>
      <c r="F27" s="4">
        <v>45</v>
      </c>
      <c r="G27" s="4">
        <v>58</v>
      </c>
      <c r="H27" s="4">
        <v>182</v>
      </c>
      <c r="I27" s="4">
        <v>191</v>
      </c>
      <c r="J27" s="4">
        <v>58</v>
      </c>
      <c r="K27">
        <v>75</v>
      </c>
      <c r="L27">
        <v>173</v>
      </c>
      <c r="M27">
        <v>175</v>
      </c>
      <c r="N27">
        <v>60</v>
      </c>
      <c r="O27">
        <v>75</v>
      </c>
      <c r="Q27" s="1">
        <f t="shared" si="1"/>
        <v>0.26302729528535979</v>
      </c>
      <c r="R27" s="1">
        <f t="shared" si="2"/>
        <v>0.28039702233250619</v>
      </c>
      <c r="S27" s="1">
        <f t="shared" si="3"/>
        <v>5.5831265508684863E-2</v>
      </c>
      <c r="T27" s="1">
        <f t="shared" si="4"/>
        <v>7.1960297766749379E-2</v>
      </c>
      <c r="U27" s="1">
        <f t="shared" si="5"/>
        <v>0.22580645161290322</v>
      </c>
      <c r="V27" s="1">
        <f t="shared" si="6"/>
        <v>0.23697270471464019</v>
      </c>
      <c r="W27" s="1">
        <f t="shared" si="7"/>
        <v>7.1960297766749379E-2</v>
      </c>
      <c r="X27" s="1">
        <f t="shared" si="8"/>
        <v>9.3052109181141443E-2</v>
      </c>
      <c r="Y27" s="1">
        <f t="shared" si="9"/>
        <v>0.21464019851116625</v>
      </c>
      <c r="Z27" s="1">
        <f t="shared" si="10"/>
        <v>0.21712158808933002</v>
      </c>
      <c r="AA27" s="1">
        <f t="shared" si="11"/>
        <v>7.4441687344913146E-2</v>
      </c>
      <c r="AB27" s="1">
        <f t="shared" si="12"/>
        <v>9.3052109181141443E-2</v>
      </c>
      <c r="AC27" s="1"/>
    </row>
    <row r="28" spans="1:29">
      <c r="A28" s="8" t="s">
        <v>0</v>
      </c>
      <c r="B28" t="s">
        <v>29</v>
      </c>
      <c r="C28" s="4">
        <v>636</v>
      </c>
      <c r="D28" s="4">
        <v>150</v>
      </c>
      <c r="E28" s="4">
        <v>160</v>
      </c>
      <c r="F28" s="4">
        <v>42</v>
      </c>
      <c r="G28" s="4">
        <v>60</v>
      </c>
      <c r="H28" s="4">
        <v>157</v>
      </c>
      <c r="I28" s="4">
        <v>164</v>
      </c>
      <c r="J28" s="4">
        <v>68</v>
      </c>
      <c r="K28">
        <v>102</v>
      </c>
      <c r="L28">
        <v>139</v>
      </c>
      <c r="M28">
        <v>146</v>
      </c>
      <c r="N28">
        <v>66</v>
      </c>
      <c r="O28">
        <v>95</v>
      </c>
      <c r="Q28" s="1">
        <f t="shared" si="1"/>
        <v>0.23584905660377359</v>
      </c>
      <c r="R28" s="1">
        <f t="shared" si="2"/>
        <v>0.25157232704402516</v>
      </c>
      <c r="S28" s="1">
        <f t="shared" si="3"/>
        <v>6.6037735849056603E-2</v>
      </c>
      <c r="T28" s="1">
        <f t="shared" si="4"/>
        <v>9.4339622641509441E-2</v>
      </c>
      <c r="U28" s="1">
        <f t="shared" si="5"/>
        <v>0.24685534591194969</v>
      </c>
      <c r="V28" s="1">
        <f t="shared" si="6"/>
        <v>0.25786163522012578</v>
      </c>
      <c r="W28" s="1">
        <f t="shared" si="7"/>
        <v>0.1069182389937107</v>
      </c>
      <c r="X28" s="1">
        <f t="shared" si="8"/>
        <v>0.16037735849056603</v>
      </c>
      <c r="Y28" s="1">
        <f t="shared" si="9"/>
        <v>0.21855345911949686</v>
      </c>
      <c r="Z28" s="1">
        <f t="shared" si="10"/>
        <v>0.22955974842767296</v>
      </c>
      <c r="AA28" s="1">
        <f t="shared" si="11"/>
        <v>0.10377358490566038</v>
      </c>
      <c r="AB28" s="1">
        <f t="shared" si="12"/>
        <v>0.14937106918238993</v>
      </c>
      <c r="AC28" s="1"/>
    </row>
    <row r="29" spans="1:29">
      <c r="A29" s="8"/>
      <c r="B29" t="s">
        <v>30</v>
      </c>
      <c r="C29" s="4">
        <v>636</v>
      </c>
      <c r="D29" s="4">
        <v>188</v>
      </c>
      <c r="E29" s="4">
        <v>199</v>
      </c>
      <c r="F29" s="4">
        <v>53</v>
      </c>
      <c r="G29" s="4">
        <v>67</v>
      </c>
      <c r="H29" s="4">
        <v>186</v>
      </c>
      <c r="I29" s="4">
        <v>192</v>
      </c>
      <c r="J29" s="4">
        <v>54</v>
      </c>
      <c r="K29">
        <v>73</v>
      </c>
      <c r="L29">
        <v>135</v>
      </c>
      <c r="M29">
        <v>140</v>
      </c>
      <c r="N29">
        <v>29</v>
      </c>
      <c r="O29">
        <v>30</v>
      </c>
      <c r="Q29" s="1">
        <f t="shared" si="1"/>
        <v>0.29559748427672955</v>
      </c>
      <c r="R29" s="1">
        <f t="shared" si="2"/>
        <v>0.31289308176100628</v>
      </c>
      <c r="S29" s="1">
        <f t="shared" si="3"/>
        <v>8.3333333333333329E-2</v>
      </c>
      <c r="T29" s="1">
        <f t="shared" si="4"/>
        <v>0.10534591194968554</v>
      </c>
      <c r="U29" s="1">
        <f t="shared" si="5"/>
        <v>0.29245283018867924</v>
      </c>
      <c r="V29" s="1">
        <f t="shared" si="6"/>
        <v>0.30188679245283018</v>
      </c>
      <c r="W29" s="1">
        <f t="shared" si="7"/>
        <v>8.4905660377358486E-2</v>
      </c>
      <c r="X29" s="1">
        <f t="shared" si="8"/>
        <v>0.11477987421383648</v>
      </c>
      <c r="Y29" s="1">
        <f t="shared" si="9"/>
        <v>0.21226415094339623</v>
      </c>
      <c r="Z29" s="1">
        <f t="shared" si="10"/>
        <v>0.22012578616352202</v>
      </c>
      <c r="AA29" s="1">
        <f t="shared" si="11"/>
        <v>4.5597484276729557E-2</v>
      </c>
      <c r="AB29" s="1">
        <f t="shared" si="12"/>
        <v>4.716981132075472E-2</v>
      </c>
      <c r="AC29" s="1"/>
    </row>
    <row r="30" spans="1:29">
      <c r="A30" s="8"/>
      <c r="B30" t="s">
        <v>31</v>
      </c>
      <c r="C30" s="4">
        <v>636</v>
      </c>
      <c r="D30" s="4">
        <v>157</v>
      </c>
      <c r="E30" s="4">
        <v>170</v>
      </c>
      <c r="F30" s="4">
        <v>44</v>
      </c>
      <c r="G30" s="4">
        <v>61</v>
      </c>
      <c r="H30" s="4">
        <v>181</v>
      </c>
      <c r="I30" s="4">
        <v>184</v>
      </c>
      <c r="J30" s="4">
        <v>68</v>
      </c>
      <c r="K30">
        <v>103</v>
      </c>
      <c r="L30">
        <v>166</v>
      </c>
      <c r="M30">
        <v>173</v>
      </c>
      <c r="N30">
        <v>58</v>
      </c>
      <c r="O30">
        <v>94</v>
      </c>
      <c r="Q30" s="1">
        <f t="shared" si="1"/>
        <v>0.24685534591194969</v>
      </c>
      <c r="R30" s="1">
        <f t="shared" si="2"/>
        <v>0.26729559748427673</v>
      </c>
      <c r="S30" s="1">
        <f t="shared" si="3"/>
        <v>6.9182389937106917E-2</v>
      </c>
      <c r="T30" s="1">
        <f t="shared" si="4"/>
        <v>9.5911949685534598E-2</v>
      </c>
      <c r="U30" s="1">
        <f t="shared" si="5"/>
        <v>0.28459119496855345</v>
      </c>
      <c r="V30" s="1">
        <f t="shared" si="6"/>
        <v>0.28930817610062892</v>
      </c>
      <c r="W30" s="1">
        <f t="shared" si="7"/>
        <v>0.1069182389937107</v>
      </c>
      <c r="X30" s="1">
        <f t="shared" si="8"/>
        <v>0.16194968553459119</v>
      </c>
      <c r="Y30" s="1">
        <f t="shared" si="9"/>
        <v>0.2610062893081761</v>
      </c>
      <c r="Z30" s="1">
        <f t="shared" si="10"/>
        <v>0.2720125786163522</v>
      </c>
      <c r="AA30" s="1">
        <f t="shared" si="11"/>
        <v>9.1194968553459113E-2</v>
      </c>
      <c r="AB30" s="1">
        <f t="shared" si="12"/>
        <v>0.14779874213836477</v>
      </c>
      <c r="AC30" s="1"/>
    </row>
    <row r="31" spans="1:29">
      <c r="A31" s="8"/>
      <c r="B31" t="s">
        <v>32</v>
      </c>
      <c r="C31" s="4">
        <v>636</v>
      </c>
      <c r="D31" s="4">
        <v>164</v>
      </c>
      <c r="E31" s="4">
        <v>174</v>
      </c>
      <c r="F31" s="4">
        <v>29</v>
      </c>
      <c r="G31" s="4">
        <v>36</v>
      </c>
      <c r="H31" s="4">
        <v>132</v>
      </c>
      <c r="I31" s="4">
        <v>138</v>
      </c>
      <c r="J31" s="4">
        <v>46</v>
      </c>
      <c r="K31">
        <v>58</v>
      </c>
      <c r="L31">
        <v>139</v>
      </c>
      <c r="M31">
        <v>144</v>
      </c>
      <c r="N31">
        <v>61</v>
      </c>
      <c r="O31">
        <v>79</v>
      </c>
      <c r="Q31" s="1">
        <f t="shared" si="1"/>
        <v>0.25786163522012578</v>
      </c>
      <c r="R31" s="1">
        <f t="shared" si="2"/>
        <v>0.27358490566037735</v>
      </c>
      <c r="S31" s="1">
        <f t="shared" si="3"/>
        <v>4.5597484276729557E-2</v>
      </c>
      <c r="T31" s="1">
        <f t="shared" si="4"/>
        <v>5.6603773584905662E-2</v>
      </c>
      <c r="U31" s="1">
        <f t="shared" si="5"/>
        <v>0.20754716981132076</v>
      </c>
      <c r="V31" s="1">
        <f t="shared" si="6"/>
        <v>0.21698113207547171</v>
      </c>
      <c r="W31" s="1">
        <f t="shared" si="7"/>
        <v>7.2327044025157231E-2</v>
      </c>
      <c r="X31" s="1">
        <f t="shared" si="8"/>
        <v>9.1194968553459113E-2</v>
      </c>
      <c r="Y31" s="1">
        <f t="shared" si="9"/>
        <v>0.21855345911949686</v>
      </c>
      <c r="Z31" s="1">
        <f t="shared" si="10"/>
        <v>0.22641509433962265</v>
      </c>
      <c r="AA31" s="1">
        <f t="shared" si="11"/>
        <v>9.5911949685534598E-2</v>
      </c>
      <c r="AB31" s="1">
        <f t="shared" si="12"/>
        <v>0.12421383647798742</v>
      </c>
      <c r="AC31" s="1"/>
    </row>
    <row r="32" spans="1:29">
      <c r="A32" s="8"/>
      <c r="B32" t="s">
        <v>33</v>
      </c>
      <c r="C32" s="4">
        <v>636</v>
      </c>
      <c r="D32" s="4">
        <v>190</v>
      </c>
      <c r="E32" s="4">
        <v>205</v>
      </c>
      <c r="F32" s="4">
        <v>41</v>
      </c>
      <c r="G32" s="4">
        <v>49</v>
      </c>
      <c r="H32" s="4">
        <v>189</v>
      </c>
      <c r="I32" s="4">
        <v>198</v>
      </c>
      <c r="J32" s="4">
        <v>59</v>
      </c>
      <c r="K32">
        <v>78</v>
      </c>
      <c r="L32">
        <v>103</v>
      </c>
      <c r="M32">
        <v>104</v>
      </c>
      <c r="N32">
        <v>59</v>
      </c>
      <c r="O32">
        <v>93</v>
      </c>
      <c r="Q32" s="1">
        <f t="shared" si="1"/>
        <v>0.29874213836477986</v>
      </c>
      <c r="R32" s="1">
        <f t="shared" si="2"/>
        <v>0.32232704402515722</v>
      </c>
      <c r="S32" s="1">
        <f t="shared" si="3"/>
        <v>6.4465408805031446E-2</v>
      </c>
      <c r="T32" s="1">
        <f t="shared" si="4"/>
        <v>7.7044025157232701E-2</v>
      </c>
      <c r="U32" s="1">
        <f t="shared" si="5"/>
        <v>0.29716981132075471</v>
      </c>
      <c r="V32" s="1">
        <f t="shared" si="6"/>
        <v>0.31132075471698112</v>
      </c>
      <c r="W32" s="1">
        <f t="shared" si="7"/>
        <v>9.276729559748427E-2</v>
      </c>
      <c r="X32" s="1">
        <f t="shared" si="8"/>
        <v>0.12264150943396226</v>
      </c>
      <c r="Y32" s="1">
        <f t="shared" si="9"/>
        <v>0.16194968553459119</v>
      </c>
      <c r="Z32" s="1">
        <f t="shared" si="10"/>
        <v>0.16352201257861634</v>
      </c>
      <c r="AA32" s="1">
        <f t="shared" si="11"/>
        <v>9.276729559748427E-2</v>
      </c>
      <c r="AB32" s="1">
        <f t="shared" si="12"/>
        <v>0.14622641509433962</v>
      </c>
      <c r="AC32" s="1"/>
    </row>
    <row r="33" spans="1:29">
      <c r="A33" s="8"/>
      <c r="B33" t="s">
        <v>34</v>
      </c>
      <c r="C33" s="4">
        <v>563</v>
      </c>
      <c r="D33" s="4">
        <v>174</v>
      </c>
      <c r="E33" s="4">
        <v>185</v>
      </c>
      <c r="F33" s="4">
        <v>27</v>
      </c>
      <c r="G33" s="4">
        <v>31</v>
      </c>
      <c r="H33" s="4">
        <v>131</v>
      </c>
      <c r="I33" s="4">
        <v>138</v>
      </c>
      <c r="J33" s="4">
        <v>34</v>
      </c>
      <c r="K33">
        <v>51</v>
      </c>
      <c r="L33">
        <v>137</v>
      </c>
      <c r="M33">
        <v>141</v>
      </c>
      <c r="N33">
        <v>30</v>
      </c>
      <c r="O33">
        <v>32</v>
      </c>
      <c r="Q33" s="1">
        <f t="shared" si="1"/>
        <v>0.30905861456483125</v>
      </c>
      <c r="R33" s="1">
        <f t="shared" si="2"/>
        <v>0.32859680284191828</v>
      </c>
      <c r="S33" s="1">
        <f t="shared" si="3"/>
        <v>4.7957371225577264E-2</v>
      </c>
      <c r="T33" s="1">
        <f t="shared" si="4"/>
        <v>5.5062166962699825E-2</v>
      </c>
      <c r="U33" s="1">
        <f t="shared" si="5"/>
        <v>0.23268206039076378</v>
      </c>
      <c r="V33" s="1">
        <f t="shared" si="6"/>
        <v>0.24511545293072823</v>
      </c>
      <c r="W33" s="1">
        <f t="shared" si="7"/>
        <v>6.0390763765541741E-2</v>
      </c>
      <c r="X33" s="1">
        <f t="shared" si="8"/>
        <v>9.0586145648312605E-2</v>
      </c>
      <c r="Y33" s="1">
        <f t="shared" si="9"/>
        <v>0.2433392539964476</v>
      </c>
      <c r="Z33" s="1">
        <f t="shared" si="10"/>
        <v>0.25044404973357015</v>
      </c>
      <c r="AA33" s="1">
        <f t="shared" si="11"/>
        <v>5.328596802841918E-2</v>
      </c>
      <c r="AB33" s="1">
        <f t="shared" si="12"/>
        <v>5.6838365896980464E-2</v>
      </c>
      <c r="AC33" s="1"/>
    </row>
    <row r="34" spans="1:29">
      <c r="A34" s="8"/>
      <c r="B34" t="s">
        <v>35</v>
      </c>
      <c r="C34" s="4">
        <v>154</v>
      </c>
      <c r="D34" s="4">
        <v>71</v>
      </c>
      <c r="E34" s="4">
        <v>75</v>
      </c>
      <c r="F34" s="4">
        <v>15</v>
      </c>
      <c r="G34" s="4">
        <v>18</v>
      </c>
      <c r="H34" s="4">
        <v>35</v>
      </c>
      <c r="I34" s="4">
        <v>38</v>
      </c>
      <c r="J34" s="4">
        <v>7</v>
      </c>
      <c r="K34">
        <v>14</v>
      </c>
      <c r="L34">
        <v>29</v>
      </c>
      <c r="M34">
        <v>31</v>
      </c>
      <c r="N34">
        <v>8</v>
      </c>
      <c r="O34">
        <v>11</v>
      </c>
      <c r="Q34" s="1">
        <f t="shared" si="1"/>
        <v>0.46103896103896103</v>
      </c>
      <c r="R34" s="1">
        <f t="shared" si="2"/>
        <v>0.48701298701298701</v>
      </c>
      <c r="S34" s="1">
        <f t="shared" si="3"/>
        <v>9.7402597402597407E-2</v>
      </c>
      <c r="T34" s="1">
        <f t="shared" si="4"/>
        <v>0.11688311688311688</v>
      </c>
      <c r="U34" s="1">
        <f t="shared" si="5"/>
        <v>0.22727272727272727</v>
      </c>
      <c r="V34" s="1">
        <f t="shared" si="6"/>
        <v>0.24675324675324675</v>
      </c>
      <c r="W34" s="1">
        <f t="shared" si="7"/>
        <v>4.5454545454545456E-2</v>
      </c>
      <c r="X34" s="1">
        <f t="shared" si="8"/>
        <v>9.0909090909090912E-2</v>
      </c>
      <c r="Y34" s="1">
        <f t="shared" si="9"/>
        <v>0.18831168831168832</v>
      </c>
      <c r="Z34" s="1">
        <f t="shared" si="10"/>
        <v>0.20129870129870131</v>
      </c>
      <c r="AA34" s="1">
        <f t="shared" si="11"/>
        <v>5.1948051948051951E-2</v>
      </c>
      <c r="AB34" s="1">
        <f t="shared" si="12"/>
        <v>7.1428571428571425E-2</v>
      </c>
      <c r="AC34" s="1"/>
    </row>
    <row r="35" spans="1:29">
      <c r="A35" s="8"/>
      <c r="B35" t="s">
        <v>36</v>
      </c>
      <c r="C35" s="4">
        <v>636</v>
      </c>
      <c r="D35" s="4">
        <v>169</v>
      </c>
      <c r="E35" s="4">
        <v>175</v>
      </c>
      <c r="F35" s="4">
        <v>38</v>
      </c>
      <c r="G35" s="4">
        <v>47</v>
      </c>
      <c r="H35" s="4">
        <v>172</v>
      </c>
      <c r="I35" s="4">
        <v>179</v>
      </c>
      <c r="J35" s="4">
        <v>55</v>
      </c>
      <c r="K35">
        <v>80</v>
      </c>
      <c r="L35">
        <v>170</v>
      </c>
      <c r="M35">
        <v>179</v>
      </c>
      <c r="N35">
        <v>56</v>
      </c>
      <c r="O35">
        <v>74</v>
      </c>
      <c r="Q35" s="1">
        <f t="shared" si="1"/>
        <v>0.26572327044025157</v>
      </c>
      <c r="R35" s="1">
        <f t="shared" si="2"/>
        <v>0.27515723270440251</v>
      </c>
      <c r="S35" s="1">
        <f t="shared" si="3"/>
        <v>5.9748427672955975E-2</v>
      </c>
      <c r="T35" s="1">
        <f t="shared" si="4"/>
        <v>7.3899371069182387E-2</v>
      </c>
      <c r="U35" s="1">
        <f t="shared" si="5"/>
        <v>0.27044025157232704</v>
      </c>
      <c r="V35" s="1">
        <f t="shared" si="6"/>
        <v>0.28144654088050314</v>
      </c>
      <c r="W35" s="1">
        <f t="shared" si="7"/>
        <v>8.6477987421383642E-2</v>
      </c>
      <c r="X35" s="1">
        <f t="shared" si="8"/>
        <v>0.12578616352201258</v>
      </c>
      <c r="Y35" s="1">
        <f t="shared" si="9"/>
        <v>0.26729559748427673</v>
      </c>
      <c r="Z35" s="1">
        <f t="shared" si="10"/>
        <v>0.28144654088050314</v>
      </c>
      <c r="AA35" s="1">
        <f t="shared" si="11"/>
        <v>8.8050314465408799E-2</v>
      </c>
      <c r="AB35" s="1">
        <f t="shared" si="12"/>
        <v>0.11635220125786164</v>
      </c>
      <c r="AC35" s="1"/>
    </row>
    <row r="36" spans="1:29">
      <c r="A36" s="8"/>
      <c r="B36" t="s">
        <v>37</v>
      </c>
      <c r="C36" s="4">
        <v>636</v>
      </c>
      <c r="D36" s="4">
        <v>209</v>
      </c>
      <c r="E36" s="4">
        <v>223</v>
      </c>
      <c r="F36" s="4">
        <v>69</v>
      </c>
      <c r="G36" s="4">
        <v>85</v>
      </c>
      <c r="H36" s="4">
        <v>144</v>
      </c>
      <c r="I36" s="4">
        <v>150</v>
      </c>
      <c r="J36" s="4">
        <v>56</v>
      </c>
      <c r="K36">
        <v>74</v>
      </c>
      <c r="L36">
        <v>142</v>
      </c>
      <c r="M36">
        <v>146</v>
      </c>
      <c r="N36">
        <v>56</v>
      </c>
      <c r="O36">
        <v>75</v>
      </c>
      <c r="Q36" s="1">
        <f t="shared" si="1"/>
        <v>0.32861635220125784</v>
      </c>
      <c r="R36" s="1">
        <f t="shared" si="2"/>
        <v>0.35062893081761004</v>
      </c>
      <c r="S36" s="1">
        <f t="shared" si="3"/>
        <v>0.10849056603773585</v>
      </c>
      <c r="T36" s="1">
        <f t="shared" si="4"/>
        <v>0.13364779874213836</v>
      </c>
      <c r="U36" s="1">
        <f t="shared" si="5"/>
        <v>0.22641509433962265</v>
      </c>
      <c r="V36" s="1">
        <f t="shared" si="6"/>
        <v>0.23584905660377359</v>
      </c>
      <c r="W36" s="1">
        <f t="shared" si="7"/>
        <v>8.8050314465408799E-2</v>
      </c>
      <c r="X36" s="1">
        <f t="shared" si="8"/>
        <v>0.11635220125786164</v>
      </c>
      <c r="Y36" s="1">
        <f t="shared" si="9"/>
        <v>0.22327044025157233</v>
      </c>
      <c r="Z36" s="1">
        <f t="shared" si="10"/>
        <v>0.22955974842767296</v>
      </c>
      <c r="AA36" s="1">
        <f t="shared" si="11"/>
        <v>8.8050314465408799E-2</v>
      </c>
      <c r="AB36" s="1">
        <f t="shared" si="12"/>
        <v>0.11792452830188679</v>
      </c>
      <c r="AC36" s="1"/>
    </row>
    <row r="37" spans="1:29">
      <c r="A37" s="8" t="s">
        <v>1</v>
      </c>
      <c r="B37" t="s">
        <v>29</v>
      </c>
      <c r="C37" s="4">
        <v>636</v>
      </c>
      <c r="D37" s="4">
        <v>129</v>
      </c>
      <c r="E37" s="4">
        <v>138</v>
      </c>
      <c r="F37" s="4">
        <v>40</v>
      </c>
      <c r="G37" s="4">
        <v>48</v>
      </c>
      <c r="H37" s="4">
        <v>124</v>
      </c>
      <c r="I37" s="4">
        <v>127</v>
      </c>
      <c r="J37" s="4">
        <v>48</v>
      </c>
      <c r="K37">
        <v>68</v>
      </c>
      <c r="L37">
        <v>128</v>
      </c>
      <c r="M37">
        <v>135</v>
      </c>
      <c r="N37">
        <v>59</v>
      </c>
      <c r="O37">
        <v>79</v>
      </c>
      <c r="Q37" s="1">
        <f t="shared" si="1"/>
        <v>0.20283018867924529</v>
      </c>
      <c r="R37" s="1">
        <f t="shared" si="2"/>
        <v>0.21698113207547171</v>
      </c>
      <c r="S37" s="1">
        <f t="shared" si="3"/>
        <v>6.2893081761006289E-2</v>
      </c>
      <c r="T37" s="1">
        <f t="shared" si="4"/>
        <v>7.5471698113207544E-2</v>
      </c>
      <c r="U37" s="1">
        <f t="shared" si="5"/>
        <v>0.19496855345911951</v>
      </c>
      <c r="V37" s="1">
        <f t="shared" si="6"/>
        <v>0.19968553459119498</v>
      </c>
      <c r="W37" s="1">
        <f t="shared" si="7"/>
        <v>7.5471698113207544E-2</v>
      </c>
      <c r="X37" s="1">
        <f t="shared" si="8"/>
        <v>0.1069182389937107</v>
      </c>
      <c r="Y37" s="1">
        <f t="shared" si="9"/>
        <v>0.20125786163522014</v>
      </c>
      <c r="Z37" s="1">
        <f t="shared" si="10"/>
        <v>0.21226415094339623</v>
      </c>
      <c r="AA37" s="1">
        <f t="shared" si="11"/>
        <v>9.276729559748427E-2</v>
      </c>
      <c r="AB37" s="1">
        <f t="shared" si="12"/>
        <v>0.12421383647798742</v>
      </c>
      <c r="AC37" s="1"/>
    </row>
    <row r="38" spans="1:29">
      <c r="A38" s="8"/>
      <c r="B38" t="s">
        <v>30</v>
      </c>
      <c r="C38" s="4">
        <v>636</v>
      </c>
      <c r="D38" s="4">
        <v>105</v>
      </c>
      <c r="E38" s="4">
        <v>114</v>
      </c>
      <c r="F38" s="4">
        <v>27</v>
      </c>
      <c r="G38" s="4">
        <v>33</v>
      </c>
      <c r="H38" s="4">
        <v>144</v>
      </c>
      <c r="I38" s="4">
        <v>152</v>
      </c>
      <c r="J38" s="4">
        <v>44</v>
      </c>
      <c r="K38">
        <v>68</v>
      </c>
      <c r="L38">
        <v>126</v>
      </c>
      <c r="M38">
        <v>127</v>
      </c>
      <c r="N38">
        <v>29</v>
      </c>
      <c r="O38">
        <v>35</v>
      </c>
      <c r="Q38" s="1">
        <f t="shared" si="1"/>
        <v>0.1650943396226415</v>
      </c>
      <c r="R38" s="1">
        <f t="shared" si="2"/>
        <v>0.17924528301886791</v>
      </c>
      <c r="S38" s="1">
        <f t="shared" si="3"/>
        <v>4.2452830188679243E-2</v>
      </c>
      <c r="T38" s="1">
        <f t="shared" si="4"/>
        <v>5.1886792452830191E-2</v>
      </c>
      <c r="U38" s="1">
        <f t="shared" si="5"/>
        <v>0.22641509433962265</v>
      </c>
      <c r="V38" s="1">
        <f t="shared" si="6"/>
        <v>0.2389937106918239</v>
      </c>
      <c r="W38" s="1">
        <f t="shared" si="7"/>
        <v>6.9182389937106917E-2</v>
      </c>
      <c r="X38" s="1">
        <f t="shared" si="8"/>
        <v>0.1069182389937107</v>
      </c>
      <c r="Y38" s="1">
        <f t="shared" si="9"/>
        <v>0.19811320754716982</v>
      </c>
      <c r="Z38" s="1">
        <f t="shared" si="10"/>
        <v>0.19968553459119498</v>
      </c>
      <c r="AA38" s="1">
        <f t="shared" si="11"/>
        <v>4.5597484276729557E-2</v>
      </c>
      <c r="AB38" s="1">
        <f t="shared" si="12"/>
        <v>5.5031446540880505E-2</v>
      </c>
      <c r="AC38" s="1"/>
    </row>
    <row r="39" spans="1:29">
      <c r="A39" s="8"/>
      <c r="B39" t="s">
        <v>31</v>
      </c>
      <c r="C39" s="4">
        <v>636</v>
      </c>
      <c r="D39" s="4">
        <v>120</v>
      </c>
      <c r="E39" s="4">
        <v>125</v>
      </c>
      <c r="F39" s="4">
        <v>33</v>
      </c>
      <c r="G39" s="4">
        <v>47</v>
      </c>
      <c r="H39" s="4">
        <v>173</v>
      </c>
      <c r="I39" s="4">
        <v>180</v>
      </c>
      <c r="J39" s="4">
        <v>74</v>
      </c>
      <c r="K39">
        <v>100</v>
      </c>
      <c r="L39">
        <v>153</v>
      </c>
      <c r="M39">
        <v>161</v>
      </c>
      <c r="N39">
        <v>71</v>
      </c>
      <c r="O39">
        <v>100</v>
      </c>
      <c r="Q39" s="1">
        <f t="shared" si="1"/>
        <v>0.18867924528301888</v>
      </c>
      <c r="R39" s="1">
        <f t="shared" si="2"/>
        <v>0.19654088050314467</v>
      </c>
      <c r="S39" s="1">
        <f t="shared" si="3"/>
        <v>5.1886792452830191E-2</v>
      </c>
      <c r="T39" s="1">
        <f t="shared" si="4"/>
        <v>7.3899371069182387E-2</v>
      </c>
      <c r="U39" s="1">
        <f t="shared" si="5"/>
        <v>0.2720125786163522</v>
      </c>
      <c r="V39" s="1">
        <f t="shared" si="6"/>
        <v>0.28301886792452829</v>
      </c>
      <c r="W39" s="1">
        <f t="shared" si="7"/>
        <v>0.11635220125786164</v>
      </c>
      <c r="X39" s="1">
        <f t="shared" si="8"/>
        <v>0.15723270440251572</v>
      </c>
      <c r="Y39" s="1">
        <f t="shared" si="9"/>
        <v>0.24056603773584906</v>
      </c>
      <c r="Z39" s="1">
        <f t="shared" si="10"/>
        <v>0.25314465408805031</v>
      </c>
      <c r="AA39" s="1">
        <f t="shared" si="11"/>
        <v>0.11163522012578617</v>
      </c>
      <c r="AB39" s="1">
        <f t="shared" si="12"/>
        <v>0.15723270440251572</v>
      </c>
      <c r="AC39" s="1"/>
    </row>
    <row r="40" spans="1:29">
      <c r="A40" s="8"/>
      <c r="B40" t="s">
        <v>32</v>
      </c>
      <c r="C40" s="4">
        <v>636</v>
      </c>
      <c r="D40" s="4">
        <v>115</v>
      </c>
      <c r="E40" s="4">
        <v>123</v>
      </c>
      <c r="F40" s="4">
        <v>24</v>
      </c>
      <c r="G40" s="4">
        <v>26</v>
      </c>
      <c r="H40" s="4">
        <v>128</v>
      </c>
      <c r="I40" s="4">
        <v>138</v>
      </c>
      <c r="J40" s="4">
        <v>54</v>
      </c>
      <c r="K40">
        <v>71</v>
      </c>
      <c r="L40">
        <v>152</v>
      </c>
      <c r="M40">
        <v>155</v>
      </c>
      <c r="N40">
        <v>59</v>
      </c>
      <c r="O40">
        <v>83</v>
      </c>
      <c r="Q40" s="1">
        <f t="shared" si="1"/>
        <v>0.18081761006289307</v>
      </c>
      <c r="R40" s="1">
        <f t="shared" si="2"/>
        <v>0.19339622641509435</v>
      </c>
      <c r="S40" s="1">
        <f t="shared" si="3"/>
        <v>3.7735849056603772E-2</v>
      </c>
      <c r="T40" s="1">
        <f t="shared" si="4"/>
        <v>4.0880503144654086E-2</v>
      </c>
      <c r="U40" s="1">
        <f t="shared" si="5"/>
        <v>0.20125786163522014</v>
      </c>
      <c r="V40" s="1">
        <f t="shared" si="6"/>
        <v>0.21698113207547171</v>
      </c>
      <c r="W40" s="1">
        <f t="shared" si="7"/>
        <v>8.4905660377358486E-2</v>
      </c>
      <c r="X40" s="1">
        <f t="shared" si="8"/>
        <v>0.11163522012578617</v>
      </c>
      <c r="Y40" s="1">
        <f t="shared" si="9"/>
        <v>0.2389937106918239</v>
      </c>
      <c r="Z40" s="1">
        <f t="shared" si="10"/>
        <v>0.24371069182389937</v>
      </c>
      <c r="AA40" s="1">
        <f t="shared" si="11"/>
        <v>9.276729559748427E-2</v>
      </c>
      <c r="AB40" s="1">
        <f t="shared" si="12"/>
        <v>0.13050314465408805</v>
      </c>
      <c r="AC40" s="1"/>
    </row>
    <row r="41" spans="1:29">
      <c r="A41" s="8"/>
      <c r="B41" t="s">
        <v>33</v>
      </c>
      <c r="C41" s="4">
        <v>636</v>
      </c>
      <c r="D41" s="4">
        <v>127</v>
      </c>
      <c r="E41" s="4">
        <v>136</v>
      </c>
      <c r="F41" s="4">
        <v>22</v>
      </c>
      <c r="G41" s="4">
        <v>26</v>
      </c>
      <c r="H41" s="4">
        <v>184</v>
      </c>
      <c r="I41" s="4">
        <v>197</v>
      </c>
      <c r="J41" s="4">
        <v>54</v>
      </c>
      <c r="K41">
        <v>70</v>
      </c>
      <c r="L41">
        <v>95</v>
      </c>
      <c r="M41">
        <v>96</v>
      </c>
      <c r="N41">
        <v>47</v>
      </c>
      <c r="O41">
        <v>68</v>
      </c>
      <c r="Q41" s="1">
        <f t="shared" si="1"/>
        <v>0.19968553459119498</v>
      </c>
      <c r="R41" s="1">
        <f t="shared" si="2"/>
        <v>0.21383647798742139</v>
      </c>
      <c r="S41" s="1">
        <f t="shared" si="3"/>
        <v>3.4591194968553458E-2</v>
      </c>
      <c r="T41" s="1">
        <f t="shared" si="4"/>
        <v>4.0880503144654086E-2</v>
      </c>
      <c r="U41" s="1">
        <f t="shared" si="5"/>
        <v>0.28930817610062892</v>
      </c>
      <c r="V41" s="1">
        <f t="shared" si="6"/>
        <v>0.30974842767295596</v>
      </c>
      <c r="W41" s="1">
        <f t="shared" si="7"/>
        <v>8.4905660377358486E-2</v>
      </c>
      <c r="X41" s="1">
        <f t="shared" si="8"/>
        <v>0.11006289308176101</v>
      </c>
      <c r="Y41" s="1">
        <f t="shared" si="9"/>
        <v>0.14937106918238993</v>
      </c>
      <c r="Z41" s="1">
        <f t="shared" si="10"/>
        <v>0.15094339622641509</v>
      </c>
      <c r="AA41" s="1">
        <f t="shared" si="11"/>
        <v>7.3899371069182387E-2</v>
      </c>
      <c r="AB41" s="1">
        <f t="shared" si="12"/>
        <v>0.1069182389937107</v>
      </c>
      <c r="AC41" s="1"/>
    </row>
    <row r="42" spans="1:29">
      <c r="A42" s="8"/>
      <c r="B42" t="s">
        <v>34</v>
      </c>
      <c r="C42" s="4">
        <v>553</v>
      </c>
      <c r="D42" s="4">
        <v>99</v>
      </c>
      <c r="E42" s="4">
        <v>109</v>
      </c>
      <c r="F42" s="4">
        <v>12</v>
      </c>
      <c r="G42" s="4">
        <v>14</v>
      </c>
      <c r="H42" s="4">
        <v>139</v>
      </c>
      <c r="I42" s="4">
        <v>149</v>
      </c>
      <c r="J42" s="4">
        <v>44</v>
      </c>
      <c r="K42">
        <v>64</v>
      </c>
      <c r="L42">
        <v>135</v>
      </c>
      <c r="M42">
        <v>147</v>
      </c>
      <c r="N42">
        <v>34</v>
      </c>
      <c r="O42">
        <v>37</v>
      </c>
      <c r="Q42" s="1">
        <f t="shared" si="1"/>
        <v>0.17902350813743217</v>
      </c>
      <c r="R42" s="1">
        <f t="shared" si="2"/>
        <v>0.19710669077757687</v>
      </c>
      <c r="S42" s="1">
        <f t="shared" si="3"/>
        <v>2.1699819168173599E-2</v>
      </c>
      <c r="T42" s="1">
        <f t="shared" si="4"/>
        <v>2.5316455696202531E-2</v>
      </c>
      <c r="U42" s="1">
        <f t="shared" si="5"/>
        <v>0.25135623869801083</v>
      </c>
      <c r="V42" s="1">
        <f t="shared" si="6"/>
        <v>0.26943942133815552</v>
      </c>
      <c r="W42" s="1">
        <f t="shared" si="7"/>
        <v>7.956600361663653E-2</v>
      </c>
      <c r="X42" s="1">
        <f t="shared" si="8"/>
        <v>0.11573236889692586</v>
      </c>
      <c r="Y42" s="1">
        <f t="shared" si="9"/>
        <v>0.24412296564195299</v>
      </c>
      <c r="Z42" s="1">
        <f t="shared" si="10"/>
        <v>0.26582278481012656</v>
      </c>
      <c r="AA42" s="1">
        <f t="shared" si="11"/>
        <v>6.148282097649186E-2</v>
      </c>
      <c r="AB42" s="1">
        <f t="shared" si="12"/>
        <v>6.6907775768535266E-2</v>
      </c>
      <c r="AC42" s="1"/>
    </row>
    <row r="43" spans="1:29">
      <c r="A43" s="8"/>
      <c r="B43" t="s">
        <v>35</v>
      </c>
      <c r="C43" s="4">
        <v>152</v>
      </c>
      <c r="D43" s="4">
        <v>25</v>
      </c>
      <c r="E43" s="4">
        <v>27</v>
      </c>
      <c r="F43" s="4">
        <v>8</v>
      </c>
      <c r="G43" s="4">
        <v>11</v>
      </c>
      <c r="H43" s="4">
        <v>36</v>
      </c>
      <c r="I43" s="4">
        <v>37</v>
      </c>
      <c r="J43" s="4">
        <v>10</v>
      </c>
      <c r="K43">
        <v>12</v>
      </c>
      <c r="L43">
        <v>27</v>
      </c>
      <c r="M43">
        <v>27</v>
      </c>
      <c r="N43">
        <v>11</v>
      </c>
      <c r="O43">
        <v>15</v>
      </c>
      <c r="Q43" s="1">
        <f t="shared" si="1"/>
        <v>0.16447368421052633</v>
      </c>
      <c r="R43" s="1">
        <f t="shared" si="2"/>
        <v>0.17763157894736842</v>
      </c>
      <c r="S43" s="1">
        <f t="shared" si="3"/>
        <v>5.2631578947368418E-2</v>
      </c>
      <c r="T43" s="1">
        <f t="shared" si="4"/>
        <v>7.2368421052631582E-2</v>
      </c>
      <c r="U43" s="1">
        <f t="shared" si="5"/>
        <v>0.23684210526315788</v>
      </c>
      <c r="V43" s="1">
        <f t="shared" si="6"/>
        <v>0.24342105263157895</v>
      </c>
      <c r="W43" s="1">
        <f t="shared" si="7"/>
        <v>6.5789473684210523E-2</v>
      </c>
      <c r="X43" s="1">
        <f t="shared" si="8"/>
        <v>7.8947368421052627E-2</v>
      </c>
      <c r="Y43" s="1">
        <f t="shared" si="9"/>
        <v>0.17763157894736842</v>
      </c>
      <c r="Z43" s="1">
        <f t="shared" si="10"/>
        <v>0.17763157894736842</v>
      </c>
      <c r="AA43" s="1">
        <f t="shared" si="11"/>
        <v>7.2368421052631582E-2</v>
      </c>
      <c r="AB43" s="1">
        <f t="shared" si="12"/>
        <v>9.8684210526315791E-2</v>
      </c>
      <c r="AC43" s="1"/>
    </row>
    <row r="44" spans="1:29">
      <c r="A44" s="8"/>
      <c r="B44" t="s">
        <v>36</v>
      </c>
      <c r="C44" s="4">
        <v>636</v>
      </c>
      <c r="D44" s="4">
        <v>116</v>
      </c>
      <c r="E44" s="4">
        <v>125</v>
      </c>
      <c r="F44" s="4">
        <v>27</v>
      </c>
      <c r="G44" s="4">
        <v>30</v>
      </c>
      <c r="H44" s="4">
        <v>159</v>
      </c>
      <c r="I44" s="4">
        <v>171</v>
      </c>
      <c r="J44" s="4">
        <v>62</v>
      </c>
      <c r="K44">
        <v>87</v>
      </c>
      <c r="L44">
        <v>161</v>
      </c>
      <c r="M44">
        <v>165</v>
      </c>
      <c r="N44">
        <v>59</v>
      </c>
      <c r="O44">
        <v>82</v>
      </c>
      <c r="Q44" s="1">
        <f t="shared" si="1"/>
        <v>0.18238993710691823</v>
      </c>
      <c r="R44" s="1">
        <f t="shared" si="2"/>
        <v>0.19654088050314467</v>
      </c>
      <c r="S44" s="1">
        <f t="shared" si="3"/>
        <v>4.2452830188679243E-2</v>
      </c>
      <c r="T44" s="1">
        <f t="shared" si="4"/>
        <v>4.716981132075472E-2</v>
      </c>
      <c r="U44" s="1">
        <f t="shared" si="5"/>
        <v>0.25</v>
      </c>
      <c r="V44" s="1">
        <f t="shared" si="6"/>
        <v>0.26886792452830188</v>
      </c>
      <c r="W44" s="1">
        <f t="shared" si="7"/>
        <v>9.7484276729559755E-2</v>
      </c>
      <c r="X44" s="1">
        <f t="shared" si="8"/>
        <v>0.13679245283018868</v>
      </c>
      <c r="Y44" s="1">
        <f t="shared" si="9"/>
        <v>0.25314465408805031</v>
      </c>
      <c r="Z44" s="1">
        <f t="shared" si="10"/>
        <v>0.25943396226415094</v>
      </c>
      <c r="AA44" s="1">
        <f t="shared" si="11"/>
        <v>9.276729559748427E-2</v>
      </c>
      <c r="AB44" s="1">
        <f t="shared" si="12"/>
        <v>0.12893081761006289</v>
      </c>
      <c r="AC44" s="1"/>
    </row>
    <row r="45" spans="1:29">
      <c r="A45" s="8"/>
      <c r="B45" t="s">
        <v>37</v>
      </c>
      <c r="C45" s="4">
        <v>636</v>
      </c>
      <c r="D45" s="4">
        <v>146</v>
      </c>
      <c r="E45" s="4">
        <v>159</v>
      </c>
      <c r="F45" s="4">
        <v>49</v>
      </c>
      <c r="G45" s="4">
        <v>61</v>
      </c>
      <c r="H45" s="4">
        <v>142</v>
      </c>
      <c r="I45" s="4">
        <v>150</v>
      </c>
      <c r="J45" s="4">
        <v>51</v>
      </c>
      <c r="K45">
        <v>64</v>
      </c>
      <c r="L45">
        <v>133</v>
      </c>
      <c r="M45">
        <v>141</v>
      </c>
      <c r="N45">
        <v>54</v>
      </c>
      <c r="O45">
        <v>71</v>
      </c>
      <c r="Q45" s="1">
        <f t="shared" si="1"/>
        <v>0.22955974842767296</v>
      </c>
      <c r="R45" s="1">
        <f t="shared" si="2"/>
        <v>0.25</v>
      </c>
      <c r="S45" s="1">
        <f t="shared" si="3"/>
        <v>7.7044025157232701E-2</v>
      </c>
      <c r="T45" s="1">
        <f t="shared" si="4"/>
        <v>9.5911949685534598E-2</v>
      </c>
      <c r="U45" s="1">
        <f t="shared" si="5"/>
        <v>0.22327044025157233</v>
      </c>
      <c r="V45" s="1">
        <f t="shared" si="6"/>
        <v>0.23584905660377359</v>
      </c>
      <c r="W45" s="1">
        <f t="shared" si="7"/>
        <v>8.0188679245283015E-2</v>
      </c>
      <c r="X45" s="1">
        <f t="shared" si="8"/>
        <v>0.10062893081761007</v>
      </c>
      <c r="Y45" s="1">
        <f t="shared" si="9"/>
        <v>0.20911949685534592</v>
      </c>
      <c r="Z45" s="1">
        <f t="shared" si="10"/>
        <v>0.22169811320754718</v>
      </c>
      <c r="AA45" s="1">
        <f t="shared" si="11"/>
        <v>8.4905660377358486E-2</v>
      </c>
      <c r="AB45" s="1">
        <f t="shared" si="12"/>
        <v>0.11163522012578617</v>
      </c>
      <c r="AC45" s="1"/>
    </row>
    <row r="46" spans="1:29">
      <c r="A46" s="8" t="s">
        <v>61</v>
      </c>
      <c r="B46" t="s">
        <v>38</v>
      </c>
      <c r="C46" s="4">
        <v>662</v>
      </c>
      <c r="D46" s="4">
        <v>117</v>
      </c>
      <c r="E46" s="4">
        <v>121</v>
      </c>
      <c r="F46" s="4">
        <v>15</v>
      </c>
      <c r="G46" s="4">
        <v>17</v>
      </c>
      <c r="H46" s="4">
        <v>161</v>
      </c>
      <c r="I46" s="4">
        <v>169</v>
      </c>
      <c r="J46" s="4">
        <v>47</v>
      </c>
      <c r="K46">
        <v>62</v>
      </c>
      <c r="L46">
        <v>144</v>
      </c>
      <c r="M46">
        <v>148</v>
      </c>
      <c r="N46">
        <v>69</v>
      </c>
      <c r="O46">
        <v>103</v>
      </c>
      <c r="Q46" s="1">
        <f t="shared" si="1"/>
        <v>0.17673716012084592</v>
      </c>
      <c r="R46" s="1">
        <f t="shared" si="2"/>
        <v>0.18277945619335348</v>
      </c>
      <c r="S46" s="1">
        <f t="shared" si="3"/>
        <v>2.2658610271903322E-2</v>
      </c>
      <c r="T46" s="1">
        <f t="shared" si="4"/>
        <v>2.5679758308157101E-2</v>
      </c>
      <c r="U46" s="1">
        <f t="shared" si="5"/>
        <v>0.243202416918429</v>
      </c>
      <c r="V46" s="1">
        <f t="shared" si="6"/>
        <v>0.25528700906344409</v>
      </c>
      <c r="W46" s="1">
        <f t="shared" si="7"/>
        <v>7.0996978851963752E-2</v>
      </c>
      <c r="X46" s="1">
        <f t="shared" si="8"/>
        <v>9.3655589123867067E-2</v>
      </c>
      <c r="Y46" s="1">
        <f t="shared" si="9"/>
        <v>0.2175226586102719</v>
      </c>
      <c r="Z46" s="1">
        <f t="shared" si="10"/>
        <v>0.22356495468277945</v>
      </c>
      <c r="AA46" s="1">
        <f t="shared" si="11"/>
        <v>0.10422960725075529</v>
      </c>
      <c r="AB46" s="1">
        <f t="shared" si="12"/>
        <v>0.1555891238670695</v>
      </c>
      <c r="AC46" s="1"/>
    </row>
    <row r="47" spans="1:29">
      <c r="A47" s="8"/>
      <c r="B47" t="s">
        <v>39</v>
      </c>
      <c r="C47" s="4">
        <v>668</v>
      </c>
      <c r="D47" s="4">
        <v>150</v>
      </c>
      <c r="E47" s="4">
        <v>156</v>
      </c>
      <c r="F47" s="4">
        <v>43</v>
      </c>
      <c r="G47" s="4">
        <v>54</v>
      </c>
      <c r="H47" s="4">
        <v>157</v>
      </c>
      <c r="I47" s="4">
        <v>162</v>
      </c>
      <c r="J47" s="4">
        <v>47</v>
      </c>
      <c r="K47">
        <v>53</v>
      </c>
      <c r="L47">
        <v>119</v>
      </c>
      <c r="M47">
        <v>122</v>
      </c>
      <c r="N47">
        <v>38</v>
      </c>
      <c r="O47">
        <v>49</v>
      </c>
      <c r="Q47" s="1">
        <f t="shared" si="1"/>
        <v>0.22455089820359281</v>
      </c>
      <c r="R47" s="1">
        <f t="shared" si="2"/>
        <v>0.23353293413173654</v>
      </c>
      <c r="S47" s="1">
        <f t="shared" si="3"/>
        <v>6.4371257485029934E-2</v>
      </c>
      <c r="T47" s="1">
        <f t="shared" si="4"/>
        <v>8.0838323353293412E-2</v>
      </c>
      <c r="U47" s="1">
        <f t="shared" si="5"/>
        <v>0.23502994011976047</v>
      </c>
      <c r="V47" s="1">
        <f t="shared" si="6"/>
        <v>0.24251497005988024</v>
      </c>
      <c r="W47" s="1">
        <f t="shared" si="7"/>
        <v>7.0359281437125748E-2</v>
      </c>
      <c r="X47" s="1">
        <f t="shared" si="8"/>
        <v>7.9341317365269462E-2</v>
      </c>
      <c r="Y47" s="1">
        <f t="shared" si="9"/>
        <v>0.17814371257485029</v>
      </c>
      <c r="Z47" s="1">
        <f t="shared" si="10"/>
        <v>0.18263473053892215</v>
      </c>
      <c r="AA47" s="1">
        <f t="shared" si="11"/>
        <v>5.6886227544910177E-2</v>
      </c>
      <c r="AB47" s="1">
        <f t="shared" si="12"/>
        <v>7.3353293413173648E-2</v>
      </c>
      <c r="AC47" s="1"/>
    </row>
    <row r="48" spans="1:29">
      <c r="A48" s="8"/>
      <c r="B48" t="s">
        <v>40</v>
      </c>
      <c r="C48" s="4">
        <v>889</v>
      </c>
      <c r="D48" s="4">
        <v>185</v>
      </c>
      <c r="E48" s="4">
        <v>196</v>
      </c>
      <c r="F48" s="4">
        <v>44</v>
      </c>
      <c r="G48" s="4">
        <v>51</v>
      </c>
      <c r="H48" s="4">
        <v>174</v>
      </c>
      <c r="I48" s="4">
        <v>183</v>
      </c>
      <c r="J48" s="4">
        <v>60</v>
      </c>
      <c r="K48">
        <v>80</v>
      </c>
      <c r="L48">
        <v>244</v>
      </c>
      <c r="M48">
        <v>255</v>
      </c>
      <c r="N48">
        <v>77</v>
      </c>
      <c r="O48">
        <v>99</v>
      </c>
      <c r="Q48" s="1">
        <f t="shared" si="1"/>
        <v>0.20809898762654669</v>
      </c>
      <c r="R48" s="1">
        <f t="shared" si="2"/>
        <v>0.22047244094488189</v>
      </c>
      <c r="S48" s="1">
        <f t="shared" si="3"/>
        <v>4.9493813273340834E-2</v>
      </c>
      <c r="T48" s="1">
        <f t="shared" si="4"/>
        <v>5.736782902137233E-2</v>
      </c>
      <c r="U48" s="1">
        <f t="shared" si="5"/>
        <v>0.19572553430821146</v>
      </c>
      <c r="V48" s="1">
        <f t="shared" si="6"/>
        <v>0.20584926884139482</v>
      </c>
      <c r="W48" s="1">
        <f t="shared" si="7"/>
        <v>6.7491563554555684E-2</v>
      </c>
      <c r="X48" s="1">
        <f t="shared" si="8"/>
        <v>8.9988751406074236E-2</v>
      </c>
      <c r="Y48" s="1">
        <f t="shared" si="9"/>
        <v>0.27446569178852642</v>
      </c>
      <c r="Z48" s="1">
        <f t="shared" si="10"/>
        <v>0.28683914510686165</v>
      </c>
      <c r="AA48" s="1">
        <f t="shared" si="11"/>
        <v>8.6614173228346455E-2</v>
      </c>
      <c r="AB48" s="1">
        <f t="shared" si="12"/>
        <v>0.11136107986501688</v>
      </c>
      <c r="AC48" s="1"/>
    </row>
    <row r="49" spans="1:29">
      <c r="A49" s="8"/>
      <c r="B49" t="s">
        <v>41</v>
      </c>
      <c r="C49" s="4">
        <v>504</v>
      </c>
      <c r="D49" s="4">
        <v>86</v>
      </c>
      <c r="E49" s="4">
        <v>88</v>
      </c>
      <c r="F49" s="4">
        <v>18</v>
      </c>
      <c r="G49" s="4">
        <v>21</v>
      </c>
      <c r="H49" s="4">
        <v>91</v>
      </c>
      <c r="I49" s="4">
        <v>92</v>
      </c>
      <c r="J49" s="4">
        <v>33</v>
      </c>
      <c r="K49">
        <v>47</v>
      </c>
      <c r="L49">
        <v>89</v>
      </c>
      <c r="M49">
        <v>90</v>
      </c>
      <c r="N49">
        <v>25</v>
      </c>
      <c r="O49">
        <v>33</v>
      </c>
      <c r="Q49" s="1">
        <f t="shared" si="1"/>
        <v>0.17063492063492064</v>
      </c>
      <c r="R49" s="1">
        <f t="shared" si="2"/>
        <v>0.17460317460317459</v>
      </c>
      <c r="S49" s="1">
        <f t="shared" si="3"/>
        <v>3.5714285714285712E-2</v>
      </c>
      <c r="T49" s="1">
        <f t="shared" si="4"/>
        <v>4.1666666666666664E-2</v>
      </c>
      <c r="U49" s="1">
        <f t="shared" si="5"/>
        <v>0.18055555555555555</v>
      </c>
      <c r="V49" s="1">
        <f t="shared" si="6"/>
        <v>0.18253968253968253</v>
      </c>
      <c r="W49" s="1">
        <f t="shared" si="7"/>
        <v>6.5476190476190479E-2</v>
      </c>
      <c r="X49" s="1">
        <f t="shared" si="8"/>
        <v>9.3253968253968256E-2</v>
      </c>
      <c r="Y49" s="1">
        <f t="shared" si="9"/>
        <v>0.1765873015873016</v>
      </c>
      <c r="Z49" s="1">
        <f t="shared" si="10"/>
        <v>0.17857142857142858</v>
      </c>
      <c r="AA49" s="1">
        <f t="shared" si="11"/>
        <v>4.96031746031746E-2</v>
      </c>
      <c r="AB49" s="1">
        <f t="shared" si="12"/>
        <v>6.5476190476190479E-2</v>
      </c>
      <c r="AC49" s="1"/>
    </row>
    <row r="50" spans="1:29">
      <c r="A50" s="8"/>
      <c r="B50" t="s">
        <v>42</v>
      </c>
      <c r="C50" s="4">
        <v>201</v>
      </c>
      <c r="D50" s="4">
        <v>41</v>
      </c>
      <c r="E50" s="4">
        <v>41</v>
      </c>
      <c r="F50" s="4">
        <v>6</v>
      </c>
      <c r="G50" s="4">
        <v>9</v>
      </c>
      <c r="H50" s="4">
        <v>49</v>
      </c>
      <c r="I50" s="4">
        <v>53</v>
      </c>
      <c r="J50" s="4">
        <v>20</v>
      </c>
      <c r="K50">
        <v>25</v>
      </c>
      <c r="L50">
        <v>34</v>
      </c>
      <c r="M50">
        <v>36</v>
      </c>
      <c r="N50">
        <v>12</v>
      </c>
      <c r="O50">
        <v>18</v>
      </c>
      <c r="Q50" s="1">
        <f t="shared" si="1"/>
        <v>0.20398009950248755</v>
      </c>
      <c r="R50" s="1">
        <f t="shared" si="2"/>
        <v>0.20398009950248755</v>
      </c>
      <c r="S50" s="1">
        <f t="shared" si="3"/>
        <v>2.9850746268656716E-2</v>
      </c>
      <c r="T50" s="1">
        <f t="shared" si="4"/>
        <v>4.4776119402985072E-2</v>
      </c>
      <c r="U50" s="1">
        <f t="shared" si="5"/>
        <v>0.24378109452736318</v>
      </c>
      <c r="V50" s="1">
        <f t="shared" si="6"/>
        <v>0.26368159203980102</v>
      </c>
      <c r="W50" s="1">
        <f t="shared" si="7"/>
        <v>9.950248756218906E-2</v>
      </c>
      <c r="X50" s="1">
        <f t="shared" si="8"/>
        <v>0.12437810945273632</v>
      </c>
      <c r="Y50" s="1">
        <f t="shared" si="9"/>
        <v>0.1691542288557214</v>
      </c>
      <c r="Z50" s="1">
        <f t="shared" si="10"/>
        <v>0.17910447761194029</v>
      </c>
      <c r="AA50" s="1">
        <f t="shared" si="11"/>
        <v>5.9701492537313432E-2</v>
      </c>
      <c r="AB50" s="1">
        <f t="shared" si="12"/>
        <v>8.9552238805970144E-2</v>
      </c>
      <c r="AC50" s="1"/>
    </row>
    <row r="51" spans="1:29">
      <c r="A51" s="8"/>
      <c r="B51" t="s">
        <v>43</v>
      </c>
      <c r="C51" s="4">
        <v>900</v>
      </c>
      <c r="D51" s="4">
        <v>209</v>
      </c>
      <c r="E51" s="4">
        <v>216</v>
      </c>
      <c r="F51" s="4">
        <v>36</v>
      </c>
      <c r="G51" s="4">
        <v>44</v>
      </c>
      <c r="H51" s="4">
        <v>242</v>
      </c>
      <c r="I51" s="4">
        <v>248</v>
      </c>
      <c r="J51" s="4">
        <v>77</v>
      </c>
      <c r="K51">
        <v>102</v>
      </c>
      <c r="L51">
        <v>192</v>
      </c>
      <c r="M51">
        <v>194</v>
      </c>
      <c r="N51">
        <v>76</v>
      </c>
      <c r="O51">
        <v>113</v>
      </c>
      <c r="Q51" s="1">
        <f t="shared" si="1"/>
        <v>0.23222222222222222</v>
      </c>
      <c r="R51" s="1">
        <f t="shared" si="2"/>
        <v>0.24</v>
      </c>
      <c r="S51" s="1">
        <f t="shared" si="3"/>
        <v>0.04</v>
      </c>
      <c r="T51" s="1">
        <f t="shared" si="4"/>
        <v>4.8888888888888891E-2</v>
      </c>
      <c r="U51" s="1">
        <f t="shared" si="5"/>
        <v>0.2688888888888889</v>
      </c>
      <c r="V51" s="1">
        <f t="shared" si="6"/>
        <v>0.27555555555555555</v>
      </c>
      <c r="W51" s="1">
        <f t="shared" si="7"/>
        <v>8.5555555555555551E-2</v>
      </c>
      <c r="X51" s="1">
        <f t="shared" si="8"/>
        <v>0.11333333333333333</v>
      </c>
      <c r="Y51" s="1">
        <f t="shared" si="9"/>
        <v>0.21333333333333335</v>
      </c>
      <c r="Z51" s="1">
        <f t="shared" si="10"/>
        <v>0.21555555555555556</v>
      </c>
      <c r="AA51" s="1">
        <f t="shared" si="11"/>
        <v>8.4444444444444447E-2</v>
      </c>
      <c r="AB51" s="1">
        <f t="shared" si="12"/>
        <v>0.12555555555555556</v>
      </c>
      <c r="AC51" s="1"/>
    </row>
    <row r="52" spans="1:29">
      <c r="A52" s="8"/>
      <c r="B52" t="s">
        <v>44</v>
      </c>
      <c r="C52" s="4">
        <v>672</v>
      </c>
      <c r="D52" s="4">
        <v>189</v>
      </c>
      <c r="E52" s="4">
        <v>197</v>
      </c>
      <c r="F52" s="4">
        <v>31</v>
      </c>
      <c r="G52" s="4">
        <v>36</v>
      </c>
      <c r="H52" s="4">
        <v>157</v>
      </c>
      <c r="I52" s="4">
        <v>164</v>
      </c>
      <c r="J52" s="4">
        <v>43</v>
      </c>
      <c r="K52">
        <v>52</v>
      </c>
      <c r="L52">
        <v>207</v>
      </c>
      <c r="M52">
        <v>222</v>
      </c>
      <c r="N52">
        <v>44</v>
      </c>
      <c r="O52">
        <v>57</v>
      </c>
      <c r="Q52" s="1">
        <f t="shared" si="1"/>
        <v>0.28125</v>
      </c>
      <c r="R52" s="1">
        <f t="shared" si="2"/>
        <v>0.29315476190476192</v>
      </c>
      <c r="S52" s="1">
        <f t="shared" si="3"/>
        <v>4.6130952380952384E-2</v>
      </c>
      <c r="T52" s="1">
        <f t="shared" si="4"/>
        <v>5.3571428571428568E-2</v>
      </c>
      <c r="U52" s="1">
        <f t="shared" si="5"/>
        <v>0.23363095238095238</v>
      </c>
      <c r="V52" s="1">
        <f t="shared" si="6"/>
        <v>0.24404761904761904</v>
      </c>
      <c r="W52" s="1">
        <f t="shared" si="7"/>
        <v>6.3988095238095233E-2</v>
      </c>
      <c r="X52" s="1">
        <f t="shared" si="8"/>
        <v>7.7380952380952384E-2</v>
      </c>
      <c r="Y52" s="1">
        <f t="shared" si="9"/>
        <v>0.3080357142857143</v>
      </c>
      <c r="Z52" s="1">
        <f t="shared" si="10"/>
        <v>0.33035714285714285</v>
      </c>
      <c r="AA52" s="1">
        <f t="shared" si="11"/>
        <v>6.5476190476190479E-2</v>
      </c>
      <c r="AB52" s="1">
        <f t="shared" si="12"/>
        <v>8.4821428571428575E-2</v>
      </c>
      <c r="AC52" s="1"/>
    </row>
    <row r="53" spans="1:29">
      <c r="A53" s="8"/>
      <c r="B53" t="s">
        <v>45</v>
      </c>
      <c r="C53" s="4">
        <v>421</v>
      </c>
      <c r="D53" s="4">
        <v>36</v>
      </c>
      <c r="E53" s="4">
        <v>36</v>
      </c>
      <c r="F53" s="4">
        <v>5</v>
      </c>
      <c r="G53" s="4">
        <v>6</v>
      </c>
      <c r="H53" s="4">
        <v>120</v>
      </c>
      <c r="I53" s="4">
        <v>126</v>
      </c>
      <c r="J53" s="4">
        <v>55</v>
      </c>
      <c r="K53">
        <v>82</v>
      </c>
      <c r="L53">
        <v>75</v>
      </c>
      <c r="M53">
        <v>78</v>
      </c>
      <c r="N53">
        <v>29</v>
      </c>
      <c r="O53">
        <v>38</v>
      </c>
      <c r="Q53" s="1">
        <f t="shared" si="1"/>
        <v>8.5510688836104506E-2</v>
      </c>
      <c r="R53" s="1">
        <f t="shared" si="2"/>
        <v>8.5510688836104506E-2</v>
      </c>
      <c r="S53" s="1">
        <f t="shared" si="3"/>
        <v>1.1876484560570071E-2</v>
      </c>
      <c r="T53" s="1">
        <f t="shared" si="4"/>
        <v>1.4251781472684086E-2</v>
      </c>
      <c r="U53" s="1">
        <f t="shared" si="5"/>
        <v>0.28503562945368172</v>
      </c>
      <c r="V53" s="1">
        <f t="shared" si="6"/>
        <v>0.29928741092636579</v>
      </c>
      <c r="W53" s="1">
        <f t="shared" si="7"/>
        <v>0.13064133016627077</v>
      </c>
      <c r="X53" s="1">
        <f t="shared" si="8"/>
        <v>0.19477434679334918</v>
      </c>
      <c r="Y53" s="1">
        <f t="shared" si="9"/>
        <v>0.17814726840855108</v>
      </c>
      <c r="Z53" s="1">
        <f t="shared" si="10"/>
        <v>0.18527315914489312</v>
      </c>
      <c r="AA53" s="1">
        <f t="shared" si="11"/>
        <v>6.8883610451306407E-2</v>
      </c>
      <c r="AB53" s="1">
        <f t="shared" si="12"/>
        <v>9.0261282660332537E-2</v>
      </c>
      <c r="AC53" s="1"/>
    </row>
    <row r="54" spans="1:29">
      <c r="A54" s="8" t="s">
        <v>62</v>
      </c>
      <c r="B54" t="s">
        <v>46</v>
      </c>
      <c r="C54" s="4">
        <v>651</v>
      </c>
      <c r="D54" s="4">
        <v>82</v>
      </c>
      <c r="E54" s="4">
        <v>86</v>
      </c>
      <c r="F54" s="4">
        <v>15</v>
      </c>
      <c r="G54" s="4">
        <v>18</v>
      </c>
      <c r="H54" s="4">
        <v>163</v>
      </c>
      <c r="I54" s="4">
        <v>173</v>
      </c>
      <c r="J54" s="4">
        <v>45</v>
      </c>
      <c r="K54">
        <v>75</v>
      </c>
      <c r="L54">
        <v>159</v>
      </c>
      <c r="M54">
        <v>167</v>
      </c>
      <c r="N54">
        <v>50</v>
      </c>
      <c r="O54">
        <v>65</v>
      </c>
      <c r="Q54" s="1">
        <f t="shared" si="1"/>
        <v>0.1259600614439324</v>
      </c>
      <c r="R54" s="1">
        <f t="shared" si="2"/>
        <v>0.13210445468509985</v>
      </c>
      <c r="S54" s="1">
        <f t="shared" si="3"/>
        <v>2.3041474654377881E-2</v>
      </c>
      <c r="T54" s="1">
        <f t="shared" si="4"/>
        <v>2.7649769585253458E-2</v>
      </c>
      <c r="U54" s="1">
        <f t="shared" si="5"/>
        <v>0.25038402457757297</v>
      </c>
      <c r="V54" s="1">
        <f t="shared" si="6"/>
        <v>0.26574500768049153</v>
      </c>
      <c r="W54" s="1">
        <f t="shared" si="7"/>
        <v>6.9124423963133647E-2</v>
      </c>
      <c r="X54" s="1">
        <f t="shared" si="8"/>
        <v>0.1152073732718894</v>
      </c>
      <c r="Y54" s="1">
        <f t="shared" si="9"/>
        <v>0.24423963133640553</v>
      </c>
      <c r="Z54" s="1">
        <f t="shared" si="10"/>
        <v>0.25652841781874042</v>
      </c>
      <c r="AA54" s="1">
        <f t="shared" si="11"/>
        <v>7.6804915514592939E-2</v>
      </c>
      <c r="AB54" s="1">
        <f t="shared" si="12"/>
        <v>9.9846390168970817E-2</v>
      </c>
      <c r="AC54" s="1"/>
    </row>
    <row r="55" spans="1:29">
      <c r="A55" s="8"/>
      <c r="B55" t="s">
        <v>47</v>
      </c>
      <c r="C55" s="4">
        <v>774</v>
      </c>
      <c r="D55" s="4">
        <v>69</v>
      </c>
      <c r="E55" s="4">
        <v>72</v>
      </c>
      <c r="F55" s="4">
        <v>15</v>
      </c>
      <c r="G55" s="4">
        <v>16</v>
      </c>
      <c r="H55" s="4">
        <v>180</v>
      </c>
      <c r="I55" s="4">
        <v>189</v>
      </c>
      <c r="J55" s="4">
        <v>47</v>
      </c>
      <c r="K55">
        <v>61</v>
      </c>
      <c r="L55">
        <v>162</v>
      </c>
      <c r="M55">
        <v>167</v>
      </c>
      <c r="N55">
        <v>74</v>
      </c>
      <c r="O55">
        <v>101</v>
      </c>
      <c r="Q55" s="1">
        <f t="shared" si="1"/>
        <v>8.9147286821705432E-2</v>
      </c>
      <c r="R55" s="1">
        <f t="shared" si="2"/>
        <v>9.3023255813953487E-2</v>
      </c>
      <c r="S55" s="1">
        <f t="shared" si="3"/>
        <v>1.937984496124031E-2</v>
      </c>
      <c r="T55" s="1">
        <f t="shared" si="4"/>
        <v>2.0671834625322998E-2</v>
      </c>
      <c r="U55" s="1">
        <f t="shared" si="5"/>
        <v>0.23255813953488372</v>
      </c>
      <c r="V55" s="1">
        <f t="shared" si="6"/>
        <v>0.2441860465116279</v>
      </c>
      <c r="W55" s="1">
        <f t="shared" si="7"/>
        <v>6.0723514211886306E-2</v>
      </c>
      <c r="X55" s="1">
        <f t="shared" si="8"/>
        <v>7.8811369509043924E-2</v>
      </c>
      <c r="Y55" s="1">
        <f t="shared" si="9"/>
        <v>0.20930232558139536</v>
      </c>
      <c r="Z55" s="1">
        <f t="shared" si="10"/>
        <v>0.2157622739018088</v>
      </c>
      <c r="AA55" s="1">
        <f t="shared" si="11"/>
        <v>9.5607235142118857E-2</v>
      </c>
      <c r="AB55" s="1">
        <f t="shared" si="12"/>
        <v>0.13049095607235142</v>
      </c>
      <c r="AC55" s="1"/>
    </row>
    <row r="56" spans="1:29">
      <c r="A56" s="8"/>
      <c r="B56" t="s">
        <v>48</v>
      </c>
      <c r="C56" s="4">
        <v>169</v>
      </c>
      <c r="D56" s="4">
        <v>11</v>
      </c>
      <c r="E56" s="4">
        <v>11</v>
      </c>
      <c r="F56" s="4">
        <v>1</v>
      </c>
      <c r="G56" s="4">
        <v>2</v>
      </c>
      <c r="H56" s="4">
        <v>36</v>
      </c>
      <c r="I56" s="4">
        <v>36</v>
      </c>
      <c r="J56" s="4">
        <v>11</v>
      </c>
      <c r="K56">
        <v>20</v>
      </c>
      <c r="L56">
        <v>18</v>
      </c>
      <c r="M56">
        <v>18</v>
      </c>
      <c r="N56">
        <v>13</v>
      </c>
      <c r="O56">
        <v>19</v>
      </c>
      <c r="Q56" s="1">
        <f t="shared" si="1"/>
        <v>6.5088757396449703E-2</v>
      </c>
      <c r="R56" s="1">
        <f t="shared" si="2"/>
        <v>6.5088757396449703E-2</v>
      </c>
      <c r="S56" s="1">
        <f t="shared" si="3"/>
        <v>5.9171597633136093E-3</v>
      </c>
      <c r="T56" s="1">
        <f t="shared" si="4"/>
        <v>1.1834319526627219E-2</v>
      </c>
      <c r="U56" s="1">
        <f t="shared" si="5"/>
        <v>0.21301775147928995</v>
      </c>
      <c r="V56" s="1">
        <f t="shared" si="6"/>
        <v>0.21301775147928995</v>
      </c>
      <c r="W56" s="1">
        <f t="shared" si="7"/>
        <v>6.5088757396449703E-2</v>
      </c>
      <c r="X56" s="1">
        <f t="shared" si="8"/>
        <v>0.11834319526627218</v>
      </c>
      <c r="Y56" s="1">
        <f t="shared" si="9"/>
        <v>0.10650887573964497</v>
      </c>
      <c r="Z56" s="1">
        <f t="shared" si="10"/>
        <v>0.10650887573964497</v>
      </c>
      <c r="AA56" s="1">
        <f t="shared" si="11"/>
        <v>7.6923076923076927E-2</v>
      </c>
      <c r="AB56" s="1">
        <f t="shared" si="12"/>
        <v>0.11242603550295859</v>
      </c>
      <c r="AC56" s="1"/>
    </row>
    <row r="57" spans="1:29">
      <c r="A57" s="8"/>
      <c r="B57" t="s">
        <v>49</v>
      </c>
      <c r="C57" s="4">
        <v>436</v>
      </c>
      <c r="D57" s="4">
        <v>61</v>
      </c>
      <c r="E57" s="4">
        <v>61</v>
      </c>
      <c r="F57" s="4">
        <v>13</v>
      </c>
      <c r="G57" s="4">
        <v>15</v>
      </c>
      <c r="H57" s="4">
        <v>100</v>
      </c>
      <c r="I57" s="4">
        <v>105</v>
      </c>
      <c r="J57" s="4">
        <v>35</v>
      </c>
      <c r="K57">
        <v>42</v>
      </c>
      <c r="L57">
        <v>116</v>
      </c>
      <c r="M57">
        <v>121</v>
      </c>
      <c r="N57">
        <v>41</v>
      </c>
      <c r="O57">
        <v>49</v>
      </c>
      <c r="Q57" s="1">
        <f t="shared" si="1"/>
        <v>0.13990825688073394</v>
      </c>
      <c r="R57" s="1">
        <f t="shared" si="2"/>
        <v>0.13990825688073394</v>
      </c>
      <c r="S57" s="1">
        <f t="shared" si="3"/>
        <v>2.9816513761467892E-2</v>
      </c>
      <c r="T57" s="1">
        <f t="shared" si="4"/>
        <v>3.4403669724770644E-2</v>
      </c>
      <c r="U57" s="1">
        <f t="shared" si="5"/>
        <v>0.22935779816513763</v>
      </c>
      <c r="V57" s="1">
        <f t="shared" si="6"/>
        <v>0.24082568807339449</v>
      </c>
      <c r="W57" s="1">
        <f t="shared" si="7"/>
        <v>8.027522935779817E-2</v>
      </c>
      <c r="X57" s="1">
        <f t="shared" si="8"/>
        <v>9.6330275229357804E-2</v>
      </c>
      <c r="Y57" s="1">
        <f t="shared" si="9"/>
        <v>0.26605504587155965</v>
      </c>
      <c r="Z57" s="1">
        <f t="shared" si="10"/>
        <v>0.27752293577981652</v>
      </c>
      <c r="AA57" s="1">
        <f t="shared" si="11"/>
        <v>9.4036697247706427E-2</v>
      </c>
      <c r="AB57" s="1">
        <f t="shared" si="12"/>
        <v>0.11238532110091744</v>
      </c>
      <c r="AC57" s="1"/>
    </row>
    <row r="58" spans="1:29">
      <c r="A58" s="8"/>
      <c r="B58" t="s">
        <v>50</v>
      </c>
      <c r="C58" s="4">
        <v>636</v>
      </c>
      <c r="D58" s="4">
        <v>95</v>
      </c>
      <c r="E58" s="4">
        <v>102</v>
      </c>
      <c r="F58" s="4">
        <v>10</v>
      </c>
      <c r="G58" s="4">
        <v>10</v>
      </c>
      <c r="H58" s="4">
        <v>144</v>
      </c>
      <c r="I58" s="4">
        <v>154</v>
      </c>
      <c r="J58" s="4">
        <v>39</v>
      </c>
      <c r="K58">
        <v>45</v>
      </c>
      <c r="L58">
        <v>134</v>
      </c>
      <c r="M58">
        <v>142</v>
      </c>
      <c r="N58">
        <v>30</v>
      </c>
      <c r="O58">
        <v>38</v>
      </c>
      <c r="Q58" s="1">
        <f t="shared" si="1"/>
        <v>0.14937106918238993</v>
      </c>
      <c r="R58" s="1">
        <f t="shared" si="2"/>
        <v>0.16037735849056603</v>
      </c>
      <c r="S58" s="1">
        <f t="shared" si="3"/>
        <v>1.5723270440251572E-2</v>
      </c>
      <c r="T58" s="1">
        <f t="shared" si="4"/>
        <v>1.5723270440251572E-2</v>
      </c>
      <c r="U58" s="1">
        <f t="shared" si="5"/>
        <v>0.22641509433962265</v>
      </c>
      <c r="V58" s="1">
        <f t="shared" si="6"/>
        <v>0.24213836477987422</v>
      </c>
      <c r="W58" s="1">
        <f t="shared" si="7"/>
        <v>6.1320754716981132E-2</v>
      </c>
      <c r="X58" s="1">
        <f t="shared" si="8"/>
        <v>7.0754716981132074E-2</v>
      </c>
      <c r="Y58" s="1">
        <f t="shared" si="9"/>
        <v>0.21069182389937108</v>
      </c>
      <c r="Z58" s="1">
        <f t="shared" si="10"/>
        <v>0.22327044025157233</v>
      </c>
      <c r="AA58" s="1">
        <f t="shared" si="11"/>
        <v>4.716981132075472E-2</v>
      </c>
      <c r="AB58" s="1">
        <f t="shared" si="12"/>
        <v>5.9748427672955975E-2</v>
      </c>
      <c r="AC58" s="1"/>
    </row>
    <row r="59" spans="1:29">
      <c r="A59" s="8" t="s">
        <v>63</v>
      </c>
      <c r="B59" t="s">
        <v>46</v>
      </c>
      <c r="C59" s="4">
        <v>667</v>
      </c>
      <c r="D59" s="4">
        <v>107</v>
      </c>
      <c r="E59" s="4">
        <v>113</v>
      </c>
      <c r="F59" s="4">
        <v>14</v>
      </c>
      <c r="G59" s="4">
        <v>14</v>
      </c>
      <c r="H59" s="4">
        <v>157</v>
      </c>
      <c r="I59" s="4">
        <v>164</v>
      </c>
      <c r="J59" s="4">
        <v>41</v>
      </c>
      <c r="K59">
        <v>57</v>
      </c>
      <c r="L59">
        <v>152</v>
      </c>
      <c r="M59">
        <v>161</v>
      </c>
      <c r="N59">
        <v>42</v>
      </c>
      <c r="O59">
        <v>55</v>
      </c>
      <c r="Q59" s="1">
        <f t="shared" si="1"/>
        <v>0.16041979010494753</v>
      </c>
      <c r="R59" s="1">
        <f t="shared" si="2"/>
        <v>0.16941529235382308</v>
      </c>
      <c r="S59" s="1">
        <f t="shared" si="3"/>
        <v>2.0989505247376312E-2</v>
      </c>
      <c r="T59" s="1">
        <f t="shared" si="4"/>
        <v>2.0989505247376312E-2</v>
      </c>
      <c r="U59" s="1">
        <f t="shared" si="5"/>
        <v>0.2353823088455772</v>
      </c>
      <c r="V59" s="1">
        <f t="shared" si="6"/>
        <v>0.24587706146926536</v>
      </c>
      <c r="W59" s="1">
        <f t="shared" si="7"/>
        <v>6.1469265367316339E-2</v>
      </c>
      <c r="X59" s="1">
        <f t="shared" si="8"/>
        <v>8.5457271364317841E-2</v>
      </c>
      <c r="Y59" s="1">
        <f t="shared" si="9"/>
        <v>0.22788605697151423</v>
      </c>
      <c r="Z59" s="1">
        <f t="shared" si="10"/>
        <v>0.2413793103448276</v>
      </c>
      <c r="AA59" s="1">
        <f t="shared" si="11"/>
        <v>6.296851574212893E-2</v>
      </c>
      <c r="AB59" s="1">
        <f t="shared" si="12"/>
        <v>8.2458770614692659E-2</v>
      </c>
      <c r="AC59" s="1"/>
    </row>
    <row r="60" spans="1:29">
      <c r="A60" s="8"/>
      <c r="B60" t="s">
        <v>47</v>
      </c>
      <c r="C60" s="4">
        <v>790</v>
      </c>
      <c r="D60" s="4">
        <v>131</v>
      </c>
      <c r="E60" s="4">
        <v>137</v>
      </c>
      <c r="F60" s="4">
        <v>25</v>
      </c>
      <c r="G60" s="4">
        <v>28</v>
      </c>
      <c r="H60" s="4">
        <v>199</v>
      </c>
      <c r="I60" s="4">
        <v>210</v>
      </c>
      <c r="J60" s="4">
        <v>46</v>
      </c>
      <c r="K60">
        <v>63</v>
      </c>
      <c r="L60">
        <v>181</v>
      </c>
      <c r="M60">
        <v>191</v>
      </c>
      <c r="N60">
        <v>74</v>
      </c>
      <c r="O60">
        <v>104</v>
      </c>
      <c r="Q60" s="1">
        <f t="shared" si="1"/>
        <v>0.16582278481012658</v>
      </c>
      <c r="R60" s="1">
        <f t="shared" si="2"/>
        <v>0.17341772151898735</v>
      </c>
      <c r="S60" s="1">
        <f t="shared" si="3"/>
        <v>3.1645569620253167E-2</v>
      </c>
      <c r="T60" s="1">
        <f t="shared" si="4"/>
        <v>3.5443037974683546E-2</v>
      </c>
      <c r="U60" s="1">
        <f t="shared" si="5"/>
        <v>0.2518987341772152</v>
      </c>
      <c r="V60" s="1">
        <f t="shared" si="6"/>
        <v>0.26582278481012656</v>
      </c>
      <c r="W60" s="1">
        <f t="shared" si="7"/>
        <v>5.8227848101265821E-2</v>
      </c>
      <c r="X60" s="1">
        <f t="shared" si="8"/>
        <v>7.9746835443037969E-2</v>
      </c>
      <c r="Y60" s="1">
        <f t="shared" si="9"/>
        <v>0.22911392405063291</v>
      </c>
      <c r="Z60" s="1">
        <f t="shared" si="10"/>
        <v>0.24177215189873419</v>
      </c>
      <c r="AA60" s="1">
        <f t="shared" si="11"/>
        <v>9.3670886075949367E-2</v>
      </c>
      <c r="AB60" s="1">
        <f t="shared" si="12"/>
        <v>0.13164556962025317</v>
      </c>
      <c r="AC60" s="1"/>
    </row>
    <row r="61" spans="1:29">
      <c r="A61" s="8"/>
      <c r="B61" t="s">
        <v>48</v>
      </c>
      <c r="C61" s="4">
        <v>172</v>
      </c>
      <c r="D61" s="4">
        <v>32</v>
      </c>
      <c r="E61" s="4">
        <v>34</v>
      </c>
      <c r="F61" s="4">
        <v>11</v>
      </c>
      <c r="G61" s="4">
        <v>16</v>
      </c>
      <c r="H61" s="4">
        <v>37</v>
      </c>
      <c r="I61" s="4">
        <v>37</v>
      </c>
      <c r="J61" s="4">
        <v>11</v>
      </c>
      <c r="K61">
        <v>19</v>
      </c>
      <c r="L61">
        <v>20</v>
      </c>
      <c r="M61">
        <v>21</v>
      </c>
      <c r="N61">
        <v>14</v>
      </c>
      <c r="O61">
        <v>21</v>
      </c>
      <c r="Q61" s="1">
        <f t="shared" si="1"/>
        <v>0.18604651162790697</v>
      </c>
      <c r="R61" s="1">
        <f t="shared" si="2"/>
        <v>0.19767441860465115</v>
      </c>
      <c r="S61" s="1">
        <f t="shared" si="3"/>
        <v>6.3953488372093026E-2</v>
      </c>
      <c r="T61" s="1">
        <f t="shared" si="4"/>
        <v>9.3023255813953487E-2</v>
      </c>
      <c r="U61" s="1">
        <f t="shared" si="5"/>
        <v>0.21511627906976744</v>
      </c>
      <c r="V61" s="1">
        <f t="shared" si="6"/>
        <v>0.21511627906976744</v>
      </c>
      <c r="W61" s="1">
        <f t="shared" si="7"/>
        <v>6.3953488372093026E-2</v>
      </c>
      <c r="X61" s="1">
        <f t="shared" si="8"/>
        <v>0.11046511627906977</v>
      </c>
      <c r="Y61" s="1">
        <f t="shared" si="9"/>
        <v>0.11627906976744186</v>
      </c>
      <c r="Z61" s="1">
        <f t="shared" si="10"/>
        <v>0.12209302325581395</v>
      </c>
      <c r="AA61" s="1">
        <f t="shared" si="11"/>
        <v>8.1395348837209308E-2</v>
      </c>
      <c r="AB61" s="1">
        <f t="shared" si="12"/>
        <v>0.12209302325581395</v>
      </c>
      <c r="AC61" s="1"/>
    </row>
    <row r="62" spans="1:29">
      <c r="A62" s="8"/>
      <c r="B62" t="s">
        <v>49</v>
      </c>
      <c r="C62" s="4">
        <v>446</v>
      </c>
      <c r="D62" s="4">
        <v>79</v>
      </c>
      <c r="E62" s="4">
        <v>84</v>
      </c>
      <c r="F62" s="4">
        <v>17</v>
      </c>
      <c r="G62" s="4">
        <v>21</v>
      </c>
      <c r="H62" s="4">
        <v>87</v>
      </c>
      <c r="I62" s="4">
        <v>90</v>
      </c>
      <c r="J62" s="4">
        <v>30</v>
      </c>
      <c r="K62">
        <v>40</v>
      </c>
      <c r="L62">
        <v>96</v>
      </c>
      <c r="M62">
        <v>101</v>
      </c>
      <c r="N62">
        <v>29</v>
      </c>
      <c r="O62">
        <v>39</v>
      </c>
      <c r="Q62" s="1">
        <f t="shared" si="1"/>
        <v>0.17713004484304934</v>
      </c>
      <c r="R62" s="1">
        <f t="shared" si="2"/>
        <v>0.18834080717488788</v>
      </c>
      <c r="S62" s="1">
        <f t="shared" si="3"/>
        <v>3.811659192825112E-2</v>
      </c>
      <c r="T62" s="1">
        <f t="shared" si="4"/>
        <v>4.708520179372197E-2</v>
      </c>
      <c r="U62" s="1">
        <f t="shared" si="5"/>
        <v>0.19506726457399104</v>
      </c>
      <c r="V62" s="1">
        <f t="shared" si="6"/>
        <v>0.20179372197309417</v>
      </c>
      <c r="W62" s="1">
        <f t="shared" si="7"/>
        <v>6.726457399103139E-2</v>
      </c>
      <c r="X62" s="1">
        <f t="shared" si="8"/>
        <v>8.9686098654708515E-2</v>
      </c>
      <c r="Y62" s="1">
        <f t="shared" si="9"/>
        <v>0.21524663677130046</v>
      </c>
      <c r="Z62" s="1">
        <f t="shared" si="10"/>
        <v>0.226457399103139</v>
      </c>
      <c r="AA62" s="1">
        <f t="shared" si="11"/>
        <v>6.5022421524663671E-2</v>
      </c>
      <c r="AB62" s="1">
        <f t="shared" si="12"/>
        <v>8.744394618834081E-2</v>
      </c>
      <c r="AC62" s="1"/>
    </row>
    <row r="63" spans="1:29">
      <c r="A63" s="8"/>
      <c r="B63" t="s">
        <v>50</v>
      </c>
      <c r="C63" s="4">
        <v>644</v>
      </c>
      <c r="D63" s="4">
        <v>153</v>
      </c>
      <c r="E63" s="4">
        <v>166</v>
      </c>
      <c r="F63" s="4">
        <v>23</v>
      </c>
      <c r="G63" s="4">
        <v>27</v>
      </c>
      <c r="H63" s="4">
        <v>154</v>
      </c>
      <c r="I63" s="4">
        <v>161</v>
      </c>
      <c r="J63" s="4">
        <v>31</v>
      </c>
      <c r="K63">
        <v>36</v>
      </c>
      <c r="L63">
        <v>124</v>
      </c>
      <c r="M63">
        <v>127</v>
      </c>
      <c r="N63">
        <v>28</v>
      </c>
      <c r="O63">
        <v>34</v>
      </c>
      <c r="Q63" s="1">
        <f t="shared" si="1"/>
        <v>0.2375776397515528</v>
      </c>
      <c r="R63" s="1">
        <f t="shared" si="2"/>
        <v>0.25776397515527949</v>
      </c>
      <c r="S63" s="1">
        <f t="shared" si="3"/>
        <v>3.5714285714285712E-2</v>
      </c>
      <c r="T63" s="1">
        <f t="shared" si="4"/>
        <v>4.192546583850932E-2</v>
      </c>
      <c r="U63" s="1">
        <f t="shared" si="5"/>
        <v>0.2391304347826087</v>
      </c>
      <c r="V63" s="1">
        <f t="shared" si="6"/>
        <v>0.25</v>
      </c>
      <c r="W63" s="1">
        <f t="shared" si="7"/>
        <v>4.813664596273292E-2</v>
      </c>
      <c r="X63" s="1">
        <f t="shared" si="8"/>
        <v>5.5900621118012424E-2</v>
      </c>
      <c r="Y63" s="1">
        <f t="shared" si="9"/>
        <v>0.19254658385093168</v>
      </c>
      <c r="Z63" s="1">
        <f t="shared" si="10"/>
        <v>0.19720496894409939</v>
      </c>
      <c r="AA63" s="1">
        <f t="shared" si="11"/>
        <v>4.3478260869565216E-2</v>
      </c>
      <c r="AB63" s="1">
        <f t="shared" si="12"/>
        <v>5.2795031055900624E-2</v>
      </c>
      <c r="AC63" s="1"/>
    </row>
    <row r="64" spans="1:29">
      <c r="A64" s="8" t="s">
        <v>64</v>
      </c>
      <c r="B64" t="s">
        <v>51</v>
      </c>
      <c r="C64" s="4">
        <v>583</v>
      </c>
      <c r="D64" s="4">
        <v>138</v>
      </c>
      <c r="E64" s="4">
        <v>151</v>
      </c>
      <c r="F64" s="4">
        <v>41</v>
      </c>
      <c r="G64" s="4">
        <v>43</v>
      </c>
      <c r="H64" s="4">
        <v>114</v>
      </c>
      <c r="I64" s="4">
        <v>120</v>
      </c>
      <c r="J64" s="4">
        <v>31</v>
      </c>
      <c r="K64">
        <v>35</v>
      </c>
      <c r="L64">
        <v>124</v>
      </c>
      <c r="M64">
        <v>128</v>
      </c>
      <c r="N64">
        <v>39</v>
      </c>
      <c r="O64">
        <v>45</v>
      </c>
      <c r="Q64" s="1">
        <f t="shared" si="1"/>
        <v>0.23670668953687821</v>
      </c>
      <c r="R64" s="1">
        <f t="shared" si="2"/>
        <v>0.25900514579759865</v>
      </c>
      <c r="S64" s="1">
        <f t="shared" si="3"/>
        <v>7.0325900514579764E-2</v>
      </c>
      <c r="T64" s="1">
        <f t="shared" si="4"/>
        <v>7.375643224699828E-2</v>
      </c>
      <c r="U64" s="1">
        <f t="shared" si="5"/>
        <v>0.19554030874785591</v>
      </c>
      <c r="V64" s="1">
        <f t="shared" si="6"/>
        <v>0.2058319039451115</v>
      </c>
      <c r="W64" s="1">
        <f t="shared" si="7"/>
        <v>5.3173241852487133E-2</v>
      </c>
      <c r="X64" s="1">
        <f t="shared" si="8"/>
        <v>6.0034305317324184E-2</v>
      </c>
      <c r="Y64" s="1">
        <f t="shared" si="9"/>
        <v>0.21269296740994853</v>
      </c>
      <c r="Z64" s="1">
        <f t="shared" si="10"/>
        <v>0.21955403087478559</v>
      </c>
      <c r="AA64" s="1">
        <f t="shared" si="11"/>
        <v>6.6895368782161235E-2</v>
      </c>
      <c r="AB64" s="1">
        <f t="shared" si="12"/>
        <v>7.7186963979416809E-2</v>
      </c>
      <c r="AC64" s="1"/>
    </row>
    <row r="65" spans="1:30">
      <c r="A65" s="8"/>
      <c r="B65" t="s">
        <v>52</v>
      </c>
      <c r="C65" s="4">
        <v>583</v>
      </c>
      <c r="D65" s="4">
        <v>118</v>
      </c>
      <c r="E65" s="4">
        <v>128</v>
      </c>
      <c r="F65" s="4">
        <v>24</v>
      </c>
      <c r="G65" s="4">
        <v>28</v>
      </c>
      <c r="H65" s="4">
        <v>143</v>
      </c>
      <c r="I65" s="4">
        <v>152</v>
      </c>
      <c r="J65" s="4">
        <v>56</v>
      </c>
      <c r="K65">
        <v>74</v>
      </c>
      <c r="L65">
        <v>96</v>
      </c>
      <c r="M65">
        <v>100</v>
      </c>
      <c r="N65">
        <v>66</v>
      </c>
      <c r="O65">
        <v>96</v>
      </c>
      <c r="Q65" s="1">
        <f t="shared" si="1"/>
        <v>0.20240137221269297</v>
      </c>
      <c r="R65" s="1">
        <f t="shared" si="2"/>
        <v>0.21955403087478559</v>
      </c>
      <c r="S65" s="1">
        <f t="shared" si="3"/>
        <v>4.1166380789022301E-2</v>
      </c>
      <c r="T65" s="1">
        <f t="shared" si="4"/>
        <v>4.8027444253859346E-2</v>
      </c>
      <c r="U65" s="1">
        <f t="shared" si="5"/>
        <v>0.24528301886792453</v>
      </c>
      <c r="V65" s="1">
        <f t="shared" si="6"/>
        <v>0.26072041166380788</v>
      </c>
      <c r="W65" s="1">
        <f t="shared" si="7"/>
        <v>9.6054888507718691E-2</v>
      </c>
      <c r="X65" s="1">
        <f t="shared" si="8"/>
        <v>0.12692967409948541</v>
      </c>
      <c r="Y65" s="1">
        <f t="shared" si="9"/>
        <v>0.16466552315608921</v>
      </c>
      <c r="Z65" s="1">
        <f t="shared" si="10"/>
        <v>0.17152658662092624</v>
      </c>
      <c r="AA65" s="1">
        <f t="shared" si="11"/>
        <v>0.11320754716981132</v>
      </c>
      <c r="AB65" s="1">
        <f t="shared" si="12"/>
        <v>0.16466552315608921</v>
      </c>
      <c r="AC65" s="1"/>
    </row>
    <row r="66" spans="1:30">
      <c r="A66" s="8"/>
      <c r="B66" t="s">
        <v>53</v>
      </c>
      <c r="C66" s="4">
        <v>583</v>
      </c>
      <c r="D66" s="4">
        <v>181</v>
      </c>
      <c r="E66" s="4">
        <v>189</v>
      </c>
      <c r="F66" s="4">
        <v>56</v>
      </c>
      <c r="G66" s="4">
        <v>69</v>
      </c>
      <c r="H66" s="4">
        <v>148</v>
      </c>
      <c r="I66" s="4">
        <v>157</v>
      </c>
      <c r="J66" s="4">
        <v>63</v>
      </c>
      <c r="K66">
        <v>88</v>
      </c>
      <c r="L66">
        <v>135</v>
      </c>
      <c r="M66">
        <v>139</v>
      </c>
      <c r="N66">
        <v>63</v>
      </c>
      <c r="O66">
        <v>90</v>
      </c>
      <c r="Q66" s="1">
        <f t="shared" si="1"/>
        <v>0.31046312178387653</v>
      </c>
      <c r="R66" s="1">
        <f t="shared" si="2"/>
        <v>0.32418524871355059</v>
      </c>
      <c r="S66" s="1">
        <f t="shared" si="3"/>
        <v>9.6054888507718691E-2</v>
      </c>
      <c r="T66" s="1">
        <f t="shared" si="4"/>
        <v>0.1183533447684391</v>
      </c>
      <c r="U66" s="1">
        <f t="shared" si="5"/>
        <v>0.25385934819897082</v>
      </c>
      <c r="V66" s="1">
        <f t="shared" si="6"/>
        <v>0.26929674099485418</v>
      </c>
      <c r="W66" s="1">
        <f t="shared" si="7"/>
        <v>0.10806174957118353</v>
      </c>
      <c r="X66" s="1">
        <f t="shared" si="8"/>
        <v>0.15094339622641509</v>
      </c>
      <c r="Y66" s="1">
        <f t="shared" si="9"/>
        <v>0.23156089193825044</v>
      </c>
      <c r="Z66" s="1">
        <f t="shared" si="10"/>
        <v>0.23842195540308747</v>
      </c>
      <c r="AA66" s="1">
        <f t="shared" si="11"/>
        <v>0.10806174957118353</v>
      </c>
      <c r="AB66" s="1">
        <f t="shared" si="12"/>
        <v>0.15437392795883362</v>
      </c>
      <c r="AC66" s="1"/>
    </row>
    <row r="67" spans="1:30">
      <c r="A67" s="8"/>
      <c r="B67" t="s">
        <v>54</v>
      </c>
      <c r="C67" s="4">
        <v>583</v>
      </c>
      <c r="D67" s="4">
        <v>124</v>
      </c>
      <c r="E67" s="4">
        <v>128</v>
      </c>
      <c r="F67" s="4">
        <v>31</v>
      </c>
      <c r="G67" s="4">
        <v>35</v>
      </c>
      <c r="H67" s="4">
        <v>142</v>
      </c>
      <c r="I67" s="4">
        <v>149</v>
      </c>
      <c r="J67" s="4">
        <v>63</v>
      </c>
      <c r="K67">
        <v>96</v>
      </c>
      <c r="L67">
        <v>169</v>
      </c>
      <c r="M67">
        <v>176</v>
      </c>
      <c r="N67">
        <v>63</v>
      </c>
      <c r="O67">
        <v>85</v>
      </c>
      <c r="Q67" s="1">
        <f t="shared" si="1"/>
        <v>0.21269296740994853</v>
      </c>
      <c r="R67" s="1">
        <f t="shared" si="2"/>
        <v>0.21955403087478559</v>
      </c>
      <c r="S67" s="1">
        <f t="shared" si="3"/>
        <v>5.3173241852487133E-2</v>
      </c>
      <c r="T67" s="1">
        <f t="shared" si="4"/>
        <v>6.0034305317324184E-2</v>
      </c>
      <c r="U67" s="1">
        <f t="shared" si="5"/>
        <v>0.24356775300171526</v>
      </c>
      <c r="V67" s="1">
        <f t="shared" si="6"/>
        <v>0.25557461406518012</v>
      </c>
      <c r="W67" s="1">
        <f t="shared" si="7"/>
        <v>0.10806174957118353</v>
      </c>
      <c r="X67" s="1">
        <f t="shared" si="8"/>
        <v>0.16466552315608921</v>
      </c>
      <c r="Y67" s="1">
        <f t="shared" si="9"/>
        <v>0.28987993138936535</v>
      </c>
      <c r="Z67" s="1">
        <f t="shared" si="10"/>
        <v>0.30188679245283018</v>
      </c>
      <c r="AA67" s="1">
        <f t="shared" si="11"/>
        <v>0.10806174957118353</v>
      </c>
      <c r="AB67" s="1">
        <f t="shared" si="12"/>
        <v>0.14579759862778729</v>
      </c>
      <c r="AC67" s="1"/>
    </row>
    <row r="68" spans="1:30">
      <c r="A68" s="8"/>
      <c r="B68" t="s">
        <v>55</v>
      </c>
      <c r="C68" s="4">
        <v>583</v>
      </c>
      <c r="D68" s="4">
        <v>144</v>
      </c>
      <c r="E68" s="4">
        <v>156</v>
      </c>
      <c r="F68" s="4">
        <v>27</v>
      </c>
      <c r="G68" s="4">
        <v>37</v>
      </c>
      <c r="H68" s="4">
        <v>128</v>
      </c>
      <c r="I68" s="4">
        <v>134</v>
      </c>
      <c r="J68" s="4">
        <v>58</v>
      </c>
      <c r="K68">
        <v>90</v>
      </c>
      <c r="L68">
        <v>126</v>
      </c>
      <c r="M68">
        <v>132</v>
      </c>
      <c r="N68">
        <v>38</v>
      </c>
      <c r="O68">
        <v>50</v>
      </c>
      <c r="Q68" s="1">
        <f t="shared" si="1"/>
        <v>0.24699828473413379</v>
      </c>
      <c r="R68" s="1">
        <f t="shared" si="2"/>
        <v>0.26758147512864494</v>
      </c>
      <c r="S68" s="1">
        <f t="shared" si="3"/>
        <v>4.6312178387650088E-2</v>
      </c>
      <c r="T68" s="1">
        <f t="shared" si="4"/>
        <v>6.3464837049742706E-2</v>
      </c>
      <c r="U68" s="1">
        <f t="shared" si="5"/>
        <v>0.21955403087478559</v>
      </c>
      <c r="V68" s="1">
        <f t="shared" si="6"/>
        <v>0.22984562607204118</v>
      </c>
      <c r="W68" s="1">
        <f t="shared" si="7"/>
        <v>9.9485420240137221E-2</v>
      </c>
      <c r="X68" s="1">
        <f t="shared" si="8"/>
        <v>0.15437392795883362</v>
      </c>
      <c r="Y68" s="1">
        <f t="shared" si="9"/>
        <v>0.21612349914236706</v>
      </c>
      <c r="Z68" s="1">
        <f t="shared" si="10"/>
        <v>0.22641509433962265</v>
      </c>
      <c r="AA68" s="1">
        <f t="shared" si="11"/>
        <v>6.5180102915951971E-2</v>
      </c>
      <c r="AB68" s="1">
        <f t="shared" si="12"/>
        <v>8.5763293310463118E-2</v>
      </c>
      <c r="AC68" s="1"/>
    </row>
    <row r="69" spans="1:30">
      <c r="A69" s="8"/>
      <c r="B69" t="s">
        <v>56</v>
      </c>
      <c r="C69" s="4">
        <v>583</v>
      </c>
      <c r="D69" s="4">
        <v>148</v>
      </c>
      <c r="E69" s="4">
        <v>157</v>
      </c>
      <c r="F69" s="4">
        <v>51</v>
      </c>
      <c r="G69" s="4">
        <v>60</v>
      </c>
      <c r="H69" s="4">
        <v>128</v>
      </c>
      <c r="I69" s="4">
        <v>133</v>
      </c>
      <c r="J69" s="4">
        <v>58</v>
      </c>
      <c r="K69">
        <v>72</v>
      </c>
      <c r="L69">
        <v>167</v>
      </c>
      <c r="M69">
        <v>176</v>
      </c>
      <c r="N69">
        <v>60</v>
      </c>
      <c r="O69">
        <v>83</v>
      </c>
      <c r="Q69" s="1">
        <f t="shared" ref="Q69:Q77" si="13">D69/$C69</f>
        <v>0.25385934819897082</v>
      </c>
      <c r="R69" s="1">
        <f t="shared" ref="R69:R77" si="14">E69/$C69</f>
        <v>0.26929674099485418</v>
      </c>
      <c r="S69" s="1">
        <f t="shared" ref="S69:S77" si="15">F69/$C69</f>
        <v>8.7478559176672382E-2</v>
      </c>
      <c r="T69" s="1">
        <f t="shared" ref="T69:T77" si="16">G69/$C69</f>
        <v>0.10291595197255575</v>
      </c>
      <c r="U69" s="1">
        <f t="shared" ref="U69:U77" si="17">H69/$C69</f>
        <v>0.21955403087478559</v>
      </c>
      <c r="V69" s="1">
        <f t="shared" ref="V69:V77" si="18">I69/$C69</f>
        <v>0.22813036020583191</v>
      </c>
      <c r="W69" s="1">
        <f t="shared" ref="W69:W77" si="19">J69/$C69</f>
        <v>9.9485420240137221E-2</v>
      </c>
      <c r="X69" s="1">
        <f t="shared" ref="X69:X77" si="20">K69/$C69</f>
        <v>0.1234991423670669</v>
      </c>
      <c r="Y69" s="1">
        <f t="shared" ref="Y69:Y77" si="21">L69/$C69</f>
        <v>0.28644939965694682</v>
      </c>
      <c r="Z69" s="1">
        <f t="shared" ref="Z69:Z77" si="22">M69/$C69</f>
        <v>0.30188679245283018</v>
      </c>
      <c r="AA69" s="1">
        <f t="shared" ref="AA69:AA77" si="23">N69/$C69</f>
        <v>0.10291595197255575</v>
      </c>
      <c r="AB69" s="1">
        <f t="shared" ref="AB69:AB77" si="24">O69/$C69</f>
        <v>0.14236706689536879</v>
      </c>
      <c r="AC69" s="1"/>
    </row>
    <row r="70" spans="1:30">
      <c r="A70" s="8"/>
      <c r="B70" t="s">
        <v>57</v>
      </c>
      <c r="C70" s="4">
        <v>583</v>
      </c>
      <c r="D70" s="4">
        <v>146</v>
      </c>
      <c r="E70" s="4">
        <v>157</v>
      </c>
      <c r="F70" s="4">
        <v>35</v>
      </c>
      <c r="G70" s="4">
        <v>44</v>
      </c>
      <c r="H70" s="4">
        <v>144</v>
      </c>
      <c r="I70" s="4">
        <v>146</v>
      </c>
      <c r="J70" s="4">
        <v>57</v>
      </c>
      <c r="K70">
        <v>76</v>
      </c>
      <c r="L70">
        <v>119</v>
      </c>
      <c r="M70">
        <v>120</v>
      </c>
      <c r="N70">
        <v>48</v>
      </c>
      <c r="O70">
        <v>63</v>
      </c>
      <c r="Q70" s="1">
        <f t="shared" si="13"/>
        <v>0.2504288164665523</v>
      </c>
      <c r="R70" s="1">
        <f t="shared" si="14"/>
        <v>0.26929674099485418</v>
      </c>
      <c r="S70" s="1">
        <f t="shared" si="15"/>
        <v>6.0034305317324184E-2</v>
      </c>
      <c r="T70" s="1">
        <f t="shared" si="16"/>
        <v>7.5471698113207544E-2</v>
      </c>
      <c r="U70" s="1">
        <f t="shared" si="17"/>
        <v>0.24699828473413379</v>
      </c>
      <c r="V70" s="1">
        <f t="shared" si="18"/>
        <v>0.2504288164665523</v>
      </c>
      <c r="W70" s="1">
        <f t="shared" si="19"/>
        <v>9.7770154373927956E-2</v>
      </c>
      <c r="X70" s="1">
        <f t="shared" si="20"/>
        <v>0.13036020583190394</v>
      </c>
      <c r="Y70" s="1">
        <f t="shared" si="21"/>
        <v>0.20411663807890223</v>
      </c>
      <c r="Z70" s="1">
        <f t="shared" si="22"/>
        <v>0.2058319039451115</v>
      </c>
      <c r="AA70" s="1">
        <f t="shared" si="23"/>
        <v>8.2332761578044603E-2</v>
      </c>
      <c r="AB70" s="1">
        <f t="shared" si="24"/>
        <v>0.10806174957118353</v>
      </c>
      <c r="AC70" s="1"/>
    </row>
    <row r="71" spans="1:30">
      <c r="A71" s="8" t="s">
        <v>65</v>
      </c>
      <c r="B71" t="s">
        <v>51</v>
      </c>
      <c r="C71" s="4">
        <v>583</v>
      </c>
      <c r="D71" s="4">
        <v>81</v>
      </c>
      <c r="E71" s="4">
        <v>88</v>
      </c>
      <c r="F71" s="4">
        <v>27</v>
      </c>
      <c r="G71" s="4">
        <v>31</v>
      </c>
      <c r="H71" s="4">
        <v>128</v>
      </c>
      <c r="I71" s="4">
        <v>134</v>
      </c>
      <c r="J71" s="4">
        <v>29</v>
      </c>
      <c r="K71">
        <v>35</v>
      </c>
      <c r="L71">
        <v>109</v>
      </c>
      <c r="M71">
        <v>111</v>
      </c>
      <c r="N71">
        <v>26</v>
      </c>
      <c r="O71">
        <v>30</v>
      </c>
      <c r="Q71" s="1">
        <f t="shared" si="13"/>
        <v>0.13893653516295026</v>
      </c>
      <c r="R71" s="1">
        <f t="shared" si="14"/>
        <v>0.15094339622641509</v>
      </c>
      <c r="S71" s="1">
        <f t="shared" si="15"/>
        <v>4.6312178387650088E-2</v>
      </c>
      <c r="T71" s="1">
        <f t="shared" si="16"/>
        <v>5.3173241852487133E-2</v>
      </c>
      <c r="U71" s="1">
        <f t="shared" si="17"/>
        <v>0.21955403087478559</v>
      </c>
      <c r="V71" s="1">
        <f t="shared" si="18"/>
        <v>0.22984562607204118</v>
      </c>
      <c r="W71" s="1">
        <f t="shared" si="19"/>
        <v>4.974271012006861E-2</v>
      </c>
      <c r="X71" s="1">
        <f t="shared" si="20"/>
        <v>6.0034305317324184E-2</v>
      </c>
      <c r="Y71" s="1">
        <f t="shared" si="21"/>
        <v>0.18696397941680962</v>
      </c>
      <c r="Z71" s="1">
        <f t="shared" si="22"/>
        <v>0.19039451114922812</v>
      </c>
      <c r="AA71" s="1">
        <f t="shared" si="23"/>
        <v>4.4596912521440824E-2</v>
      </c>
      <c r="AB71" s="1">
        <f t="shared" si="24"/>
        <v>5.1457975986277875E-2</v>
      </c>
      <c r="AC71" s="1"/>
    </row>
    <row r="72" spans="1:30">
      <c r="A72" s="8"/>
      <c r="B72" t="s">
        <v>52</v>
      </c>
      <c r="C72" s="4">
        <v>583</v>
      </c>
      <c r="D72" s="4">
        <v>93</v>
      </c>
      <c r="E72" s="4">
        <v>99</v>
      </c>
      <c r="F72" s="4">
        <v>17</v>
      </c>
      <c r="G72" s="4">
        <v>22</v>
      </c>
      <c r="H72" s="4">
        <v>118</v>
      </c>
      <c r="I72" s="4">
        <v>124</v>
      </c>
      <c r="J72" s="4">
        <v>42</v>
      </c>
      <c r="K72">
        <v>58</v>
      </c>
      <c r="L72">
        <v>79</v>
      </c>
      <c r="M72">
        <v>82</v>
      </c>
      <c r="N72">
        <v>41</v>
      </c>
      <c r="O72">
        <v>58</v>
      </c>
      <c r="Q72" s="1">
        <f t="shared" si="13"/>
        <v>0.15951972555746141</v>
      </c>
      <c r="R72" s="1">
        <f t="shared" si="14"/>
        <v>0.16981132075471697</v>
      </c>
      <c r="S72" s="1">
        <f t="shared" si="15"/>
        <v>2.9159519725557463E-2</v>
      </c>
      <c r="T72" s="1">
        <f t="shared" si="16"/>
        <v>3.7735849056603772E-2</v>
      </c>
      <c r="U72" s="1">
        <f t="shared" si="17"/>
        <v>0.20240137221269297</v>
      </c>
      <c r="V72" s="1">
        <f t="shared" si="18"/>
        <v>0.21269296740994853</v>
      </c>
      <c r="W72" s="1">
        <f t="shared" si="19"/>
        <v>7.2041166380789029E-2</v>
      </c>
      <c r="X72" s="1">
        <f t="shared" si="20"/>
        <v>9.9485420240137221E-2</v>
      </c>
      <c r="Y72" s="1">
        <f t="shared" si="21"/>
        <v>0.13550600343053174</v>
      </c>
      <c r="Z72" s="1">
        <f t="shared" si="22"/>
        <v>0.14065180102915953</v>
      </c>
      <c r="AA72" s="1">
        <f t="shared" si="23"/>
        <v>7.0325900514579764E-2</v>
      </c>
      <c r="AB72" s="1">
        <f t="shared" si="24"/>
        <v>9.9485420240137221E-2</v>
      </c>
      <c r="AC72" s="1"/>
    </row>
    <row r="73" spans="1:30">
      <c r="A73" s="8"/>
      <c r="B73" t="s">
        <v>53</v>
      </c>
      <c r="C73" s="4">
        <v>583</v>
      </c>
      <c r="D73" s="4">
        <v>88</v>
      </c>
      <c r="E73" s="4">
        <v>94</v>
      </c>
      <c r="F73" s="4">
        <v>35</v>
      </c>
      <c r="G73" s="4">
        <v>44</v>
      </c>
      <c r="H73" s="4">
        <v>135</v>
      </c>
      <c r="I73" s="4">
        <v>141</v>
      </c>
      <c r="J73" s="4">
        <v>64</v>
      </c>
      <c r="K73">
        <v>91</v>
      </c>
      <c r="L73">
        <v>116</v>
      </c>
      <c r="M73">
        <v>122</v>
      </c>
      <c r="N73">
        <v>48</v>
      </c>
      <c r="O73">
        <v>73</v>
      </c>
      <c r="Q73" s="1">
        <f t="shared" si="13"/>
        <v>0.15094339622641509</v>
      </c>
      <c r="R73" s="1">
        <f t="shared" si="14"/>
        <v>0.16123499142367068</v>
      </c>
      <c r="S73" s="1">
        <f t="shared" si="15"/>
        <v>6.0034305317324184E-2</v>
      </c>
      <c r="T73" s="1">
        <f t="shared" si="16"/>
        <v>7.5471698113207544E-2</v>
      </c>
      <c r="U73" s="1">
        <f t="shared" si="17"/>
        <v>0.23156089193825044</v>
      </c>
      <c r="V73" s="1">
        <f t="shared" si="18"/>
        <v>0.241852487135506</v>
      </c>
      <c r="W73" s="1">
        <f t="shared" si="19"/>
        <v>0.10977701543739279</v>
      </c>
      <c r="X73" s="1">
        <f t="shared" si="20"/>
        <v>0.15608919382504288</v>
      </c>
      <c r="Y73" s="1">
        <f t="shared" si="21"/>
        <v>0.19897084048027444</v>
      </c>
      <c r="Z73" s="1">
        <f t="shared" si="22"/>
        <v>0.20926243567753003</v>
      </c>
      <c r="AA73" s="1">
        <f t="shared" si="23"/>
        <v>8.2332761578044603E-2</v>
      </c>
      <c r="AB73" s="1">
        <f t="shared" si="24"/>
        <v>0.12521440823327615</v>
      </c>
      <c r="AC73" s="1"/>
    </row>
    <row r="74" spans="1:30">
      <c r="A74" s="8"/>
      <c r="B74" t="s">
        <v>54</v>
      </c>
      <c r="C74" s="4">
        <v>583</v>
      </c>
      <c r="D74" s="4">
        <v>102</v>
      </c>
      <c r="E74" s="4">
        <v>108</v>
      </c>
      <c r="F74" s="4">
        <v>24</v>
      </c>
      <c r="G74" s="4">
        <v>29</v>
      </c>
      <c r="H74" s="4">
        <v>118</v>
      </c>
      <c r="I74" s="4">
        <v>122</v>
      </c>
      <c r="J74" s="4">
        <v>47</v>
      </c>
      <c r="K74">
        <v>65</v>
      </c>
      <c r="L74">
        <v>172</v>
      </c>
      <c r="M74">
        <v>178</v>
      </c>
      <c r="N74">
        <v>55</v>
      </c>
      <c r="O74">
        <v>74</v>
      </c>
      <c r="Q74" s="1">
        <f t="shared" si="13"/>
        <v>0.17495711835334476</v>
      </c>
      <c r="R74" s="1">
        <f t="shared" si="14"/>
        <v>0.18524871355060035</v>
      </c>
      <c r="S74" s="1">
        <f t="shared" si="15"/>
        <v>4.1166380789022301E-2</v>
      </c>
      <c r="T74" s="1">
        <f t="shared" si="16"/>
        <v>4.974271012006861E-2</v>
      </c>
      <c r="U74" s="1">
        <f t="shared" si="17"/>
        <v>0.20240137221269297</v>
      </c>
      <c r="V74" s="1">
        <f t="shared" si="18"/>
        <v>0.20926243567753003</v>
      </c>
      <c r="W74" s="1">
        <f t="shared" si="19"/>
        <v>8.0617495711835338E-2</v>
      </c>
      <c r="X74" s="1">
        <f t="shared" si="20"/>
        <v>0.11149228130360206</v>
      </c>
      <c r="Y74" s="1">
        <f t="shared" si="21"/>
        <v>0.29502572898799312</v>
      </c>
      <c r="Z74" s="1">
        <f t="shared" si="22"/>
        <v>0.30531732418524871</v>
      </c>
      <c r="AA74" s="1">
        <f t="shared" si="23"/>
        <v>9.4339622641509441E-2</v>
      </c>
      <c r="AB74" s="1">
        <f t="shared" si="24"/>
        <v>0.12692967409948541</v>
      </c>
      <c r="AC74" s="1"/>
    </row>
    <row r="75" spans="1:30">
      <c r="A75" s="8"/>
      <c r="B75" t="s">
        <v>55</v>
      </c>
      <c r="C75" s="4">
        <v>583</v>
      </c>
      <c r="D75" s="4">
        <v>96</v>
      </c>
      <c r="E75" s="4">
        <v>104</v>
      </c>
      <c r="F75" s="4">
        <v>19</v>
      </c>
      <c r="G75" s="4">
        <v>20</v>
      </c>
      <c r="H75" s="4">
        <v>155</v>
      </c>
      <c r="I75" s="4">
        <v>165</v>
      </c>
      <c r="J75" s="4">
        <v>59</v>
      </c>
      <c r="K75">
        <v>80</v>
      </c>
      <c r="L75">
        <v>156</v>
      </c>
      <c r="M75">
        <v>162</v>
      </c>
      <c r="N75">
        <v>53</v>
      </c>
      <c r="O75">
        <v>65</v>
      </c>
      <c r="Q75" s="1">
        <f t="shared" si="13"/>
        <v>0.16466552315608921</v>
      </c>
      <c r="R75" s="1">
        <f t="shared" si="14"/>
        <v>0.17838765008576329</v>
      </c>
      <c r="S75" s="1">
        <f t="shared" si="15"/>
        <v>3.2590051457975985E-2</v>
      </c>
      <c r="T75" s="1">
        <f t="shared" si="16"/>
        <v>3.430531732418525E-2</v>
      </c>
      <c r="U75" s="1">
        <f t="shared" si="17"/>
        <v>0.2658662092624357</v>
      </c>
      <c r="V75" s="1">
        <f t="shared" si="18"/>
        <v>0.28301886792452829</v>
      </c>
      <c r="W75" s="1">
        <f t="shared" si="19"/>
        <v>0.10120068610634649</v>
      </c>
      <c r="X75" s="1">
        <f t="shared" si="20"/>
        <v>0.137221269296741</v>
      </c>
      <c r="Y75" s="1">
        <f t="shared" si="21"/>
        <v>0.26758147512864494</v>
      </c>
      <c r="Z75" s="1">
        <f t="shared" si="22"/>
        <v>0.27787307032590053</v>
      </c>
      <c r="AA75" s="1">
        <f t="shared" si="23"/>
        <v>9.0909090909090912E-2</v>
      </c>
      <c r="AB75" s="1">
        <f t="shared" si="24"/>
        <v>0.11149228130360206</v>
      </c>
      <c r="AC75" s="1"/>
    </row>
    <row r="76" spans="1:30">
      <c r="A76" s="8"/>
      <c r="B76" t="s">
        <v>56</v>
      </c>
      <c r="C76" s="4">
        <v>583</v>
      </c>
      <c r="D76" s="4">
        <v>88</v>
      </c>
      <c r="E76" s="4">
        <v>90</v>
      </c>
      <c r="F76" s="4">
        <v>36</v>
      </c>
      <c r="G76" s="4">
        <v>45</v>
      </c>
      <c r="H76" s="4">
        <v>124</v>
      </c>
      <c r="I76" s="4">
        <v>132</v>
      </c>
      <c r="J76" s="4">
        <v>50</v>
      </c>
      <c r="K76">
        <v>66</v>
      </c>
      <c r="L76">
        <v>129</v>
      </c>
      <c r="M76">
        <v>136</v>
      </c>
      <c r="N76">
        <v>40</v>
      </c>
      <c r="O76">
        <v>55</v>
      </c>
      <c r="Q76" s="1">
        <f t="shared" si="13"/>
        <v>0.15094339622641509</v>
      </c>
      <c r="R76" s="1">
        <f t="shared" si="14"/>
        <v>0.15437392795883362</v>
      </c>
      <c r="S76" s="1">
        <f t="shared" si="15"/>
        <v>6.1749571183533448E-2</v>
      </c>
      <c r="T76" s="1">
        <f t="shared" si="16"/>
        <v>7.7186963979416809E-2</v>
      </c>
      <c r="U76" s="1">
        <f t="shared" si="17"/>
        <v>0.21269296740994853</v>
      </c>
      <c r="V76" s="1">
        <f t="shared" si="18"/>
        <v>0.22641509433962265</v>
      </c>
      <c r="W76" s="1">
        <f t="shared" si="19"/>
        <v>8.5763293310463118E-2</v>
      </c>
      <c r="X76" s="1">
        <f t="shared" si="20"/>
        <v>0.11320754716981132</v>
      </c>
      <c r="Y76" s="1">
        <f t="shared" si="21"/>
        <v>0.22126929674099485</v>
      </c>
      <c r="Z76" s="1">
        <f t="shared" si="22"/>
        <v>0.23327615780445971</v>
      </c>
      <c r="AA76" s="1">
        <f t="shared" si="23"/>
        <v>6.86106346483705E-2</v>
      </c>
      <c r="AB76" s="1">
        <f t="shared" si="24"/>
        <v>9.4339622641509441E-2</v>
      </c>
      <c r="AC76" s="1"/>
    </row>
    <row r="77" spans="1:30">
      <c r="A77" s="8"/>
      <c r="B77" t="s">
        <v>57</v>
      </c>
      <c r="C77" s="4">
        <v>583</v>
      </c>
      <c r="D77" s="4">
        <v>112</v>
      </c>
      <c r="E77" s="4">
        <v>124</v>
      </c>
      <c r="F77" s="4">
        <v>25</v>
      </c>
      <c r="G77" s="4">
        <v>29</v>
      </c>
      <c r="H77" s="4">
        <v>127</v>
      </c>
      <c r="I77" s="4">
        <v>135</v>
      </c>
      <c r="J77" s="4">
        <v>34</v>
      </c>
      <c r="K77">
        <v>50</v>
      </c>
      <c r="L77">
        <v>110</v>
      </c>
      <c r="M77">
        <v>114</v>
      </c>
      <c r="N77">
        <v>32</v>
      </c>
      <c r="O77">
        <v>53</v>
      </c>
      <c r="Q77" s="1">
        <f t="shared" si="13"/>
        <v>0.19210977701543738</v>
      </c>
      <c r="R77" s="1">
        <f t="shared" si="14"/>
        <v>0.21269296740994853</v>
      </c>
      <c r="S77" s="1">
        <f t="shared" si="15"/>
        <v>4.2881646655231559E-2</v>
      </c>
      <c r="T77" s="1">
        <f t="shared" si="16"/>
        <v>4.974271012006861E-2</v>
      </c>
      <c r="U77" s="1">
        <f t="shared" si="17"/>
        <v>0.21783876500857632</v>
      </c>
      <c r="V77" s="1">
        <f t="shared" si="18"/>
        <v>0.23156089193825044</v>
      </c>
      <c r="W77" s="1">
        <f t="shared" si="19"/>
        <v>5.8319039451114926E-2</v>
      </c>
      <c r="X77" s="1">
        <f t="shared" si="20"/>
        <v>8.5763293310463118E-2</v>
      </c>
      <c r="Y77" s="1">
        <f t="shared" si="21"/>
        <v>0.18867924528301888</v>
      </c>
      <c r="Z77" s="1">
        <f t="shared" si="22"/>
        <v>0.19554030874785591</v>
      </c>
      <c r="AA77" s="1">
        <f t="shared" si="23"/>
        <v>5.4888507718696397E-2</v>
      </c>
      <c r="AB77" s="1">
        <f t="shared" si="24"/>
        <v>9.0909090909090912E-2</v>
      </c>
      <c r="AC77" s="1"/>
    </row>
    <row r="79" spans="1:30">
      <c r="B79" s="2" t="s">
        <v>2</v>
      </c>
      <c r="C79" s="3">
        <f>AVERAGE(C4:C11)</f>
        <v>604.125</v>
      </c>
      <c r="D79" s="3"/>
      <c r="E79" s="3"/>
      <c r="F79" s="3">
        <f>AVERAGE(F4:F11)</f>
        <v>66.125</v>
      </c>
      <c r="G79" s="3">
        <f>AVERAGE(G4:G11)</f>
        <v>79.625</v>
      </c>
      <c r="H79" s="3"/>
      <c r="I79" s="3"/>
      <c r="J79" s="3">
        <f>AVERAGE(J4:J11)</f>
        <v>52.25</v>
      </c>
      <c r="K79" s="3">
        <f>AVERAGE(K4:K11)</f>
        <v>69</v>
      </c>
      <c r="L79" s="3"/>
      <c r="M79" s="3"/>
      <c r="N79" s="3">
        <f>AVERAGE(N4:N11)</f>
        <v>51.375</v>
      </c>
      <c r="O79" s="3">
        <f>AVERAGE(O4:O11)</f>
        <v>66.625</v>
      </c>
      <c r="Q79" s="3">
        <f t="shared" ref="Q79:Z79" si="25">AVERAGE(Q4:Q11)</f>
        <v>0.4757036508252418</v>
      </c>
      <c r="R79" s="3">
        <f t="shared" si="25"/>
        <v>0.49394248636255561</v>
      </c>
      <c r="S79" s="3"/>
      <c r="T79" s="3"/>
      <c r="U79" s="3">
        <f t="shared" si="25"/>
        <v>0.26222904200801139</v>
      </c>
      <c r="V79" s="3">
        <f t="shared" si="25"/>
        <v>0.27279515760181722</v>
      </c>
      <c r="W79" s="3"/>
      <c r="X79" s="3"/>
      <c r="Y79" s="3">
        <f t="shared" si="25"/>
        <v>0.2323565063978156</v>
      </c>
      <c r="Z79" s="3">
        <f t="shared" si="25"/>
        <v>0.24346590382202765</v>
      </c>
      <c r="AA79" s="3"/>
      <c r="AB79" s="3"/>
      <c r="AC79" s="3"/>
    </row>
    <row r="80" spans="1:30">
      <c r="B80" s="2" t="s">
        <v>3</v>
      </c>
      <c r="C80" s="3">
        <f>AVERAGE(C12:C19)</f>
        <v>667</v>
      </c>
      <c r="D80" s="3"/>
      <c r="E80" s="3"/>
      <c r="F80" s="3">
        <f>AVERAGE(F12:F19)</f>
        <v>40.25</v>
      </c>
      <c r="G80" s="3">
        <f>AVERAGE(G12:G19)</f>
        <v>50</v>
      </c>
      <c r="H80" s="3"/>
      <c r="I80" s="3"/>
      <c r="J80" s="3">
        <f>AVERAGE(J12:J19)</f>
        <v>51.625</v>
      </c>
      <c r="K80" s="3">
        <f>AVERAGE(K12:K19)</f>
        <v>68.875</v>
      </c>
      <c r="L80" s="3"/>
      <c r="M80" s="3"/>
      <c r="N80" s="3">
        <f>AVERAGE(N12:N19)</f>
        <v>49.375</v>
      </c>
      <c r="O80" s="3">
        <f>AVERAGE(O12:O19)</f>
        <v>62.125</v>
      </c>
      <c r="P80" s="2"/>
      <c r="Q80" s="3">
        <f t="shared" ref="Q80:Z80" si="26">AVERAGE(Q12:Q19)</f>
        <v>0.30925504299171575</v>
      </c>
      <c r="R80" s="3">
        <f t="shared" si="26"/>
        <v>0.32400364015312966</v>
      </c>
      <c r="S80" s="3"/>
      <c r="T80" s="3"/>
      <c r="U80" s="3">
        <f t="shared" si="26"/>
        <v>0.25304816793475626</v>
      </c>
      <c r="V80" s="3">
        <f t="shared" si="26"/>
        <v>0.26787539041976416</v>
      </c>
      <c r="W80" s="3"/>
      <c r="X80" s="3"/>
      <c r="Y80" s="3">
        <f t="shared" si="26"/>
        <v>0.22688202687308887</v>
      </c>
      <c r="Z80" s="3">
        <f t="shared" si="26"/>
        <v>0.24118469567240294</v>
      </c>
      <c r="AA80" s="3"/>
      <c r="AB80" s="3"/>
      <c r="AC80" s="3"/>
      <c r="AD80" s="4"/>
    </row>
    <row r="81" spans="2:30">
      <c r="B81" s="2" t="s">
        <v>10</v>
      </c>
      <c r="C81" s="3">
        <f>AVERAGE(C20:C27)</f>
        <v>678</v>
      </c>
      <c r="D81" s="3"/>
      <c r="E81" s="3"/>
      <c r="F81" s="3">
        <f>AVERAGE(F20:F27)</f>
        <v>42.375</v>
      </c>
      <c r="G81" s="3">
        <f>AVERAGE(G20:G27)</f>
        <v>53.5</v>
      </c>
      <c r="H81" s="3"/>
      <c r="I81" s="3"/>
      <c r="J81" s="3">
        <f>AVERAGE(J20:J27)</f>
        <v>52.625</v>
      </c>
      <c r="K81" s="3">
        <f>AVERAGE(K20:K27)</f>
        <v>69.375</v>
      </c>
      <c r="L81" s="3"/>
      <c r="M81" s="3"/>
      <c r="N81" s="3">
        <f>AVERAGE(N20:N27)</f>
        <v>45.625</v>
      </c>
      <c r="O81" s="3">
        <f>AVERAGE(O20:O27)</f>
        <v>55.75</v>
      </c>
      <c r="P81" s="2"/>
      <c r="Q81" s="3">
        <f t="shared" ref="Q81:Z81" si="27">AVERAGE(Q20:Q27)</f>
        <v>0.29145010011683048</v>
      </c>
      <c r="R81" s="3">
        <f t="shared" si="27"/>
        <v>0.31740370251139938</v>
      </c>
      <c r="S81" s="3"/>
      <c r="T81" s="3"/>
      <c r="U81" s="3">
        <f t="shared" si="27"/>
        <v>0.25315211814407645</v>
      </c>
      <c r="V81" s="3">
        <f t="shared" si="27"/>
        <v>0.26354068944267267</v>
      </c>
      <c r="W81" s="3"/>
      <c r="X81" s="3"/>
      <c r="Y81" s="3">
        <f t="shared" si="27"/>
        <v>0.21143913358986816</v>
      </c>
      <c r="Z81" s="3">
        <f t="shared" si="27"/>
        <v>0.21973310079636407</v>
      </c>
      <c r="AA81" s="3"/>
      <c r="AB81" s="3"/>
      <c r="AC81" s="3"/>
      <c r="AD81" s="4"/>
    </row>
    <row r="82" spans="2:30">
      <c r="B82" s="2" t="s">
        <v>0</v>
      </c>
      <c r="C82" s="3">
        <f>AVERAGE(C28:C36)</f>
        <v>574.33333333333337</v>
      </c>
      <c r="D82" s="3"/>
      <c r="E82" s="3"/>
      <c r="F82" s="3">
        <f>AVERAGE(F28:F36)</f>
        <v>39.777777777777779</v>
      </c>
      <c r="G82" s="3">
        <f>AVERAGE(G28:G36)</f>
        <v>50.444444444444443</v>
      </c>
      <c r="H82" s="3"/>
      <c r="I82" s="3"/>
      <c r="J82" s="3">
        <f>AVERAGE(J28:J36)</f>
        <v>49.666666666666664</v>
      </c>
      <c r="K82" s="3">
        <f>AVERAGE(K28:K36)</f>
        <v>70.333333333333329</v>
      </c>
      <c r="L82" s="3"/>
      <c r="M82" s="3"/>
      <c r="N82" s="3">
        <f>AVERAGE(N28:N36)</f>
        <v>47</v>
      </c>
      <c r="O82" s="3">
        <f>AVERAGE(O28:O36)</f>
        <v>64.777777777777771</v>
      </c>
      <c r="Q82" s="3">
        <f t="shared" ref="Q82:Z82" si="28">AVERAGE(Q28:Q36)</f>
        <v>0.29992698429140668</v>
      </c>
      <c r="R82" s="3">
        <f t="shared" si="28"/>
        <v>0.31878543437241785</v>
      </c>
      <c r="S82" s="3"/>
      <c r="T82" s="3"/>
      <c r="U82" s="3">
        <f t="shared" si="28"/>
        <v>0.25393627619741094</v>
      </c>
      <c r="V82" s="3">
        <f t="shared" si="28"/>
        <v>0.26516919863714328</v>
      </c>
      <c r="W82" s="3"/>
      <c r="X82" s="3"/>
      <c r="Y82" s="3">
        <f t="shared" si="28"/>
        <v>0.22161600267434914</v>
      </c>
      <c r="Z82" s="3">
        <f t="shared" si="28"/>
        <v>0.23048714005180373</v>
      </c>
      <c r="AA82" s="3"/>
      <c r="AB82" s="3"/>
      <c r="AC82" s="3"/>
    </row>
    <row r="83" spans="2:30">
      <c r="B83" s="2" t="s">
        <v>1</v>
      </c>
      <c r="C83" s="3">
        <f>AVERAGE(C37:C45)</f>
        <v>573</v>
      </c>
      <c r="D83" s="3"/>
      <c r="E83" s="3"/>
      <c r="F83" s="3">
        <f>AVERAGE(F37:F45)</f>
        <v>26.888888888888889</v>
      </c>
      <c r="G83" s="3">
        <f>AVERAGE(G37:G45)</f>
        <v>32.888888888888886</v>
      </c>
      <c r="H83" s="3"/>
      <c r="I83" s="3"/>
      <c r="J83" s="3">
        <f>AVERAGE(J37:J45)</f>
        <v>49</v>
      </c>
      <c r="K83" s="3">
        <f>AVERAGE(K37:K45)</f>
        <v>67.111111111111114</v>
      </c>
      <c r="L83" s="3"/>
      <c r="M83" s="3"/>
      <c r="N83" s="3">
        <f>AVERAGE(N37:N45)</f>
        <v>47</v>
      </c>
      <c r="O83" s="3">
        <f>AVERAGE(O37:O45)</f>
        <v>63.333333333333336</v>
      </c>
      <c r="Q83" s="3">
        <f t="shared" ref="Q83:Z83" si="29">AVERAGE(Q37:Q45)</f>
        <v>0.18806153290239369</v>
      </c>
      <c r="R83" s="3">
        <f t="shared" si="29"/>
        <v>0.20236435002534334</v>
      </c>
      <c r="S83" s="3"/>
      <c r="T83" s="3"/>
      <c r="U83" s="3">
        <f t="shared" si="29"/>
        <v>0.23838122759596495</v>
      </c>
      <c r="V83" s="3">
        <f t="shared" si="29"/>
        <v>0.25177834756197615</v>
      </c>
      <c r="W83" s="3"/>
      <c r="X83" s="3"/>
      <c r="Y83" s="3">
        <f t="shared" si="29"/>
        <v>0.21248006470279673</v>
      </c>
      <c r="Z83" s="3">
        <f t="shared" si="29"/>
        <v>0.22048165187801658</v>
      </c>
      <c r="AA83" s="3"/>
      <c r="AB83" s="3"/>
      <c r="AC83" s="3"/>
    </row>
    <row r="84" spans="2:30">
      <c r="B84" s="2" t="s">
        <v>4</v>
      </c>
      <c r="C84" s="3">
        <f>AVERAGE(C46:C53)</f>
        <v>614.625</v>
      </c>
      <c r="D84" s="3"/>
      <c r="E84" s="3"/>
      <c r="F84" s="3">
        <f>AVERAGE(F46:F53)</f>
        <v>24.75</v>
      </c>
      <c r="G84" s="3">
        <f>AVERAGE(G46:G53)</f>
        <v>29.75</v>
      </c>
      <c r="H84" s="3"/>
      <c r="I84" s="3"/>
      <c r="J84" s="3">
        <f>AVERAGE(J46:J53)</f>
        <v>47.75</v>
      </c>
      <c r="K84" s="3">
        <f>AVERAGE(K46:K53)</f>
        <v>62.875</v>
      </c>
      <c r="L84" s="3"/>
      <c r="M84" s="3"/>
      <c r="N84" s="3">
        <f>AVERAGE(N46:N53)</f>
        <v>46.25</v>
      </c>
      <c r="O84" s="3">
        <f>AVERAGE(O46:O53)</f>
        <v>63.75</v>
      </c>
      <c r="Q84" s="3">
        <f t="shared" ref="Q84:Z84" si="30">AVERAGE(Q46:Q53)</f>
        <v>0.19787312214334005</v>
      </c>
      <c r="R84" s="3">
        <f t="shared" si="30"/>
        <v>0.20425419451456259</v>
      </c>
      <c r="S84" s="3"/>
      <c r="T84" s="3"/>
      <c r="U84" s="3">
        <f t="shared" si="30"/>
        <v>0.23573125151910534</v>
      </c>
      <c r="V84" s="3">
        <f t="shared" si="30"/>
        <v>0.24609538850921792</v>
      </c>
      <c r="W84" s="3"/>
      <c r="X84" s="3"/>
      <c r="Y84" s="3">
        <f t="shared" si="30"/>
        <v>0.21442373868053377</v>
      </c>
      <c r="Z84" s="3">
        <f t="shared" si="30"/>
        <v>0.22273757425869045</v>
      </c>
      <c r="AA84" s="3"/>
      <c r="AB84" s="3"/>
      <c r="AC84" s="3"/>
    </row>
    <row r="85" spans="2:30">
      <c r="B85" s="2" t="s">
        <v>5</v>
      </c>
      <c r="C85" s="3">
        <f>AVERAGE(C54:C58)</f>
        <v>533.20000000000005</v>
      </c>
      <c r="D85" s="3"/>
      <c r="E85" s="3"/>
      <c r="F85" s="3">
        <f>AVERAGE(F54:F58)</f>
        <v>10.8</v>
      </c>
      <c r="G85" s="3">
        <f>AVERAGE(G54:G58)</f>
        <v>12.2</v>
      </c>
      <c r="H85" s="3"/>
      <c r="I85" s="3"/>
      <c r="J85" s="3">
        <f>AVERAGE(J54:J58)</f>
        <v>35.4</v>
      </c>
      <c r="K85" s="3">
        <f>AVERAGE(K54:K58)</f>
        <v>48.6</v>
      </c>
      <c r="L85" s="3"/>
      <c r="M85" s="3"/>
      <c r="N85" s="3">
        <f>AVERAGE(N54:N58)</f>
        <v>41.6</v>
      </c>
      <c r="O85" s="3">
        <f>AVERAGE(O54:O58)</f>
        <v>54.4</v>
      </c>
      <c r="Q85" s="3">
        <f t="shared" ref="Q85:Z85" si="31">AVERAGE(Q54:Q58)</f>
        <v>0.11389508634504228</v>
      </c>
      <c r="R85" s="3">
        <f>AVERAGE(R54:R58)</f>
        <v>0.1181004166533606</v>
      </c>
      <c r="S85" s="3"/>
      <c r="T85" s="3"/>
      <c r="U85" s="3">
        <f t="shared" si="31"/>
        <v>0.23034656161930137</v>
      </c>
      <c r="V85" s="3">
        <f t="shared" si="31"/>
        <v>0.24118257170493562</v>
      </c>
      <c r="W85" s="3"/>
      <c r="X85" s="3"/>
      <c r="Y85" s="3">
        <f t="shared" si="31"/>
        <v>0.20735954048567531</v>
      </c>
      <c r="Z85" s="3">
        <f t="shared" si="31"/>
        <v>0.21591858869831665</v>
      </c>
      <c r="AA85" s="3"/>
      <c r="AB85" s="3"/>
      <c r="AC85" s="3"/>
    </row>
    <row r="86" spans="2:30">
      <c r="B86" s="2" t="s">
        <v>11</v>
      </c>
      <c r="C86" s="3">
        <f>AVERAGE(C59:C63)</f>
        <v>543.79999999999995</v>
      </c>
      <c r="D86" s="3"/>
      <c r="E86" s="3"/>
      <c r="F86" s="3">
        <f>AVERAGE(F59:F63)</f>
        <v>18</v>
      </c>
      <c r="G86" s="3">
        <f>AVERAGE(G59:G63)</f>
        <v>21.2</v>
      </c>
      <c r="H86" s="3"/>
      <c r="I86" s="3"/>
      <c r="J86" s="3">
        <f>AVERAGE(J59:J63)</f>
        <v>31.8</v>
      </c>
      <c r="K86" s="3">
        <f>AVERAGE(K59:K63)</f>
        <v>43</v>
      </c>
      <c r="L86" s="3"/>
      <c r="M86" s="3"/>
      <c r="N86" s="3">
        <f>AVERAGE(N59:N63)</f>
        <v>37.4</v>
      </c>
      <c r="O86" s="3">
        <f>AVERAGE(O59:O63)</f>
        <v>50.6</v>
      </c>
      <c r="Q86" s="3">
        <f t="shared" ref="Q86:Z86" si="32">AVERAGE(Q59:Q63)</f>
        <v>0.18539935422751666</v>
      </c>
      <c r="R86" s="3">
        <f t="shared" si="32"/>
        <v>0.19732244296152579</v>
      </c>
      <c r="S86" s="3"/>
      <c r="T86" s="3"/>
      <c r="U86" s="3">
        <f t="shared" si="32"/>
        <v>0.22731900428983193</v>
      </c>
      <c r="V86" s="3">
        <f t="shared" si="32"/>
        <v>0.2357219694644507</v>
      </c>
      <c r="W86" s="3"/>
      <c r="X86" s="3"/>
      <c r="Y86" s="3">
        <f t="shared" si="32"/>
        <v>0.19621445428236423</v>
      </c>
      <c r="Z86" s="3">
        <f t="shared" si="32"/>
        <v>0.20578137070932284</v>
      </c>
      <c r="AA86" s="3"/>
      <c r="AB86" s="3"/>
      <c r="AC86" s="3"/>
    </row>
    <row r="87" spans="2:30">
      <c r="B87" s="2" t="s">
        <v>6</v>
      </c>
      <c r="C87" s="3">
        <f>AVERAGE(C64:C70)</f>
        <v>583</v>
      </c>
      <c r="D87" s="3"/>
      <c r="E87" s="3"/>
      <c r="F87" s="3">
        <f>AVERAGE(F64:F70)</f>
        <v>37.857142857142854</v>
      </c>
      <c r="G87" s="3">
        <f>AVERAGE(G64:G70)</f>
        <v>45.142857142857146</v>
      </c>
      <c r="H87" s="3"/>
      <c r="I87" s="3"/>
      <c r="J87" s="3">
        <f>AVERAGE(J64:J70)</f>
        <v>55.142857142857146</v>
      </c>
      <c r="K87" s="3">
        <f>AVERAGE(K64:K70)</f>
        <v>75.857142857142861</v>
      </c>
      <c r="L87" s="3"/>
      <c r="M87" s="3"/>
      <c r="N87" s="3">
        <f>AVERAGE(N64:N70)</f>
        <v>53.857142857142854</v>
      </c>
      <c r="O87" s="3">
        <f>AVERAGE(O64:O70)</f>
        <v>73.142857142857139</v>
      </c>
      <c r="Q87" s="3">
        <f t="shared" ref="Q87:Z87" si="33">AVERAGE(Q64:Q70)</f>
        <v>0.24479294290615045</v>
      </c>
      <c r="R87" s="3">
        <f>AVERAGE(R64:R70)</f>
        <v>0.26121048762558197</v>
      </c>
      <c r="S87" s="3"/>
      <c r="T87" s="3"/>
      <c r="U87" s="3">
        <f t="shared" si="33"/>
        <v>0.23205096790002452</v>
      </c>
      <c r="V87" s="3">
        <f t="shared" si="33"/>
        <v>0.24283263905905414</v>
      </c>
      <c r="W87" s="3"/>
      <c r="X87" s="3"/>
      <c r="Y87" s="3">
        <f t="shared" si="33"/>
        <v>0.22935555011026709</v>
      </c>
      <c r="Z87" s="3">
        <f t="shared" si="33"/>
        <v>0.23793187944131339</v>
      </c>
      <c r="AA87" s="3"/>
      <c r="AB87" s="3"/>
      <c r="AC87" s="3"/>
    </row>
    <row r="88" spans="2:30">
      <c r="B88" s="2" t="s">
        <v>7</v>
      </c>
      <c r="C88" s="3">
        <f>AVERAGE(C71:C77)</f>
        <v>583</v>
      </c>
      <c r="D88" s="3"/>
      <c r="E88" s="3"/>
      <c r="F88" s="3">
        <f>AVERAGE(F71:F77)</f>
        <v>26.142857142857142</v>
      </c>
      <c r="G88" s="3">
        <f>AVERAGE(G71:G77)</f>
        <v>31.428571428571427</v>
      </c>
      <c r="H88" s="3"/>
      <c r="I88" s="3"/>
      <c r="J88" s="3">
        <f>AVERAGE(J71:J77)</f>
        <v>46.428571428571431</v>
      </c>
      <c r="K88" s="3">
        <f>AVERAGE(K71:K77)</f>
        <v>63.571428571428569</v>
      </c>
      <c r="L88" s="3"/>
      <c r="M88" s="3"/>
      <c r="N88" s="3">
        <f>AVERAGE(N71:N77)</f>
        <v>42.142857142857146</v>
      </c>
      <c r="O88" s="3">
        <f>AVERAGE(O71:O77)</f>
        <v>58.285714285714285</v>
      </c>
      <c r="Q88" s="3">
        <f t="shared" ref="Q88:Z88" si="34">AVERAGE(Q71:Q77)</f>
        <v>0.16172506738544473</v>
      </c>
      <c r="R88" s="3">
        <f t="shared" si="34"/>
        <v>0.1732418524871355</v>
      </c>
      <c r="S88" s="3"/>
      <c r="T88" s="3"/>
      <c r="U88" s="3">
        <f t="shared" si="34"/>
        <v>0.22175937270276891</v>
      </c>
      <c r="V88" s="3">
        <f t="shared" si="34"/>
        <v>0.23352119578534672</v>
      </c>
      <c r="W88" s="3"/>
      <c r="X88" s="3"/>
      <c r="Y88" s="3">
        <f t="shared" si="34"/>
        <v>0.21342808135260966</v>
      </c>
      <c r="Z88" s="3">
        <f t="shared" si="34"/>
        <v>0.22175937270276894</v>
      </c>
      <c r="AA88" s="3"/>
      <c r="AB88" s="3"/>
      <c r="AC88" s="3"/>
    </row>
    <row r="90" spans="2:30">
      <c r="B90" s="2" t="s">
        <v>2</v>
      </c>
      <c r="C90">
        <f>F79/C79</f>
        <v>0.10945582453962342</v>
      </c>
    </row>
    <row r="91" spans="2:30">
      <c r="B91" s="2" t="s">
        <v>3</v>
      </c>
      <c r="C91">
        <f t="shared" ref="C91:C99" si="35">F80/C80</f>
        <v>6.0344827586206899E-2</v>
      </c>
    </row>
    <row r="92" spans="2:30">
      <c r="B92" s="2" t="s">
        <v>10</v>
      </c>
      <c r="C92">
        <f t="shared" si="35"/>
        <v>6.25E-2</v>
      </c>
      <c r="G92">
        <f>F46/C46</f>
        <v>2.2658610271903322E-2</v>
      </c>
      <c r="J92" t="s">
        <v>38</v>
      </c>
      <c r="O92">
        <f>F64/C64</f>
        <v>7.0325900514579764E-2</v>
      </c>
      <c r="P92" t="s">
        <v>51</v>
      </c>
    </row>
    <row r="93" spans="2:30">
      <c r="B93" s="2" t="s">
        <v>0</v>
      </c>
      <c r="C93">
        <f t="shared" si="35"/>
        <v>6.9259044302573028E-2</v>
      </c>
      <c r="G93">
        <f t="shared" ref="G93:G99" si="36">F47/C47</f>
        <v>6.4371257485029934E-2</v>
      </c>
      <c r="J93" t="s">
        <v>39</v>
      </c>
      <c r="O93">
        <f t="shared" ref="O93:O98" si="37">F65/C65</f>
        <v>4.1166380789022301E-2</v>
      </c>
      <c r="P93" t="s">
        <v>52</v>
      </c>
    </row>
    <row r="94" spans="2:30">
      <c r="B94" s="2" t="s">
        <v>1</v>
      </c>
      <c r="C94">
        <f t="shared" si="35"/>
        <v>4.6926507659491953E-2</v>
      </c>
      <c r="G94">
        <f t="shared" si="36"/>
        <v>4.9493813273340834E-2</v>
      </c>
      <c r="J94" t="s">
        <v>40</v>
      </c>
      <c r="O94">
        <f t="shared" si="37"/>
        <v>9.6054888507718691E-2</v>
      </c>
      <c r="P94" t="s">
        <v>53</v>
      </c>
    </row>
    <row r="95" spans="2:30">
      <c r="B95" s="2" t="s">
        <v>4</v>
      </c>
      <c r="C95">
        <f>F84/C84</f>
        <v>4.0268456375838924E-2</v>
      </c>
      <c r="G95">
        <f t="shared" si="36"/>
        <v>3.5714285714285712E-2</v>
      </c>
      <c r="J95" t="s">
        <v>41</v>
      </c>
      <c r="O95">
        <f t="shared" si="37"/>
        <v>5.3173241852487133E-2</v>
      </c>
      <c r="P95" t="s">
        <v>54</v>
      </c>
    </row>
    <row r="96" spans="2:30">
      <c r="B96" s="2" t="s">
        <v>5</v>
      </c>
      <c r="C96">
        <f t="shared" si="35"/>
        <v>2.0255063765941484E-2</v>
      </c>
      <c r="G96">
        <f t="shared" si="36"/>
        <v>2.9850746268656716E-2</v>
      </c>
      <c r="J96" t="s">
        <v>42</v>
      </c>
      <c r="O96">
        <f t="shared" si="37"/>
        <v>4.6312178387650088E-2</v>
      </c>
      <c r="P96" t="s">
        <v>55</v>
      </c>
    </row>
    <row r="97" spans="2:16">
      <c r="B97" s="2" t="s">
        <v>11</v>
      </c>
      <c r="C97">
        <f t="shared" si="35"/>
        <v>3.3100404560500188E-2</v>
      </c>
      <c r="G97">
        <f t="shared" si="36"/>
        <v>0.04</v>
      </c>
      <c r="J97" t="s">
        <v>43</v>
      </c>
      <c r="O97">
        <f t="shared" si="37"/>
        <v>8.7478559176672382E-2</v>
      </c>
      <c r="P97" t="s">
        <v>56</v>
      </c>
    </row>
    <row r="98" spans="2:16">
      <c r="B98" s="2" t="s">
        <v>6</v>
      </c>
      <c r="C98">
        <f t="shared" si="35"/>
        <v>6.4935064935064929E-2</v>
      </c>
      <c r="G98">
        <f t="shared" si="36"/>
        <v>4.6130952380952384E-2</v>
      </c>
      <c r="J98" t="s">
        <v>44</v>
      </c>
      <c r="O98">
        <f t="shared" si="37"/>
        <v>6.0034305317324184E-2</v>
      </c>
      <c r="P98" t="s">
        <v>57</v>
      </c>
    </row>
    <row r="99" spans="2:16">
      <c r="B99" s="2" t="s">
        <v>7</v>
      </c>
      <c r="C99">
        <f t="shared" si="35"/>
        <v>4.4841950502327858E-2</v>
      </c>
      <c r="G99">
        <f t="shared" si="36"/>
        <v>1.1876484560570071E-2</v>
      </c>
      <c r="J99" t="s">
        <v>45</v>
      </c>
    </row>
    <row r="101" spans="2:16">
      <c r="C101">
        <f>TTEST(F46:F53,F64:F70,2,2)</f>
        <v>9.8262370524746914E-2</v>
      </c>
      <c r="G101">
        <f>TTEST(G92:G99,O92:O98,2,2)</f>
        <v>1.3421678367454396E-2</v>
      </c>
    </row>
  </sheetData>
  <mergeCells count="28">
    <mergeCell ref="AA2:AB2"/>
    <mergeCell ref="Y1:AB1"/>
    <mergeCell ref="U1:X1"/>
    <mergeCell ref="Q1:T1"/>
    <mergeCell ref="Q2:R2"/>
    <mergeCell ref="S2:T2"/>
    <mergeCell ref="U2:V2"/>
    <mergeCell ref="W2:X2"/>
    <mergeCell ref="Y2:Z2"/>
    <mergeCell ref="A71:A77"/>
    <mergeCell ref="A4:A11"/>
    <mergeCell ref="A12:A19"/>
    <mergeCell ref="A20:A27"/>
    <mergeCell ref="A28:A36"/>
    <mergeCell ref="A37:A45"/>
    <mergeCell ref="A46:A53"/>
    <mergeCell ref="A54:A58"/>
    <mergeCell ref="A59:A63"/>
    <mergeCell ref="A64:A70"/>
    <mergeCell ref="N2:O2"/>
    <mergeCell ref="D1:G1"/>
    <mergeCell ref="H1:K1"/>
    <mergeCell ref="L1:O1"/>
    <mergeCell ref="F2:G2"/>
    <mergeCell ref="D2:E2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topLeftCell="A19" workbookViewId="0">
      <selection activeCell="B71" sqref="B71:O77"/>
    </sheetView>
  </sheetViews>
  <sheetFormatPr defaultColWidth="9.140625" defaultRowHeight="15"/>
  <cols>
    <col min="2" max="2" width="24.140625" bestFit="1" customWidth="1"/>
    <col min="15" max="15" width="7.7109375" bestFit="1" customWidth="1"/>
    <col min="16" max="16" width="14.42578125" customWidth="1"/>
    <col min="17" max="17" width="10.7109375" bestFit="1" customWidth="1"/>
    <col min="18" max="18" width="11.85546875" bestFit="1" customWidth="1"/>
    <col min="19" max="30" width="11.85546875" customWidth="1"/>
    <col min="31" max="31" width="11.85546875" bestFit="1" customWidth="1"/>
  </cols>
  <sheetData>
    <row r="1" spans="1:29">
      <c r="C1" s="5"/>
      <c r="D1" s="7" t="s">
        <v>20</v>
      </c>
      <c r="E1" s="7"/>
      <c r="F1" s="7"/>
      <c r="G1" s="7"/>
      <c r="H1" s="7" t="s">
        <v>8</v>
      </c>
      <c r="I1" s="7"/>
      <c r="J1" s="7"/>
      <c r="K1" s="7"/>
      <c r="L1" s="7" t="s">
        <v>9</v>
      </c>
      <c r="M1" s="7"/>
      <c r="N1" s="7"/>
      <c r="O1" s="7"/>
      <c r="Q1" s="7" t="s">
        <v>20</v>
      </c>
      <c r="R1" s="7"/>
      <c r="S1" s="7"/>
      <c r="T1" s="7"/>
      <c r="U1" s="7" t="s">
        <v>8</v>
      </c>
      <c r="V1" s="7"/>
      <c r="W1" s="7"/>
      <c r="X1" s="7"/>
      <c r="Y1" s="7" t="s">
        <v>9</v>
      </c>
      <c r="Z1" s="7"/>
      <c r="AA1" s="7"/>
      <c r="AB1" s="7"/>
    </row>
    <row r="2" spans="1:29">
      <c r="C2" s="5"/>
      <c r="D2" s="7" t="s">
        <v>71</v>
      </c>
      <c r="E2" s="7"/>
      <c r="F2" s="7" t="s">
        <v>72</v>
      </c>
      <c r="G2" s="7"/>
      <c r="H2" s="7" t="s">
        <v>71</v>
      </c>
      <c r="I2" s="7"/>
      <c r="J2" s="7" t="s">
        <v>72</v>
      </c>
      <c r="K2" s="7"/>
      <c r="L2" s="7" t="s">
        <v>71</v>
      </c>
      <c r="M2" s="7"/>
      <c r="N2" s="7" t="s">
        <v>72</v>
      </c>
      <c r="O2" s="7"/>
      <c r="Q2" s="7" t="s">
        <v>71</v>
      </c>
      <c r="R2" s="7"/>
      <c r="S2" s="7" t="s">
        <v>72</v>
      </c>
      <c r="T2" s="7"/>
      <c r="U2" s="7" t="s">
        <v>71</v>
      </c>
      <c r="V2" s="7"/>
      <c r="W2" s="7" t="s">
        <v>72</v>
      </c>
      <c r="X2" s="7"/>
      <c r="Y2" s="7" t="s">
        <v>71</v>
      </c>
      <c r="Z2" s="7"/>
      <c r="AA2" s="7" t="s">
        <v>72</v>
      </c>
      <c r="AB2" s="7"/>
      <c r="AC2" s="6"/>
    </row>
    <row r="3" spans="1:29">
      <c r="C3" t="s">
        <v>66</v>
      </c>
      <c r="D3" t="s">
        <v>69</v>
      </c>
      <c r="E3" t="s">
        <v>70</v>
      </c>
      <c r="F3" t="s">
        <v>69</v>
      </c>
      <c r="G3" t="s">
        <v>70</v>
      </c>
      <c r="H3" t="s">
        <v>69</v>
      </c>
      <c r="I3" t="s">
        <v>70</v>
      </c>
      <c r="J3" t="s">
        <v>69</v>
      </c>
      <c r="K3" t="s">
        <v>70</v>
      </c>
      <c r="L3" t="s">
        <v>69</v>
      </c>
      <c r="M3" t="s">
        <v>70</v>
      </c>
      <c r="N3" t="s">
        <v>69</v>
      </c>
      <c r="O3" t="s">
        <v>70</v>
      </c>
      <c r="Q3" t="s">
        <v>67</v>
      </c>
      <c r="R3" t="s">
        <v>68</v>
      </c>
      <c r="S3" t="s">
        <v>67</v>
      </c>
      <c r="T3" t="s">
        <v>68</v>
      </c>
      <c r="U3" t="s">
        <v>67</v>
      </c>
      <c r="V3" t="s">
        <v>68</v>
      </c>
      <c r="W3" t="s">
        <v>67</v>
      </c>
      <c r="X3" t="s">
        <v>68</v>
      </c>
      <c r="Y3" t="s">
        <v>67</v>
      </c>
      <c r="Z3" t="s">
        <v>68</v>
      </c>
      <c r="AA3" t="s">
        <v>67</v>
      </c>
      <c r="AB3" t="s">
        <v>68</v>
      </c>
    </row>
    <row r="4" spans="1:29">
      <c r="A4" s="8" t="s">
        <v>58</v>
      </c>
      <c r="B4" t="s">
        <v>12</v>
      </c>
      <c r="C4" s="4">
        <v>169</v>
      </c>
      <c r="D4" s="4">
        <v>49</v>
      </c>
      <c r="E4" s="4">
        <v>54</v>
      </c>
      <c r="F4" s="4">
        <v>13</v>
      </c>
      <c r="G4" s="4">
        <v>13</v>
      </c>
      <c r="H4" s="4">
        <v>28</v>
      </c>
      <c r="I4" s="4">
        <v>29</v>
      </c>
      <c r="J4" s="4">
        <v>8</v>
      </c>
      <c r="K4">
        <v>9</v>
      </c>
      <c r="L4">
        <v>26</v>
      </c>
      <c r="M4">
        <v>27</v>
      </c>
      <c r="N4">
        <v>6</v>
      </c>
      <c r="O4">
        <v>8</v>
      </c>
      <c r="Q4" s="1">
        <f>D4/$C4</f>
        <v>0.28994082840236685</v>
      </c>
      <c r="R4" s="1">
        <f t="shared" ref="R4:AB19" si="0">E4/$C4</f>
        <v>0.31952662721893493</v>
      </c>
      <c r="S4" s="1">
        <f t="shared" si="0"/>
        <v>7.6923076923076927E-2</v>
      </c>
      <c r="T4" s="1">
        <f t="shared" si="0"/>
        <v>7.6923076923076927E-2</v>
      </c>
      <c r="U4" s="1">
        <f t="shared" si="0"/>
        <v>0.16568047337278108</v>
      </c>
      <c r="V4" s="1">
        <f t="shared" si="0"/>
        <v>0.17159763313609466</v>
      </c>
      <c r="W4" s="1">
        <f t="shared" si="0"/>
        <v>4.7337278106508875E-2</v>
      </c>
      <c r="X4" s="1">
        <f t="shared" si="0"/>
        <v>5.3254437869822487E-2</v>
      </c>
      <c r="Y4" s="1">
        <f t="shared" si="0"/>
        <v>0.15384615384615385</v>
      </c>
      <c r="Z4" s="1">
        <f t="shared" si="0"/>
        <v>0.15976331360946747</v>
      </c>
      <c r="AA4" s="1">
        <f t="shared" si="0"/>
        <v>3.5502958579881658E-2</v>
      </c>
      <c r="AB4" s="1">
        <f>O4/$C4</f>
        <v>4.7337278106508875E-2</v>
      </c>
      <c r="AC4" s="1"/>
    </row>
    <row r="5" spans="1:29">
      <c r="A5" s="8"/>
      <c r="B5" t="s">
        <v>13</v>
      </c>
      <c r="C5" s="4">
        <v>316</v>
      </c>
      <c r="D5" s="4">
        <v>82</v>
      </c>
      <c r="E5" s="4">
        <v>91</v>
      </c>
      <c r="F5" s="4">
        <v>21</v>
      </c>
      <c r="G5" s="4">
        <v>23</v>
      </c>
      <c r="H5" s="4">
        <v>43</v>
      </c>
      <c r="I5" s="4">
        <v>44</v>
      </c>
      <c r="J5" s="4">
        <v>16</v>
      </c>
      <c r="K5">
        <v>19</v>
      </c>
      <c r="L5">
        <v>28</v>
      </c>
      <c r="M5">
        <v>29</v>
      </c>
      <c r="N5">
        <v>13</v>
      </c>
      <c r="O5">
        <v>15</v>
      </c>
      <c r="Q5" s="1">
        <f t="shared" ref="Q5:AB68" si="1">D5/$C5</f>
        <v>0.25949367088607594</v>
      </c>
      <c r="R5" s="1">
        <f t="shared" si="0"/>
        <v>0.28797468354430378</v>
      </c>
      <c r="S5" s="1">
        <f t="shared" si="0"/>
        <v>6.6455696202531639E-2</v>
      </c>
      <c r="T5" s="1">
        <f t="shared" si="0"/>
        <v>7.2784810126582278E-2</v>
      </c>
      <c r="U5" s="1">
        <f t="shared" si="0"/>
        <v>0.13607594936708861</v>
      </c>
      <c r="V5" s="1">
        <f t="shared" si="0"/>
        <v>0.13924050632911392</v>
      </c>
      <c r="W5" s="1">
        <f t="shared" si="0"/>
        <v>5.0632911392405063E-2</v>
      </c>
      <c r="X5" s="1">
        <f t="shared" si="0"/>
        <v>6.0126582278481014E-2</v>
      </c>
      <c r="Y5" s="1">
        <f t="shared" si="0"/>
        <v>8.8607594936708861E-2</v>
      </c>
      <c r="Z5" s="1">
        <f t="shared" si="0"/>
        <v>9.1772151898734181E-2</v>
      </c>
      <c r="AA5" s="1">
        <f t="shared" si="0"/>
        <v>4.1139240506329111E-2</v>
      </c>
      <c r="AB5" s="1">
        <f t="shared" si="0"/>
        <v>4.746835443037975E-2</v>
      </c>
      <c r="AC5" s="1"/>
    </row>
    <row r="6" spans="1:29">
      <c r="A6" s="8"/>
      <c r="B6" t="s">
        <v>14</v>
      </c>
      <c r="C6" s="4">
        <v>727</v>
      </c>
      <c r="D6" s="4">
        <v>206</v>
      </c>
      <c r="E6" s="4">
        <v>220</v>
      </c>
      <c r="F6" s="4">
        <v>35</v>
      </c>
      <c r="G6" s="4">
        <v>41</v>
      </c>
      <c r="H6" s="4">
        <v>93</v>
      </c>
      <c r="I6" s="4">
        <v>94</v>
      </c>
      <c r="J6" s="4">
        <v>27</v>
      </c>
      <c r="K6">
        <v>35</v>
      </c>
      <c r="L6">
        <v>69</v>
      </c>
      <c r="M6">
        <v>70</v>
      </c>
      <c r="N6">
        <v>33</v>
      </c>
      <c r="O6">
        <v>42</v>
      </c>
      <c r="Q6" s="1">
        <f t="shared" si="1"/>
        <v>0.28335625859697389</v>
      </c>
      <c r="R6" s="1">
        <f t="shared" si="0"/>
        <v>0.30261348005502064</v>
      </c>
      <c r="S6" s="1">
        <f t="shared" si="0"/>
        <v>4.8143053645116916E-2</v>
      </c>
      <c r="T6" s="1">
        <f t="shared" si="0"/>
        <v>5.6396148555708389E-2</v>
      </c>
      <c r="U6" s="1">
        <f t="shared" si="0"/>
        <v>0.12792297111416781</v>
      </c>
      <c r="V6" s="1">
        <f t="shared" si="0"/>
        <v>0.12929848693259974</v>
      </c>
      <c r="W6" s="1">
        <f t="shared" si="0"/>
        <v>3.7138927097661624E-2</v>
      </c>
      <c r="X6" s="1">
        <f t="shared" si="0"/>
        <v>4.8143053645116916E-2</v>
      </c>
      <c r="Y6" s="1">
        <f t="shared" si="0"/>
        <v>9.4910591471801919E-2</v>
      </c>
      <c r="Z6" s="1">
        <f t="shared" si="0"/>
        <v>9.6286107290233833E-2</v>
      </c>
      <c r="AA6" s="1">
        <f t="shared" si="0"/>
        <v>4.5392022008253097E-2</v>
      </c>
      <c r="AB6" s="1">
        <f t="shared" si="0"/>
        <v>5.7771664374140302E-2</v>
      </c>
      <c r="AC6" s="1"/>
    </row>
    <row r="7" spans="1:29">
      <c r="A7" s="8"/>
      <c r="B7" t="s">
        <v>15</v>
      </c>
      <c r="C7" s="4">
        <v>650</v>
      </c>
      <c r="D7" s="4">
        <v>168</v>
      </c>
      <c r="E7" s="4">
        <v>177</v>
      </c>
      <c r="F7" s="4">
        <v>50</v>
      </c>
      <c r="G7" s="4">
        <v>57</v>
      </c>
      <c r="H7" s="4">
        <v>113</v>
      </c>
      <c r="I7" s="4">
        <v>117</v>
      </c>
      <c r="J7" s="4">
        <v>38</v>
      </c>
      <c r="K7">
        <v>43</v>
      </c>
      <c r="L7">
        <v>55</v>
      </c>
      <c r="M7">
        <v>57</v>
      </c>
      <c r="N7">
        <v>26</v>
      </c>
      <c r="O7">
        <v>30</v>
      </c>
      <c r="Q7" s="1">
        <f t="shared" si="1"/>
        <v>0.25846153846153846</v>
      </c>
      <c r="R7" s="1">
        <f t="shared" si="0"/>
        <v>0.27230769230769231</v>
      </c>
      <c r="S7" s="1">
        <f t="shared" si="0"/>
        <v>7.6923076923076927E-2</v>
      </c>
      <c r="T7" s="1">
        <f t="shared" si="0"/>
        <v>8.7692307692307694E-2</v>
      </c>
      <c r="U7" s="1">
        <f t="shared" si="0"/>
        <v>0.17384615384615384</v>
      </c>
      <c r="V7" s="1">
        <f t="shared" si="0"/>
        <v>0.18</v>
      </c>
      <c r="W7" s="1">
        <f t="shared" si="0"/>
        <v>5.8461538461538461E-2</v>
      </c>
      <c r="X7" s="1">
        <f t="shared" si="0"/>
        <v>6.615384615384616E-2</v>
      </c>
      <c r="Y7" s="1">
        <f t="shared" si="0"/>
        <v>8.461538461538462E-2</v>
      </c>
      <c r="Z7" s="1">
        <f t="shared" si="0"/>
        <v>8.7692307692307694E-2</v>
      </c>
      <c r="AA7" s="1">
        <f t="shared" si="0"/>
        <v>0.04</v>
      </c>
      <c r="AB7" s="1">
        <f t="shared" si="0"/>
        <v>4.6153846153846156E-2</v>
      </c>
      <c r="AC7" s="1"/>
    </row>
    <row r="8" spans="1:29">
      <c r="A8" s="8"/>
      <c r="B8" t="s">
        <v>16</v>
      </c>
      <c r="C8" s="4">
        <v>692</v>
      </c>
      <c r="D8" s="4">
        <v>258</v>
      </c>
      <c r="E8" s="4">
        <v>285</v>
      </c>
      <c r="F8" s="4">
        <v>36</v>
      </c>
      <c r="G8" s="4">
        <v>40</v>
      </c>
      <c r="H8" s="4">
        <v>114</v>
      </c>
      <c r="I8" s="4">
        <v>119</v>
      </c>
      <c r="J8" s="4">
        <v>31</v>
      </c>
      <c r="K8">
        <v>36</v>
      </c>
      <c r="L8">
        <v>72</v>
      </c>
      <c r="M8">
        <v>74</v>
      </c>
      <c r="N8">
        <v>19</v>
      </c>
      <c r="O8">
        <v>22</v>
      </c>
      <c r="Q8" s="1">
        <f t="shared" si="1"/>
        <v>0.37283236994219654</v>
      </c>
      <c r="R8" s="1">
        <f t="shared" si="0"/>
        <v>0.41184971098265893</v>
      </c>
      <c r="S8" s="1">
        <f t="shared" si="0"/>
        <v>5.2023121387283239E-2</v>
      </c>
      <c r="T8" s="1">
        <f t="shared" si="0"/>
        <v>5.7803468208092484E-2</v>
      </c>
      <c r="U8" s="1">
        <f t="shared" si="0"/>
        <v>0.16473988439306358</v>
      </c>
      <c r="V8" s="1">
        <f t="shared" si="0"/>
        <v>0.17196531791907516</v>
      </c>
      <c r="W8" s="1">
        <f t="shared" si="0"/>
        <v>4.4797687861271675E-2</v>
      </c>
      <c r="X8" s="1">
        <f t="shared" si="0"/>
        <v>5.2023121387283239E-2</v>
      </c>
      <c r="Y8" s="1">
        <f t="shared" si="0"/>
        <v>0.10404624277456648</v>
      </c>
      <c r="Z8" s="1">
        <f t="shared" si="0"/>
        <v>0.1069364161849711</v>
      </c>
      <c r="AA8" s="1">
        <f t="shared" si="0"/>
        <v>2.7456647398843931E-2</v>
      </c>
      <c r="AB8" s="1">
        <f t="shared" si="0"/>
        <v>3.1791907514450865E-2</v>
      </c>
      <c r="AC8" s="1"/>
    </row>
    <row r="9" spans="1:29">
      <c r="A9" s="8"/>
      <c r="B9" t="s">
        <v>17</v>
      </c>
      <c r="C9" s="4">
        <v>591</v>
      </c>
      <c r="D9" s="4">
        <v>141</v>
      </c>
      <c r="E9" s="4">
        <v>149</v>
      </c>
      <c r="F9" s="4">
        <v>20</v>
      </c>
      <c r="G9" s="4">
        <v>23</v>
      </c>
      <c r="H9" s="4">
        <v>77</v>
      </c>
      <c r="I9" s="4">
        <v>77</v>
      </c>
      <c r="J9" s="4">
        <v>18</v>
      </c>
      <c r="K9">
        <v>22</v>
      </c>
      <c r="L9">
        <v>65</v>
      </c>
      <c r="M9">
        <v>67</v>
      </c>
      <c r="N9">
        <v>19</v>
      </c>
      <c r="O9">
        <v>22</v>
      </c>
      <c r="Q9" s="1">
        <f t="shared" si="1"/>
        <v>0.23857868020304568</v>
      </c>
      <c r="R9" s="1">
        <f t="shared" si="0"/>
        <v>0.25211505922165822</v>
      </c>
      <c r="S9" s="1">
        <f t="shared" si="0"/>
        <v>3.3840947546531303E-2</v>
      </c>
      <c r="T9" s="1">
        <f t="shared" si="0"/>
        <v>3.8917089678510999E-2</v>
      </c>
      <c r="U9" s="1">
        <f t="shared" si="0"/>
        <v>0.13028764805414553</v>
      </c>
      <c r="V9" s="1">
        <f t="shared" si="0"/>
        <v>0.13028764805414553</v>
      </c>
      <c r="W9" s="1">
        <f t="shared" si="0"/>
        <v>3.0456852791878174E-2</v>
      </c>
      <c r="X9" s="1">
        <f t="shared" si="0"/>
        <v>3.7225042301184431E-2</v>
      </c>
      <c r="Y9" s="1">
        <f t="shared" si="0"/>
        <v>0.10998307952622674</v>
      </c>
      <c r="Z9" s="1">
        <f t="shared" si="0"/>
        <v>0.11336717428087986</v>
      </c>
      <c r="AA9" s="1">
        <f t="shared" si="0"/>
        <v>3.2148900169204735E-2</v>
      </c>
      <c r="AB9" s="1">
        <f t="shared" si="0"/>
        <v>3.7225042301184431E-2</v>
      </c>
      <c r="AC9" s="1"/>
    </row>
    <row r="10" spans="1:29">
      <c r="A10" s="8"/>
      <c r="B10" t="s">
        <v>18</v>
      </c>
      <c r="C10" s="4">
        <v>807</v>
      </c>
      <c r="D10" s="4">
        <v>221</v>
      </c>
      <c r="E10" s="4">
        <v>239</v>
      </c>
      <c r="F10" s="4">
        <v>53</v>
      </c>
      <c r="G10" s="4">
        <v>66</v>
      </c>
      <c r="H10" s="4">
        <v>100</v>
      </c>
      <c r="I10" s="4">
        <v>101</v>
      </c>
      <c r="J10" s="4">
        <v>30</v>
      </c>
      <c r="K10">
        <v>40</v>
      </c>
      <c r="L10">
        <v>117</v>
      </c>
      <c r="M10">
        <v>119</v>
      </c>
      <c r="N10">
        <v>48</v>
      </c>
      <c r="O10">
        <v>66</v>
      </c>
      <c r="Q10" s="1">
        <f t="shared" si="1"/>
        <v>0.27385377942998762</v>
      </c>
      <c r="R10" s="1">
        <f t="shared" si="0"/>
        <v>0.29615861214374223</v>
      </c>
      <c r="S10" s="1">
        <f t="shared" si="0"/>
        <v>6.5675340768277565E-2</v>
      </c>
      <c r="T10" s="1">
        <f t="shared" si="0"/>
        <v>8.1784386617100371E-2</v>
      </c>
      <c r="U10" s="1">
        <f t="shared" si="0"/>
        <v>0.12391573729863693</v>
      </c>
      <c r="V10" s="1">
        <f t="shared" si="0"/>
        <v>0.1251548946716233</v>
      </c>
      <c r="W10" s="1">
        <f t="shared" si="0"/>
        <v>3.717472118959108E-2</v>
      </c>
      <c r="X10" s="1">
        <f t="shared" si="0"/>
        <v>4.9566294919454773E-2</v>
      </c>
      <c r="Y10" s="1">
        <f t="shared" si="0"/>
        <v>0.1449814126394052</v>
      </c>
      <c r="Z10" s="1">
        <f t="shared" si="0"/>
        <v>0.14745972738537794</v>
      </c>
      <c r="AA10" s="1">
        <f t="shared" si="0"/>
        <v>5.9479553903345722E-2</v>
      </c>
      <c r="AB10" s="1">
        <f t="shared" si="0"/>
        <v>8.1784386617100371E-2</v>
      </c>
      <c r="AC10" s="1"/>
    </row>
    <row r="11" spans="1:29">
      <c r="A11" s="8"/>
      <c r="B11" t="s">
        <v>19</v>
      </c>
      <c r="C11" s="4">
        <v>881</v>
      </c>
      <c r="D11" s="4">
        <v>267</v>
      </c>
      <c r="E11" s="4">
        <v>281</v>
      </c>
      <c r="F11" s="4">
        <v>67</v>
      </c>
      <c r="G11" s="4">
        <v>71</v>
      </c>
      <c r="H11" s="4">
        <v>137</v>
      </c>
      <c r="I11" s="4">
        <v>139</v>
      </c>
      <c r="J11" s="4">
        <v>44</v>
      </c>
      <c r="K11">
        <v>49</v>
      </c>
      <c r="L11">
        <v>86</v>
      </c>
      <c r="M11">
        <v>89</v>
      </c>
      <c r="N11">
        <v>33</v>
      </c>
      <c r="O11">
        <v>45</v>
      </c>
      <c r="Q11" s="1">
        <f t="shared" si="1"/>
        <v>0.30306469920544837</v>
      </c>
      <c r="R11" s="1">
        <f t="shared" si="0"/>
        <v>0.31895573212258799</v>
      </c>
      <c r="S11" s="1">
        <f t="shared" si="0"/>
        <v>7.6049943246311008E-2</v>
      </c>
      <c r="T11" s="1">
        <f t="shared" si="0"/>
        <v>8.0590238365493755E-2</v>
      </c>
      <c r="U11" s="1">
        <f t="shared" si="0"/>
        <v>0.15550510783200908</v>
      </c>
      <c r="V11" s="1">
        <f t="shared" si="0"/>
        <v>0.15777525539160045</v>
      </c>
      <c r="W11" s="1">
        <f t="shared" si="0"/>
        <v>4.9943246311010214E-2</v>
      </c>
      <c r="X11" s="1">
        <f t="shared" si="0"/>
        <v>5.5618615209988648E-2</v>
      </c>
      <c r="Y11" s="1">
        <f t="shared" si="0"/>
        <v>9.7616345062429055E-2</v>
      </c>
      <c r="Z11" s="1">
        <f t="shared" si="0"/>
        <v>0.10102156640181612</v>
      </c>
      <c r="AA11" s="1">
        <f t="shared" si="0"/>
        <v>3.7457434733257661E-2</v>
      </c>
      <c r="AB11" s="1">
        <f t="shared" si="0"/>
        <v>5.1078320090805901E-2</v>
      </c>
      <c r="AC11" s="1"/>
    </row>
    <row r="12" spans="1:29">
      <c r="A12" s="8" t="s">
        <v>59</v>
      </c>
      <c r="B12" t="s">
        <v>21</v>
      </c>
      <c r="C12" s="4">
        <v>600</v>
      </c>
      <c r="D12" s="4">
        <v>101</v>
      </c>
      <c r="E12" s="4">
        <v>110</v>
      </c>
      <c r="F12" s="4">
        <v>18</v>
      </c>
      <c r="G12" s="4">
        <v>21</v>
      </c>
      <c r="H12" s="4">
        <v>97</v>
      </c>
      <c r="I12" s="4">
        <v>99</v>
      </c>
      <c r="J12" s="4">
        <v>12</v>
      </c>
      <c r="K12">
        <v>16</v>
      </c>
      <c r="L12">
        <v>53</v>
      </c>
      <c r="M12">
        <v>56</v>
      </c>
      <c r="N12">
        <v>12</v>
      </c>
      <c r="O12">
        <v>14</v>
      </c>
      <c r="Q12" s="1">
        <f t="shared" si="1"/>
        <v>0.16833333333333333</v>
      </c>
      <c r="R12" s="1">
        <f t="shared" si="0"/>
        <v>0.18333333333333332</v>
      </c>
      <c r="S12" s="1">
        <f t="shared" si="0"/>
        <v>0.03</v>
      </c>
      <c r="T12" s="1">
        <f t="shared" si="0"/>
        <v>3.5000000000000003E-2</v>
      </c>
      <c r="U12" s="1">
        <f t="shared" si="0"/>
        <v>0.16166666666666665</v>
      </c>
      <c r="V12" s="1">
        <f t="shared" si="0"/>
        <v>0.16500000000000001</v>
      </c>
      <c r="W12" s="1">
        <f t="shared" si="0"/>
        <v>0.02</v>
      </c>
      <c r="X12" s="1">
        <f t="shared" si="0"/>
        <v>2.6666666666666668E-2</v>
      </c>
      <c r="Y12" s="1">
        <f t="shared" si="0"/>
        <v>8.8333333333333333E-2</v>
      </c>
      <c r="Z12" s="1">
        <f t="shared" si="0"/>
        <v>9.3333333333333338E-2</v>
      </c>
      <c r="AA12" s="1">
        <f t="shared" si="0"/>
        <v>0.02</v>
      </c>
      <c r="AB12" s="1">
        <f t="shared" si="0"/>
        <v>2.3333333333333334E-2</v>
      </c>
      <c r="AC12" s="1"/>
    </row>
    <row r="13" spans="1:29">
      <c r="A13" s="8"/>
      <c r="B13" t="s">
        <v>22</v>
      </c>
      <c r="C13" s="4">
        <v>752</v>
      </c>
      <c r="D13" s="4">
        <v>143</v>
      </c>
      <c r="E13" s="4">
        <v>152</v>
      </c>
      <c r="F13" s="4">
        <v>25</v>
      </c>
      <c r="G13" s="4">
        <v>29</v>
      </c>
      <c r="H13" s="4">
        <v>103</v>
      </c>
      <c r="I13" s="4">
        <v>112</v>
      </c>
      <c r="J13" s="4">
        <v>29</v>
      </c>
      <c r="K13">
        <v>36</v>
      </c>
      <c r="L13">
        <v>84</v>
      </c>
      <c r="M13">
        <v>85</v>
      </c>
      <c r="N13">
        <v>33</v>
      </c>
      <c r="O13">
        <v>40</v>
      </c>
      <c r="Q13" s="1">
        <f t="shared" si="1"/>
        <v>0.1901595744680851</v>
      </c>
      <c r="R13" s="1">
        <f t="shared" si="0"/>
        <v>0.20212765957446807</v>
      </c>
      <c r="S13" s="1">
        <f t="shared" si="0"/>
        <v>3.3244680851063829E-2</v>
      </c>
      <c r="T13" s="1">
        <f t="shared" si="0"/>
        <v>3.8563829787234043E-2</v>
      </c>
      <c r="U13" s="1">
        <f t="shared" si="0"/>
        <v>0.13696808510638298</v>
      </c>
      <c r="V13" s="1">
        <f t="shared" si="0"/>
        <v>0.14893617021276595</v>
      </c>
      <c r="W13" s="1">
        <f t="shared" si="0"/>
        <v>3.8563829787234043E-2</v>
      </c>
      <c r="X13" s="1">
        <f t="shared" si="0"/>
        <v>4.7872340425531915E-2</v>
      </c>
      <c r="Y13" s="1">
        <f t="shared" si="0"/>
        <v>0.11170212765957446</v>
      </c>
      <c r="Z13" s="1">
        <f t="shared" si="0"/>
        <v>0.11303191489361702</v>
      </c>
      <c r="AA13" s="1">
        <f t="shared" si="0"/>
        <v>4.3882978723404256E-2</v>
      </c>
      <c r="AB13" s="1">
        <f t="shared" si="0"/>
        <v>5.3191489361702128E-2</v>
      </c>
      <c r="AC13" s="1"/>
    </row>
    <row r="14" spans="1:29">
      <c r="A14" s="8"/>
      <c r="B14" t="s">
        <v>23</v>
      </c>
      <c r="C14" s="4">
        <v>545</v>
      </c>
      <c r="D14" s="4">
        <v>136</v>
      </c>
      <c r="E14" s="4">
        <v>149</v>
      </c>
      <c r="F14" s="4">
        <v>21</v>
      </c>
      <c r="G14" s="4">
        <v>22</v>
      </c>
      <c r="H14" s="4">
        <v>92</v>
      </c>
      <c r="I14" s="4">
        <v>96</v>
      </c>
      <c r="J14" s="4">
        <v>24</v>
      </c>
      <c r="K14">
        <v>28</v>
      </c>
      <c r="L14">
        <v>57</v>
      </c>
      <c r="M14">
        <v>59</v>
      </c>
      <c r="N14">
        <v>11</v>
      </c>
      <c r="O14">
        <v>13</v>
      </c>
      <c r="Q14" s="1">
        <f t="shared" si="1"/>
        <v>0.24954128440366974</v>
      </c>
      <c r="R14" s="1">
        <f t="shared" si="0"/>
        <v>0.27339449541284405</v>
      </c>
      <c r="S14" s="1">
        <f t="shared" si="0"/>
        <v>3.8532110091743121E-2</v>
      </c>
      <c r="T14" s="1">
        <f t="shared" si="0"/>
        <v>4.0366972477064222E-2</v>
      </c>
      <c r="U14" s="1">
        <f t="shared" si="0"/>
        <v>0.16880733944954129</v>
      </c>
      <c r="V14" s="1">
        <f t="shared" si="0"/>
        <v>0.1761467889908257</v>
      </c>
      <c r="W14" s="1">
        <f t="shared" si="0"/>
        <v>4.4036697247706424E-2</v>
      </c>
      <c r="X14" s="1">
        <f t="shared" si="0"/>
        <v>5.1376146788990829E-2</v>
      </c>
      <c r="Y14" s="1">
        <f t="shared" si="0"/>
        <v>0.10458715596330276</v>
      </c>
      <c r="Z14" s="1">
        <f t="shared" si="0"/>
        <v>0.10825688073394496</v>
      </c>
      <c r="AA14" s="1">
        <f t="shared" si="0"/>
        <v>2.0183486238532111E-2</v>
      </c>
      <c r="AB14" s="1">
        <f t="shared" si="0"/>
        <v>2.3853211009174313E-2</v>
      </c>
      <c r="AC14" s="1"/>
    </row>
    <row r="15" spans="1:29">
      <c r="A15" s="8"/>
      <c r="B15" t="s">
        <v>24</v>
      </c>
      <c r="C15" s="4">
        <v>903</v>
      </c>
      <c r="D15" s="4">
        <v>175</v>
      </c>
      <c r="E15" s="4">
        <v>191</v>
      </c>
      <c r="F15" s="4">
        <v>22</v>
      </c>
      <c r="G15" s="4">
        <v>25</v>
      </c>
      <c r="H15" s="4">
        <v>111</v>
      </c>
      <c r="I15" s="4">
        <v>115</v>
      </c>
      <c r="J15" s="4">
        <v>40</v>
      </c>
      <c r="K15">
        <v>51</v>
      </c>
      <c r="L15">
        <v>91</v>
      </c>
      <c r="M15">
        <v>94</v>
      </c>
      <c r="N15">
        <v>36</v>
      </c>
      <c r="O15">
        <v>45</v>
      </c>
      <c r="Q15" s="1">
        <f t="shared" si="1"/>
        <v>0.19379844961240311</v>
      </c>
      <c r="R15" s="1">
        <f t="shared" si="0"/>
        <v>0.21151716500553711</v>
      </c>
      <c r="S15" s="1">
        <f t="shared" si="0"/>
        <v>2.4363233665559248E-2</v>
      </c>
      <c r="T15" s="1">
        <f t="shared" si="0"/>
        <v>2.768549280177187E-2</v>
      </c>
      <c r="U15" s="1">
        <f t="shared" si="0"/>
        <v>0.12292358803986711</v>
      </c>
      <c r="V15" s="1">
        <f t="shared" si="0"/>
        <v>0.1273532668881506</v>
      </c>
      <c r="W15" s="1">
        <f t="shared" si="0"/>
        <v>4.4296788482834998E-2</v>
      </c>
      <c r="X15" s="1">
        <f t="shared" si="0"/>
        <v>5.647840531561462E-2</v>
      </c>
      <c r="Y15" s="1">
        <f t="shared" si="0"/>
        <v>0.10077519379844961</v>
      </c>
      <c r="Z15" s="1">
        <f t="shared" si="0"/>
        <v>0.10409745293466224</v>
      </c>
      <c r="AA15" s="1">
        <f t="shared" si="0"/>
        <v>3.9867109634551492E-2</v>
      </c>
      <c r="AB15" s="1">
        <f t="shared" si="0"/>
        <v>4.9833887043189369E-2</v>
      </c>
      <c r="AC15" s="1"/>
    </row>
    <row r="16" spans="1:29">
      <c r="A16" s="8"/>
      <c r="B16" t="s">
        <v>25</v>
      </c>
      <c r="C16" s="4">
        <v>660</v>
      </c>
      <c r="D16" s="4">
        <v>105</v>
      </c>
      <c r="E16" s="4">
        <v>110</v>
      </c>
      <c r="F16" s="4">
        <v>28</v>
      </c>
      <c r="G16" s="4">
        <v>32</v>
      </c>
      <c r="H16" s="4">
        <v>104</v>
      </c>
      <c r="I16" s="4">
        <v>109</v>
      </c>
      <c r="J16" s="4">
        <v>40</v>
      </c>
      <c r="K16">
        <v>52</v>
      </c>
      <c r="L16">
        <v>91</v>
      </c>
      <c r="M16">
        <v>95</v>
      </c>
      <c r="N16">
        <v>21</v>
      </c>
      <c r="O16">
        <v>28</v>
      </c>
      <c r="Q16" s="1">
        <f t="shared" si="1"/>
        <v>0.15909090909090909</v>
      </c>
      <c r="R16" s="1">
        <f t="shared" si="0"/>
        <v>0.16666666666666666</v>
      </c>
      <c r="S16" s="1">
        <f t="shared" si="0"/>
        <v>4.2424242424242427E-2</v>
      </c>
      <c r="T16" s="1">
        <f t="shared" si="0"/>
        <v>4.8484848484848485E-2</v>
      </c>
      <c r="U16" s="1">
        <f t="shared" si="0"/>
        <v>0.15757575757575756</v>
      </c>
      <c r="V16" s="1">
        <f t="shared" si="0"/>
        <v>0.16515151515151516</v>
      </c>
      <c r="W16" s="1">
        <f t="shared" si="0"/>
        <v>6.0606060606060608E-2</v>
      </c>
      <c r="X16" s="1">
        <f t="shared" si="0"/>
        <v>7.8787878787878782E-2</v>
      </c>
      <c r="Y16" s="1">
        <f t="shared" si="0"/>
        <v>0.13787878787878788</v>
      </c>
      <c r="Z16" s="1">
        <f t="shared" si="0"/>
        <v>0.14393939393939395</v>
      </c>
      <c r="AA16" s="1">
        <f t="shared" si="0"/>
        <v>3.1818181818181815E-2</v>
      </c>
      <c r="AB16" s="1">
        <f t="shared" si="0"/>
        <v>4.2424242424242427E-2</v>
      </c>
      <c r="AC16" s="1"/>
    </row>
    <row r="17" spans="1:29">
      <c r="A17" s="8"/>
      <c r="B17" t="s">
        <v>26</v>
      </c>
      <c r="C17" s="4">
        <v>614</v>
      </c>
      <c r="D17" s="4">
        <v>127</v>
      </c>
      <c r="E17" s="4">
        <v>137</v>
      </c>
      <c r="F17" s="4">
        <v>24</v>
      </c>
      <c r="G17" s="4">
        <v>29</v>
      </c>
      <c r="H17" s="4">
        <v>102</v>
      </c>
      <c r="I17" s="4">
        <v>106</v>
      </c>
      <c r="J17" s="4">
        <v>30</v>
      </c>
      <c r="K17">
        <v>42</v>
      </c>
      <c r="L17">
        <v>68</v>
      </c>
      <c r="M17">
        <v>70</v>
      </c>
      <c r="N17">
        <v>22</v>
      </c>
      <c r="O17">
        <v>25</v>
      </c>
      <c r="Q17" s="1">
        <f t="shared" si="1"/>
        <v>0.20684039087947884</v>
      </c>
      <c r="R17" s="1">
        <f t="shared" si="0"/>
        <v>0.22312703583061888</v>
      </c>
      <c r="S17" s="1">
        <f t="shared" si="0"/>
        <v>3.9087947882736153E-2</v>
      </c>
      <c r="T17" s="1">
        <f t="shared" si="0"/>
        <v>4.7231270358306189E-2</v>
      </c>
      <c r="U17" s="1">
        <f t="shared" si="0"/>
        <v>0.16612377850162866</v>
      </c>
      <c r="V17" s="1">
        <f t="shared" si="0"/>
        <v>0.17263843648208468</v>
      </c>
      <c r="W17" s="1">
        <f t="shared" si="0"/>
        <v>4.8859934853420196E-2</v>
      </c>
      <c r="X17" s="1">
        <f t="shared" si="0"/>
        <v>6.8403908794788276E-2</v>
      </c>
      <c r="Y17" s="1">
        <f t="shared" si="0"/>
        <v>0.11074918566775244</v>
      </c>
      <c r="Z17" s="1">
        <f t="shared" si="0"/>
        <v>0.11400651465798045</v>
      </c>
      <c r="AA17" s="1">
        <f t="shared" si="0"/>
        <v>3.5830618892508145E-2</v>
      </c>
      <c r="AB17" s="1">
        <f t="shared" si="0"/>
        <v>4.071661237785016E-2</v>
      </c>
      <c r="AC17" s="1"/>
    </row>
    <row r="18" spans="1:29">
      <c r="A18" s="8"/>
      <c r="B18" t="s">
        <v>27</v>
      </c>
      <c r="C18" s="4">
        <v>472</v>
      </c>
      <c r="D18" s="4">
        <v>97</v>
      </c>
      <c r="E18" s="4">
        <v>104</v>
      </c>
      <c r="F18" s="4">
        <v>20</v>
      </c>
      <c r="G18" s="4">
        <v>26</v>
      </c>
      <c r="H18" s="4">
        <v>57</v>
      </c>
      <c r="I18" s="4">
        <v>60</v>
      </c>
      <c r="J18" s="4">
        <v>21</v>
      </c>
      <c r="K18">
        <v>36</v>
      </c>
      <c r="L18">
        <v>39</v>
      </c>
      <c r="M18">
        <v>40</v>
      </c>
      <c r="N18">
        <v>14</v>
      </c>
      <c r="O18">
        <v>18</v>
      </c>
      <c r="Q18" s="1">
        <f t="shared" si="1"/>
        <v>0.20550847457627119</v>
      </c>
      <c r="R18" s="1">
        <f t="shared" si="0"/>
        <v>0.22033898305084745</v>
      </c>
      <c r="S18" s="1">
        <f t="shared" si="0"/>
        <v>4.2372881355932202E-2</v>
      </c>
      <c r="T18" s="1">
        <f t="shared" si="0"/>
        <v>5.5084745762711863E-2</v>
      </c>
      <c r="U18" s="1">
        <f t="shared" si="0"/>
        <v>0.12076271186440678</v>
      </c>
      <c r="V18" s="1">
        <f t="shared" si="0"/>
        <v>0.1271186440677966</v>
      </c>
      <c r="W18" s="1">
        <f t="shared" si="0"/>
        <v>4.4491525423728813E-2</v>
      </c>
      <c r="X18" s="1">
        <f t="shared" si="0"/>
        <v>7.6271186440677971E-2</v>
      </c>
      <c r="Y18" s="1">
        <f t="shared" si="0"/>
        <v>8.2627118644067798E-2</v>
      </c>
      <c r="Z18" s="1">
        <f t="shared" si="0"/>
        <v>8.4745762711864403E-2</v>
      </c>
      <c r="AA18" s="1">
        <f t="shared" si="0"/>
        <v>2.9661016949152543E-2</v>
      </c>
      <c r="AB18" s="1">
        <f t="shared" si="0"/>
        <v>3.8135593220338986E-2</v>
      </c>
      <c r="AC18" s="1"/>
    </row>
    <row r="19" spans="1:29">
      <c r="A19" s="8"/>
      <c r="B19" t="s">
        <v>28</v>
      </c>
      <c r="C19" s="4">
        <v>790</v>
      </c>
      <c r="D19" s="4">
        <v>129</v>
      </c>
      <c r="E19" s="4">
        <v>135</v>
      </c>
      <c r="F19" s="4">
        <v>19</v>
      </c>
      <c r="G19" s="4">
        <v>20</v>
      </c>
      <c r="H19" s="4">
        <v>95</v>
      </c>
      <c r="I19" s="4">
        <v>101</v>
      </c>
      <c r="J19" s="4">
        <v>30</v>
      </c>
      <c r="K19">
        <v>40</v>
      </c>
      <c r="L19">
        <v>98</v>
      </c>
      <c r="M19">
        <v>100</v>
      </c>
      <c r="N19">
        <v>37</v>
      </c>
      <c r="O19">
        <v>45</v>
      </c>
      <c r="Q19" s="1">
        <f t="shared" si="1"/>
        <v>0.16329113924050634</v>
      </c>
      <c r="R19" s="1">
        <f t="shared" si="0"/>
        <v>0.17088607594936708</v>
      </c>
      <c r="S19" s="1">
        <f t="shared" si="0"/>
        <v>2.4050632911392405E-2</v>
      </c>
      <c r="T19" s="1">
        <f t="shared" si="0"/>
        <v>2.5316455696202531E-2</v>
      </c>
      <c r="U19" s="1">
        <f t="shared" si="0"/>
        <v>0.12025316455696203</v>
      </c>
      <c r="V19" s="1">
        <f t="shared" si="0"/>
        <v>0.12784810126582277</v>
      </c>
      <c r="W19" s="1">
        <f t="shared" si="0"/>
        <v>3.7974683544303799E-2</v>
      </c>
      <c r="X19" s="1">
        <f t="shared" si="0"/>
        <v>5.0632911392405063E-2</v>
      </c>
      <c r="Y19" s="1">
        <f t="shared" si="0"/>
        <v>0.1240506329113924</v>
      </c>
      <c r="Z19" s="1">
        <f t="shared" si="0"/>
        <v>0.12658227848101267</v>
      </c>
      <c r="AA19" s="1">
        <f t="shared" si="0"/>
        <v>4.6835443037974683E-2</v>
      </c>
      <c r="AB19" s="1">
        <f t="shared" si="0"/>
        <v>5.6962025316455694E-2</v>
      </c>
      <c r="AC19" s="1"/>
    </row>
    <row r="20" spans="1:29">
      <c r="A20" s="8" t="s">
        <v>60</v>
      </c>
      <c r="B20" t="s">
        <v>21</v>
      </c>
      <c r="C20" s="4">
        <v>607</v>
      </c>
      <c r="D20" s="4">
        <v>90</v>
      </c>
      <c r="E20" s="4">
        <v>96</v>
      </c>
      <c r="F20" s="4">
        <v>11</v>
      </c>
      <c r="G20" s="4">
        <v>13</v>
      </c>
      <c r="H20" s="4">
        <v>77</v>
      </c>
      <c r="I20" s="4">
        <v>82</v>
      </c>
      <c r="J20" s="4">
        <v>14</v>
      </c>
      <c r="K20">
        <v>19</v>
      </c>
      <c r="L20">
        <v>57</v>
      </c>
      <c r="M20">
        <v>60</v>
      </c>
      <c r="N20">
        <v>14</v>
      </c>
      <c r="O20">
        <v>16</v>
      </c>
      <c r="Q20" s="1">
        <f t="shared" si="1"/>
        <v>0.14827018121911037</v>
      </c>
      <c r="R20" s="1">
        <f t="shared" si="1"/>
        <v>0.15815485996705106</v>
      </c>
      <c r="S20" s="1">
        <f t="shared" si="1"/>
        <v>1.8121911037891267E-2</v>
      </c>
      <c r="T20" s="1">
        <f t="shared" si="1"/>
        <v>2.1416803953871501E-2</v>
      </c>
      <c r="U20" s="1">
        <f t="shared" si="1"/>
        <v>0.12685337726523888</v>
      </c>
      <c r="V20" s="1">
        <f t="shared" si="1"/>
        <v>0.13509060955518945</v>
      </c>
      <c r="W20" s="1">
        <f t="shared" si="1"/>
        <v>2.3064250411861616E-2</v>
      </c>
      <c r="X20" s="1">
        <f t="shared" si="1"/>
        <v>3.130148270181219E-2</v>
      </c>
      <c r="Y20" s="1">
        <f t="shared" si="1"/>
        <v>9.3904448105436578E-2</v>
      </c>
      <c r="Z20" s="1">
        <f t="shared" si="1"/>
        <v>9.8846787479406922E-2</v>
      </c>
      <c r="AA20" s="1">
        <f t="shared" si="1"/>
        <v>2.3064250411861616E-2</v>
      </c>
      <c r="AB20" s="1">
        <f t="shared" si="1"/>
        <v>2.6359143327841845E-2</v>
      </c>
      <c r="AC20" s="1"/>
    </row>
    <row r="21" spans="1:29">
      <c r="A21" s="8"/>
      <c r="B21" t="s">
        <v>22</v>
      </c>
      <c r="C21" s="4">
        <v>761</v>
      </c>
      <c r="D21" s="4">
        <v>129</v>
      </c>
      <c r="E21" s="4">
        <v>138</v>
      </c>
      <c r="F21" s="4">
        <v>21</v>
      </c>
      <c r="G21" s="4">
        <v>25</v>
      </c>
      <c r="H21" s="4">
        <v>106</v>
      </c>
      <c r="I21" s="4">
        <v>107</v>
      </c>
      <c r="J21" s="4">
        <v>24</v>
      </c>
      <c r="K21">
        <v>28</v>
      </c>
      <c r="L21">
        <v>63</v>
      </c>
      <c r="M21">
        <v>63</v>
      </c>
      <c r="N21">
        <v>16</v>
      </c>
      <c r="O21">
        <v>22</v>
      </c>
      <c r="Q21" s="1">
        <f t="shared" si="1"/>
        <v>0.16951379763469118</v>
      </c>
      <c r="R21" s="1">
        <f t="shared" si="1"/>
        <v>0.18134034165571616</v>
      </c>
      <c r="S21" s="1">
        <f t="shared" si="1"/>
        <v>2.7595269382391589E-2</v>
      </c>
      <c r="T21" s="1">
        <f t="shared" si="1"/>
        <v>3.2851511169513799E-2</v>
      </c>
      <c r="U21" s="1">
        <f t="shared" si="1"/>
        <v>0.13929040735873849</v>
      </c>
      <c r="V21" s="1">
        <f t="shared" si="1"/>
        <v>0.14060446780551905</v>
      </c>
      <c r="W21" s="1">
        <f t="shared" si="1"/>
        <v>3.1537450722733243E-2</v>
      </c>
      <c r="X21" s="1">
        <f t="shared" si="1"/>
        <v>3.6793692509855452E-2</v>
      </c>
      <c r="Y21" s="1">
        <f t="shared" si="1"/>
        <v>8.2785808147174775E-2</v>
      </c>
      <c r="Z21" s="1">
        <f t="shared" si="1"/>
        <v>8.2785808147174775E-2</v>
      </c>
      <c r="AA21" s="1">
        <f t="shared" si="1"/>
        <v>2.1024967148488831E-2</v>
      </c>
      <c r="AB21" s="1">
        <f t="shared" si="1"/>
        <v>2.8909329829172142E-2</v>
      </c>
      <c r="AC21" s="1"/>
    </row>
    <row r="22" spans="1:29">
      <c r="A22" s="8"/>
      <c r="B22" t="s">
        <v>23</v>
      </c>
      <c r="C22" s="4">
        <v>562</v>
      </c>
      <c r="D22" s="4">
        <v>123</v>
      </c>
      <c r="E22" s="4">
        <v>139</v>
      </c>
      <c r="F22" s="4">
        <v>25</v>
      </c>
      <c r="G22" s="4">
        <v>28</v>
      </c>
      <c r="H22" s="4">
        <v>85</v>
      </c>
      <c r="I22" s="4">
        <v>87</v>
      </c>
      <c r="J22" s="4">
        <v>23</v>
      </c>
      <c r="K22">
        <v>27</v>
      </c>
      <c r="L22">
        <v>49</v>
      </c>
      <c r="M22">
        <v>51</v>
      </c>
      <c r="N22">
        <v>13</v>
      </c>
      <c r="O22">
        <v>14</v>
      </c>
      <c r="Q22" s="1">
        <f t="shared" si="1"/>
        <v>0.2188612099644128</v>
      </c>
      <c r="R22" s="1">
        <f t="shared" si="1"/>
        <v>0.24733096085409254</v>
      </c>
      <c r="S22" s="1">
        <f t="shared" si="1"/>
        <v>4.4483985765124558E-2</v>
      </c>
      <c r="T22" s="1">
        <f t="shared" si="1"/>
        <v>4.9822064056939501E-2</v>
      </c>
      <c r="U22" s="1">
        <f t="shared" si="1"/>
        <v>0.1512455516014235</v>
      </c>
      <c r="V22" s="1">
        <f t="shared" si="1"/>
        <v>0.15480427046263345</v>
      </c>
      <c r="W22" s="1">
        <f t="shared" si="1"/>
        <v>4.0925266903914591E-2</v>
      </c>
      <c r="X22" s="1">
        <f t="shared" si="1"/>
        <v>4.8042704626334518E-2</v>
      </c>
      <c r="Y22" s="1">
        <f t="shared" si="1"/>
        <v>8.7188612099644125E-2</v>
      </c>
      <c r="Z22" s="1">
        <f t="shared" si="1"/>
        <v>9.0747330960854092E-2</v>
      </c>
      <c r="AA22" s="1">
        <f t="shared" si="1"/>
        <v>2.3131672597864767E-2</v>
      </c>
      <c r="AB22" s="1">
        <f t="shared" si="1"/>
        <v>2.491103202846975E-2</v>
      </c>
      <c r="AC22" s="1"/>
    </row>
    <row r="23" spans="1:29">
      <c r="A23" s="8"/>
      <c r="B23" t="s">
        <v>24</v>
      </c>
      <c r="C23" s="4">
        <v>911</v>
      </c>
      <c r="D23" s="4">
        <v>174</v>
      </c>
      <c r="E23" s="4">
        <v>182</v>
      </c>
      <c r="F23" s="4">
        <v>31</v>
      </c>
      <c r="G23" s="4">
        <v>37</v>
      </c>
      <c r="H23" s="4">
        <v>101</v>
      </c>
      <c r="I23" s="4">
        <v>105</v>
      </c>
      <c r="J23" s="4">
        <v>30</v>
      </c>
      <c r="K23">
        <v>35</v>
      </c>
      <c r="L23">
        <v>80</v>
      </c>
      <c r="M23">
        <v>82</v>
      </c>
      <c r="N23">
        <v>24</v>
      </c>
      <c r="O23">
        <v>27</v>
      </c>
      <c r="Q23" s="1">
        <f t="shared" si="1"/>
        <v>0.19099890230515917</v>
      </c>
      <c r="R23" s="1">
        <f t="shared" si="1"/>
        <v>0.19978046103183314</v>
      </c>
      <c r="S23" s="1">
        <f t="shared" si="1"/>
        <v>3.4028540065861687E-2</v>
      </c>
      <c r="T23" s="1">
        <f t="shared" si="1"/>
        <v>4.0614709110867182E-2</v>
      </c>
      <c r="U23" s="1">
        <f t="shared" si="1"/>
        <v>0.11086717892425905</v>
      </c>
      <c r="V23" s="1">
        <f t="shared" si="1"/>
        <v>0.11525795828759605</v>
      </c>
      <c r="W23" s="1">
        <f t="shared" si="1"/>
        <v>3.2930845225027441E-2</v>
      </c>
      <c r="X23" s="1">
        <f t="shared" si="1"/>
        <v>3.8419319429198684E-2</v>
      </c>
      <c r="Y23" s="1">
        <f t="shared" si="1"/>
        <v>8.7815587266739853E-2</v>
      </c>
      <c r="Z23" s="1">
        <f t="shared" si="1"/>
        <v>9.0010976948408344E-2</v>
      </c>
      <c r="AA23" s="1">
        <f t="shared" si="1"/>
        <v>2.6344676180021953E-2</v>
      </c>
      <c r="AB23" s="1">
        <f t="shared" si="1"/>
        <v>2.9637760702524697E-2</v>
      </c>
      <c r="AC23" s="1"/>
    </row>
    <row r="24" spans="1:29">
      <c r="A24" s="8"/>
      <c r="B24" t="s">
        <v>25</v>
      </c>
      <c r="C24" s="4">
        <v>670</v>
      </c>
      <c r="D24" s="4">
        <v>113</v>
      </c>
      <c r="E24" s="4">
        <v>118</v>
      </c>
      <c r="F24" s="4">
        <v>31</v>
      </c>
      <c r="G24" s="4">
        <v>40</v>
      </c>
      <c r="H24" s="4">
        <v>100</v>
      </c>
      <c r="I24" s="4">
        <v>103</v>
      </c>
      <c r="J24" s="4">
        <v>35</v>
      </c>
      <c r="K24">
        <v>46</v>
      </c>
      <c r="L24">
        <v>92</v>
      </c>
      <c r="M24">
        <v>96</v>
      </c>
      <c r="N24">
        <v>24</v>
      </c>
      <c r="O24">
        <v>28</v>
      </c>
      <c r="Q24" s="1">
        <f t="shared" si="1"/>
        <v>0.16865671641791044</v>
      </c>
      <c r="R24" s="1">
        <f t="shared" si="1"/>
        <v>0.17611940298507461</v>
      </c>
      <c r="S24" s="1">
        <f t="shared" si="1"/>
        <v>4.6268656716417909E-2</v>
      </c>
      <c r="T24" s="1">
        <f t="shared" si="1"/>
        <v>5.9701492537313432E-2</v>
      </c>
      <c r="U24" s="1">
        <f t="shared" si="1"/>
        <v>0.14925373134328357</v>
      </c>
      <c r="V24" s="1">
        <f t="shared" si="1"/>
        <v>0.15373134328358209</v>
      </c>
      <c r="W24" s="1">
        <f t="shared" si="1"/>
        <v>5.2238805970149252E-2</v>
      </c>
      <c r="X24" s="1">
        <f t="shared" si="1"/>
        <v>6.8656716417910449E-2</v>
      </c>
      <c r="Y24" s="1">
        <f t="shared" si="1"/>
        <v>0.1373134328358209</v>
      </c>
      <c r="Z24" s="1">
        <f t="shared" si="1"/>
        <v>0.14328358208955225</v>
      </c>
      <c r="AA24" s="1">
        <f t="shared" si="1"/>
        <v>3.5820895522388062E-2</v>
      </c>
      <c r="AB24" s="1">
        <f t="shared" si="1"/>
        <v>4.1791044776119404E-2</v>
      </c>
      <c r="AC24" s="1"/>
    </row>
    <row r="25" spans="1:29">
      <c r="A25" s="8"/>
      <c r="B25" t="s">
        <v>26</v>
      </c>
      <c r="C25" s="4">
        <v>625</v>
      </c>
      <c r="D25" s="4">
        <v>114</v>
      </c>
      <c r="E25" s="4">
        <v>120</v>
      </c>
      <c r="F25" s="4">
        <v>20</v>
      </c>
      <c r="G25" s="4">
        <v>29</v>
      </c>
      <c r="H25" s="4">
        <v>96</v>
      </c>
      <c r="I25" s="4">
        <v>97</v>
      </c>
      <c r="J25" s="4">
        <v>25</v>
      </c>
      <c r="K25">
        <v>36</v>
      </c>
      <c r="L25">
        <v>62</v>
      </c>
      <c r="M25">
        <v>63</v>
      </c>
      <c r="N25">
        <v>22</v>
      </c>
      <c r="O25">
        <v>25</v>
      </c>
      <c r="Q25" s="1">
        <f t="shared" si="1"/>
        <v>0.18240000000000001</v>
      </c>
      <c r="R25" s="1">
        <f t="shared" si="1"/>
        <v>0.192</v>
      </c>
      <c r="S25" s="1">
        <f t="shared" si="1"/>
        <v>3.2000000000000001E-2</v>
      </c>
      <c r="T25" s="1">
        <f t="shared" si="1"/>
        <v>4.6399999999999997E-2</v>
      </c>
      <c r="U25" s="1">
        <f t="shared" si="1"/>
        <v>0.15359999999999999</v>
      </c>
      <c r="V25" s="1">
        <f t="shared" si="1"/>
        <v>0.1552</v>
      </c>
      <c r="W25" s="1">
        <f t="shared" si="1"/>
        <v>0.04</v>
      </c>
      <c r="X25" s="1">
        <f t="shared" si="1"/>
        <v>5.7599999999999998E-2</v>
      </c>
      <c r="Y25" s="1">
        <f t="shared" si="1"/>
        <v>9.9199999999999997E-2</v>
      </c>
      <c r="Z25" s="1">
        <f t="shared" si="1"/>
        <v>0.1008</v>
      </c>
      <c r="AA25" s="1">
        <f t="shared" si="1"/>
        <v>3.5200000000000002E-2</v>
      </c>
      <c r="AB25" s="1">
        <f t="shared" si="1"/>
        <v>0.04</v>
      </c>
      <c r="AC25" s="1"/>
    </row>
    <row r="26" spans="1:29">
      <c r="A26" s="8"/>
      <c r="B26" t="s">
        <v>27</v>
      </c>
      <c r="C26" s="4">
        <v>482</v>
      </c>
      <c r="D26" s="4">
        <v>96</v>
      </c>
      <c r="E26" s="4">
        <v>98</v>
      </c>
      <c r="F26" s="4">
        <v>24</v>
      </c>
      <c r="G26" s="4">
        <v>26</v>
      </c>
      <c r="H26" s="4">
        <v>62</v>
      </c>
      <c r="I26" s="4">
        <v>63</v>
      </c>
      <c r="J26" s="4">
        <v>28</v>
      </c>
      <c r="K26">
        <v>42</v>
      </c>
      <c r="L26">
        <v>43</v>
      </c>
      <c r="M26">
        <v>43</v>
      </c>
      <c r="N26">
        <v>17</v>
      </c>
      <c r="O26">
        <v>25</v>
      </c>
      <c r="Q26" s="1">
        <f t="shared" si="1"/>
        <v>0.19917012448132779</v>
      </c>
      <c r="R26" s="1">
        <f t="shared" si="1"/>
        <v>0.2033195020746888</v>
      </c>
      <c r="S26" s="1">
        <f t="shared" si="1"/>
        <v>4.9792531120331947E-2</v>
      </c>
      <c r="T26" s="1">
        <f t="shared" si="1"/>
        <v>5.3941908713692949E-2</v>
      </c>
      <c r="U26" s="1">
        <f t="shared" si="1"/>
        <v>0.12863070539419086</v>
      </c>
      <c r="V26" s="1">
        <f t="shared" si="1"/>
        <v>0.13070539419087138</v>
      </c>
      <c r="W26" s="1">
        <f t="shared" si="1"/>
        <v>5.8091286307053944E-2</v>
      </c>
      <c r="X26" s="1">
        <f t="shared" si="1"/>
        <v>8.7136929460580909E-2</v>
      </c>
      <c r="Y26" s="1">
        <f t="shared" si="1"/>
        <v>8.9211618257261413E-2</v>
      </c>
      <c r="Z26" s="1">
        <f t="shared" si="1"/>
        <v>8.9211618257261413E-2</v>
      </c>
      <c r="AA26" s="1">
        <f t="shared" si="1"/>
        <v>3.5269709543568464E-2</v>
      </c>
      <c r="AB26" s="1">
        <f t="shared" si="1"/>
        <v>5.1867219917012451E-2</v>
      </c>
      <c r="AC26" s="1"/>
    </row>
    <row r="27" spans="1:29">
      <c r="A27" s="8"/>
      <c r="B27" t="s">
        <v>28</v>
      </c>
      <c r="C27" s="4">
        <v>806</v>
      </c>
      <c r="D27" s="4">
        <v>149</v>
      </c>
      <c r="E27" s="4">
        <v>163</v>
      </c>
      <c r="F27" s="4">
        <v>28</v>
      </c>
      <c r="G27" s="4">
        <v>29</v>
      </c>
      <c r="H27" s="4">
        <v>110</v>
      </c>
      <c r="I27" s="4">
        <v>113</v>
      </c>
      <c r="J27" s="4">
        <v>24</v>
      </c>
      <c r="K27">
        <v>34</v>
      </c>
      <c r="L27">
        <v>96</v>
      </c>
      <c r="M27">
        <v>97</v>
      </c>
      <c r="N27">
        <v>34</v>
      </c>
      <c r="O27">
        <v>42</v>
      </c>
      <c r="Q27" s="1">
        <f t="shared" si="1"/>
        <v>0.18486352357320099</v>
      </c>
      <c r="R27" s="1">
        <f t="shared" si="1"/>
        <v>0.20223325062034739</v>
      </c>
      <c r="S27" s="1">
        <f t="shared" si="1"/>
        <v>3.4739454094292806E-2</v>
      </c>
      <c r="T27" s="1">
        <f t="shared" si="1"/>
        <v>3.5980148883374689E-2</v>
      </c>
      <c r="U27" s="1">
        <f t="shared" si="1"/>
        <v>0.13647642679900746</v>
      </c>
      <c r="V27" s="1">
        <f t="shared" si="1"/>
        <v>0.14019851116625309</v>
      </c>
      <c r="W27" s="1">
        <f t="shared" si="1"/>
        <v>2.9776674937965261E-2</v>
      </c>
      <c r="X27" s="1">
        <f t="shared" si="1"/>
        <v>4.2183622828784122E-2</v>
      </c>
      <c r="Y27" s="1">
        <f t="shared" si="1"/>
        <v>0.11910669975186104</v>
      </c>
      <c r="Z27" s="1">
        <f t="shared" si="1"/>
        <v>0.12034739454094293</v>
      </c>
      <c r="AA27" s="1">
        <f t="shared" si="1"/>
        <v>4.2183622828784122E-2</v>
      </c>
      <c r="AB27" s="1">
        <f t="shared" si="1"/>
        <v>5.2109181141439205E-2</v>
      </c>
      <c r="AC27" s="1"/>
    </row>
    <row r="28" spans="1:29">
      <c r="A28" s="8" t="s">
        <v>0</v>
      </c>
      <c r="B28" t="s">
        <v>29</v>
      </c>
      <c r="C28" s="4">
        <v>636</v>
      </c>
      <c r="D28" s="4">
        <v>94</v>
      </c>
      <c r="E28" s="4">
        <v>105</v>
      </c>
      <c r="F28" s="4">
        <v>21</v>
      </c>
      <c r="G28" s="4">
        <v>24</v>
      </c>
      <c r="H28" s="4">
        <v>88</v>
      </c>
      <c r="I28" s="4">
        <v>90</v>
      </c>
      <c r="J28" s="4">
        <v>40</v>
      </c>
      <c r="K28">
        <v>57</v>
      </c>
      <c r="L28">
        <v>60</v>
      </c>
      <c r="M28">
        <v>62</v>
      </c>
      <c r="N28">
        <v>39</v>
      </c>
      <c r="O28">
        <v>60</v>
      </c>
      <c r="Q28" s="1">
        <f t="shared" si="1"/>
        <v>0.14779874213836477</v>
      </c>
      <c r="R28" s="1">
        <f t="shared" si="1"/>
        <v>0.1650943396226415</v>
      </c>
      <c r="S28" s="1">
        <f t="shared" si="1"/>
        <v>3.3018867924528301E-2</v>
      </c>
      <c r="T28" s="1">
        <f t="shared" si="1"/>
        <v>3.7735849056603772E-2</v>
      </c>
      <c r="U28" s="1">
        <f t="shared" si="1"/>
        <v>0.13836477987421383</v>
      </c>
      <c r="V28" s="1">
        <f t="shared" si="1"/>
        <v>0.14150943396226415</v>
      </c>
      <c r="W28" s="1">
        <f t="shared" si="1"/>
        <v>6.2893081761006289E-2</v>
      </c>
      <c r="X28" s="1">
        <f t="shared" si="1"/>
        <v>8.9622641509433956E-2</v>
      </c>
      <c r="Y28" s="1">
        <f t="shared" si="1"/>
        <v>9.4339622641509441E-2</v>
      </c>
      <c r="Z28" s="1">
        <f t="shared" si="1"/>
        <v>9.7484276729559755E-2</v>
      </c>
      <c r="AA28" s="1">
        <f t="shared" si="1"/>
        <v>6.1320754716981132E-2</v>
      </c>
      <c r="AB28" s="1">
        <f t="shared" si="1"/>
        <v>9.4339622641509441E-2</v>
      </c>
      <c r="AC28" s="1"/>
    </row>
    <row r="29" spans="1:29">
      <c r="A29" s="8"/>
      <c r="B29" t="s">
        <v>30</v>
      </c>
      <c r="C29" s="4">
        <v>636</v>
      </c>
      <c r="D29" s="4">
        <v>141</v>
      </c>
      <c r="E29" s="4">
        <v>148</v>
      </c>
      <c r="F29" s="4">
        <v>34</v>
      </c>
      <c r="G29" s="4">
        <v>43</v>
      </c>
      <c r="H29" s="4">
        <v>109</v>
      </c>
      <c r="I29" s="4">
        <v>112</v>
      </c>
      <c r="J29" s="4">
        <v>26</v>
      </c>
      <c r="K29">
        <v>32</v>
      </c>
      <c r="L29">
        <v>63</v>
      </c>
      <c r="M29">
        <v>63</v>
      </c>
      <c r="N29">
        <v>12</v>
      </c>
      <c r="O29">
        <v>13</v>
      </c>
      <c r="Q29" s="1">
        <f t="shared" si="1"/>
        <v>0.22169811320754718</v>
      </c>
      <c r="R29" s="1">
        <f t="shared" si="1"/>
        <v>0.23270440251572327</v>
      </c>
      <c r="S29" s="1">
        <f t="shared" si="1"/>
        <v>5.3459119496855348E-2</v>
      </c>
      <c r="T29" s="1">
        <f t="shared" si="1"/>
        <v>6.761006289308176E-2</v>
      </c>
      <c r="U29" s="1">
        <f t="shared" si="1"/>
        <v>0.17138364779874213</v>
      </c>
      <c r="V29" s="1">
        <f t="shared" si="1"/>
        <v>0.1761006289308176</v>
      </c>
      <c r="W29" s="1">
        <f t="shared" si="1"/>
        <v>4.0880503144654086E-2</v>
      </c>
      <c r="X29" s="1">
        <f t="shared" si="1"/>
        <v>5.0314465408805034E-2</v>
      </c>
      <c r="Y29" s="1">
        <f t="shared" si="1"/>
        <v>9.9056603773584911E-2</v>
      </c>
      <c r="Z29" s="1">
        <f t="shared" si="1"/>
        <v>9.9056603773584911E-2</v>
      </c>
      <c r="AA29" s="1">
        <f t="shared" si="1"/>
        <v>1.8867924528301886E-2</v>
      </c>
      <c r="AB29" s="1">
        <f t="shared" si="1"/>
        <v>2.0440251572327043E-2</v>
      </c>
      <c r="AC29" s="1"/>
    </row>
    <row r="30" spans="1:29">
      <c r="A30" s="8"/>
      <c r="B30" t="s">
        <v>31</v>
      </c>
      <c r="C30" s="4">
        <v>636</v>
      </c>
      <c r="D30" s="4">
        <v>117</v>
      </c>
      <c r="E30" s="4">
        <v>122</v>
      </c>
      <c r="F30" s="4">
        <v>32</v>
      </c>
      <c r="G30" s="4">
        <v>37</v>
      </c>
      <c r="H30" s="4">
        <v>94</v>
      </c>
      <c r="I30" s="4">
        <v>97</v>
      </c>
      <c r="J30" s="4">
        <v>38</v>
      </c>
      <c r="K30">
        <v>53</v>
      </c>
      <c r="L30">
        <v>50</v>
      </c>
      <c r="M30">
        <v>51</v>
      </c>
      <c r="N30">
        <v>24</v>
      </c>
      <c r="O30">
        <v>31</v>
      </c>
      <c r="Q30" s="1">
        <f t="shared" si="1"/>
        <v>0.18396226415094338</v>
      </c>
      <c r="R30" s="1">
        <f t="shared" si="1"/>
        <v>0.1918238993710692</v>
      </c>
      <c r="S30" s="1">
        <f t="shared" si="1"/>
        <v>5.0314465408805034E-2</v>
      </c>
      <c r="T30" s="1">
        <f t="shared" si="1"/>
        <v>5.8176100628930819E-2</v>
      </c>
      <c r="U30" s="1">
        <f t="shared" si="1"/>
        <v>0.14779874213836477</v>
      </c>
      <c r="V30" s="1">
        <f t="shared" si="1"/>
        <v>0.15251572327044025</v>
      </c>
      <c r="W30" s="1">
        <f t="shared" si="1"/>
        <v>5.9748427672955975E-2</v>
      </c>
      <c r="X30" s="1">
        <f t="shared" si="1"/>
        <v>8.3333333333333329E-2</v>
      </c>
      <c r="Y30" s="1">
        <f t="shared" si="1"/>
        <v>7.8616352201257858E-2</v>
      </c>
      <c r="Z30" s="1">
        <f t="shared" si="1"/>
        <v>8.0188679245283015E-2</v>
      </c>
      <c r="AA30" s="1">
        <f t="shared" si="1"/>
        <v>3.7735849056603772E-2</v>
      </c>
      <c r="AB30" s="1">
        <f t="shared" si="1"/>
        <v>4.8742138364779877E-2</v>
      </c>
      <c r="AC30" s="1"/>
    </row>
    <row r="31" spans="1:29">
      <c r="A31" s="8"/>
      <c r="B31" t="s">
        <v>32</v>
      </c>
      <c r="C31" s="4">
        <v>636</v>
      </c>
      <c r="D31" s="4">
        <v>111</v>
      </c>
      <c r="E31" s="4">
        <v>120</v>
      </c>
      <c r="F31" s="4">
        <v>14</v>
      </c>
      <c r="G31" s="4">
        <v>15</v>
      </c>
      <c r="H31" s="4">
        <v>76</v>
      </c>
      <c r="I31" s="4">
        <v>84</v>
      </c>
      <c r="J31" s="4">
        <v>29</v>
      </c>
      <c r="K31">
        <v>42</v>
      </c>
      <c r="L31">
        <v>82</v>
      </c>
      <c r="M31">
        <v>83</v>
      </c>
      <c r="N31">
        <v>33</v>
      </c>
      <c r="O31">
        <v>44</v>
      </c>
      <c r="Q31" s="1">
        <f t="shared" si="1"/>
        <v>0.17452830188679244</v>
      </c>
      <c r="R31" s="1">
        <f t="shared" si="1"/>
        <v>0.18867924528301888</v>
      </c>
      <c r="S31" s="1">
        <f t="shared" si="1"/>
        <v>2.20125786163522E-2</v>
      </c>
      <c r="T31" s="1">
        <f t="shared" si="1"/>
        <v>2.358490566037736E-2</v>
      </c>
      <c r="U31" s="1">
        <f t="shared" si="1"/>
        <v>0.11949685534591195</v>
      </c>
      <c r="V31" s="1">
        <f t="shared" si="1"/>
        <v>0.13207547169811321</v>
      </c>
      <c r="W31" s="1">
        <f t="shared" si="1"/>
        <v>4.5597484276729557E-2</v>
      </c>
      <c r="X31" s="1">
        <f t="shared" si="1"/>
        <v>6.6037735849056603E-2</v>
      </c>
      <c r="Y31" s="1">
        <f t="shared" si="1"/>
        <v>0.12893081761006289</v>
      </c>
      <c r="Z31" s="1">
        <f t="shared" si="1"/>
        <v>0.13050314465408805</v>
      </c>
      <c r="AA31" s="1">
        <f t="shared" si="1"/>
        <v>5.1886792452830191E-2</v>
      </c>
      <c r="AB31" s="1">
        <f t="shared" si="1"/>
        <v>6.9182389937106917E-2</v>
      </c>
      <c r="AC31" s="1"/>
    </row>
    <row r="32" spans="1:29">
      <c r="A32" s="8"/>
      <c r="B32" t="s">
        <v>33</v>
      </c>
      <c r="C32" s="4">
        <v>636</v>
      </c>
      <c r="D32" s="4">
        <v>137</v>
      </c>
      <c r="E32" s="4">
        <v>151</v>
      </c>
      <c r="F32" s="4">
        <v>29</v>
      </c>
      <c r="G32" s="4">
        <v>36</v>
      </c>
      <c r="H32" s="4">
        <v>118</v>
      </c>
      <c r="I32" s="4">
        <v>122</v>
      </c>
      <c r="J32" s="4">
        <v>37</v>
      </c>
      <c r="K32">
        <v>45</v>
      </c>
      <c r="L32">
        <v>38</v>
      </c>
      <c r="M32">
        <v>40</v>
      </c>
      <c r="N32">
        <v>31</v>
      </c>
      <c r="O32">
        <v>41</v>
      </c>
      <c r="Q32" s="1">
        <f t="shared" si="1"/>
        <v>0.21540880503144655</v>
      </c>
      <c r="R32" s="1">
        <f t="shared" si="1"/>
        <v>0.23742138364779874</v>
      </c>
      <c r="S32" s="1">
        <f t="shared" si="1"/>
        <v>4.5597484276729557E-2</v>
      </c>
      <c r="T32" s="1">
        <f t="shared" si="1"/>
        <v>5.6603773584905662E-2</v>
      </c>
      <c r="U32" s="1">
        <f t="shared" si="1"/>
        <v>0.18553459119496854</v>
      </c>
      <c r="V32" s="1">
        <f t="shared" si="1"/>
        <v>0.1918238993710692</v>
      </c>
      <c r="W32" s="1">
        <f t="shared" si="1"/>
        <v>5.8176100628930819E-2</v>
      </c>
      <c r="X32" s="1">
        <f t="shared" si="1"/>
        <v>7.0754716981132074E-2</v>
      </c>
      <c r="Y32" s="1">
        <f t="shared" si="1"/>
        <v>5.9748427672955975E-2</v>
      </c>
      <c r="Z32" s="1">
        <f t="shared" si="1"/>
        <v>6.2893081761006289E-2</v>
      </c>
      <c r="AA32" s="1">
        <f t="shared" si="1"/>
        <v>4.8742138364779877E-2</v>
      </c>
      <c r="AB32" s="1">
        <f t="shared" si="1"/>
        <v>6.4465408805031446E-2</v>
      </c>
      <c r="AC32" s="1"/>
    </row>
    <row r="33" spans="1:29">
      <c r="A33" s="8"/>
      <c r="B33" t="s">
        <v>34</v>
      </c>
      <c r="C33" s="4">
        <v>563</v>
      </c>
      <c r="D33" s="4">
        <v>109</v>
      </c>
      <c r="E33" s="4">
        <v>118</v>
      </c>
      <c r="F33" s="4">
        <v>19</v>
      </c>
      <c r="G33" s="4">
        <v>23</v>
      </c>
      <c r="H33" s="4">
        <v>75</v>
      </c>
      <c r="I33" s="4">
        <v>79</v>
      </c>
      <c r="J33" s="4">
        <v>20</v>
      </c>
      <c r="K33">
        <v>23</v>
      </c>
      <c r="L33">
        <v>63</v>
      </c>
      <c r="M33">
        <v>64</v>
      </c>
      <c r="N33">
        <v>21</v>
      </c>
      <c r="O33">
        <v>25</v>
      </c>
      <c r="Q33" s="1">
        <f t="shared" si="1"/>
        <v>0.19360568383658969</v>
      </c>
      <c r="R33" s="1">
        <f t="shared" si="1"/>
        <v>0.20959147424511546</v>
      </c>
      <c r="S33" s="1">
        <f t="shared" si="1"/>
        <v>3.3747779751332148E-2</v>
      </c>
      <c r="T33" s="1">
        <f t="shared" si="1"/>
        <v>4.0852575488454709E-2</v>
      </c>
      <c r="U33" s="1">
        <f t="shared" si="1"/>
        <v>0.13321492007104796</v>
      </c>
      <c r="V33" s="1">
        <f t="shared" si="1"/>
        <v>0.14031971580817051</v>
      </c>
      <c r="W33" s="1">
        <f t="shared" si="1"/>
        <v>3.5523978685612786E-2</v>
      </c>
      <c r="X33" s="1">
        <f t="shared" si="1"/>
        <v>4.0852575488454709E-2</v>
      </c>
      <c r="Y33" s="1">
        <f t="shared" si="1"/>
        <v>0.11190053285968028</v>
      </c>
      <c r="Z33" s="1">
        <f t="shared" si="1"/>
        <v>0.11367673179396093</v>
      </c>
      <c r="AA33" s="1">
        <f t="shared" si="1"/>
        <v>3.7300177619893425E-2</v>
      </c>
      <c r="AB33" s="1">
        <f t="shared" si="1"/>
        <v>4.4404973357015987E-2</v>
      </c>
      <c r="AC33" s="1"/>
    </row>
    <row r="34" spans="1:29">
      <c r="A34" s="8"/>
      <c r="B34" t="s">
        <v>35</v>
      </c>
      <c r="C34" s="4">
        <v>154</v>
      </c>
      <c r="D34" s="4">
        <v>42</v>
      </c>
      <c r="E34" s="4">
        <v>48</v>
      </c>
      <c r="F34" s="4">
        <v>12</v>
      </c>
      <c r="G34" s="4">
        <v>17</v>
      </c>
      <c r="H34" s="4">
        <v>28</v>
      </c>
      <c r="I34" s="4">
        <v>30</v>
      </c>
      <c r="J34" s="4">
        <v>4</v>
      </c>
      <c r="K34">
        <v>4</v>
      </c>
      <c r="L34">
        <v>18</v>
      </c>
      <c r="M34">
        <v>19</v>
      </c>
      <c r="N34">
        <v>8</v>
      </c>
      <c r="O34">
        <v>10</v>
      </c>
      <c r="Q34" s="1">
        <f t="shared" si="1"/>
        <v>0.27272727272727271</v>
      </c>
      <c r="R34" s="1">
        <f t="shared" si="1"/>
        <v>0.31168831168831168</v>
      </c>
      <c r="S34" s="1">
        <f t="shared" si="1"/>
        <v>7.792207792207792E-2</v>
      </c>
      <c r="T34" s="1">
        <f t="shared" si="1"/>
        <v>0.11038961038961038</v>
      </c>
      <c r="U34" s="1">
        <f t="shared" si="1"/>
        <v>0.18181818181818182</v>
      </c>
      <c r="V34" s="1">
        <f t="shared" si="1"/>
        <v>0.19480519480519481</v>
      </c>
      <c r="W34" s="1">
        <f t="shared" si="1"/>
        <v>2.5974025974025976E-2</v>
      </c>
      <c r="X34" s="1">
        <f t="shared" si="1"/>
        <v>2.5974025974025976E-2</v>
      </c>
      <c r="Y34" s="1">
        <f t="shared" si="1"/>
        <v>0.11688311688311688</v>
      </c>
      <c r="Z34" s="1">
        <f t="shared" si="1"/>
        <v>0.12337662337662338</v>
      </c>
      <c r="AA34" s="1">
        <f t="shared" si="1"/>
        <v>5.1948051948051951E-2</v>
      </c>
      <c r="AB34" s="1">
        <f t="shared" si="1"/>
        <v>6.4935064935064929E-2</v>
      </c>
      <c r="AC34" s="1"/>
    </row>
    <row r="35" spans="1:29">
      <c r="A35" s="8"/>
      <c r="B35" t="s">
        <v>36</v>
      </c>
      <c r="C35" s="4">
        <v>636</v>
      </c>
      <c r="D35" s="4">
        <v>134</v>
      </c>
      <c r="E35" s="4">
        <v>141</v>
      </c>
      <c r="F35" s="4">
        <v>21</v>
      </c>
      <c r="G35" s="4">
        <v>24</v>
      </c>
      <c r="H35" s="4">
        <v>85</v>
      </c>
      <c r="I35" s="4">
        <v>86</v>
      </c>
      <c r="J35" s="4">
        <v>22</v>
      </c>
      <c r="K35">
        <v>26</v>
      </c>
      <c r="L35">
        <v>98</v>
      </c>
      <c r="M35">
        <v>101</v>
      </c>
      <c r="N35">
        <v>36</v>
      </c>
      <c r="O35">
        <v>48</v>
      </c>
      <c r="Q35" s="1">
        <f t="shared" si="1"/>
        <v>0.21069182389937108</v>
      </c>
      <c r="R35" s="1">
        <f t="shared" si="1"/>
        <v>0.22169811320754718</v>
      </c>
      <c r="S35" s="1">
        <f t="shared" si="1"/>
        <v>3.3018867924528301E-2</v>
      </c>
      <c r="T35" s="1">
        <f t="shared" si="1"/>
        <v>3.7735849056603772E-2</v>
      </c>
      <c r="U35" s="1">
        <f t="shared" si="1"/>
        <v>0.13364779874213836</v>
      </c>
      <c r="V35" s="1">
        <f t="shared" si="1"/>
        <v>0.13522012578616352</v>
      </c>
      <c r="W35" s="1">
        <f t="shared" si="1"/>
        <v>3.4591194968553458E-2</v>
      </c>
      <c r="X35" s="1">
        <f t="shared" si="1"/>
        <v>4.0880503144654086E-2</v>
      </c>
      <c r="Y35" s="1">
        <f t="shared" si="1"/>
        <v>0.1540880503144654</v>
      </c>
      <c r="Z35" s="1">
        <f t="shared" si="1"/>
        <v>0.15880503144654087</v>
      </c>
      <c r="AA35" s="1">
        <f t="shared" si="1"/>
        <v>5.6603773584905662E-2</v>
      </c>
      <c r="AB35" s="1">
        <f t="shared" si="1"/>
        <v>7.5471698113207544E-2</v>
      </c>
      <c r="AC35" s="1"/>
    </row>
    <row r="36" spans="1:29">
      <c r="A36" s="8"/>
      <c r="B36" t="s">
        <v>37</v>
      </c>
      <c r="C36" s="4">
        <v>636</v>
      </c>
      <c r="D36" s="4">
        <v>145</v>
      </c>
      <c r="E36" s="4">
        <v>158</v>
      </c>
      <c r="F36" s="4">
        <v>51</v>
      </c>
      <c r="G36" s="4">
        <v>57</v>
      </c>
      <c r="H36" s="4">
        <v>74</v>
      </c>
      <c r="I36" s="4">
        <v>78</v>
      </c>
      <c r="J36" s="4">
        <v>25</v>
      </c>
      <c r="K36">
        <v>36</v>
      </c>
      <c r="L36">
        <v>70</v>
      </c>
      <c r="M36">
        <v>72</v>
      </c>
      <c r="N36">
        <v>20</v>
      </c>
      <c r="O36">
        <v>26</v>
      </c>
      <c r="Q36" s="1">
        <f t="shared" si="1"/>
        <v>0.2279874213836478</v>
      </c>
      <c r="R36" s="1">
        <f t="shared" si="1"/>
        <v>0.24842767295597484</v>
      </c>
      <c r="S36" s="1">
        <f t="shared" si="1"/>
        <v>8.0188679245283015E-2</v>
      </c>
      <c r="T36" s="1">
        <f t="shared" si="1"/>
        <v>8.9622641509433956E-2</v>
      </c>
      <c r="U36" s="1">
        <f t="shared" si="1"/>
        <v>0.11635220125786164</v>
      </c>
      <c r="V36" s="1">
        <f t="shared" si="1"/>
        <v>0.12264150943396226</v>
      </c>
      <c r="W36" s="1">
        <f t="shared" si="1"/>
        <v>3.9308176100628929E-2</v>
      </c>
      <c r="X36" s="1">
        <f t="shared" si="1"/>
        <v>5.6603773584905662E-2</v>
      </c>
      <c r="Y36" s="1">
        <f t="shared" si="1"/>
        <v>0.11006289308176101</v>
      </c>
      <c r="Z36" s="1">
        <f t="shared" si="1"/>
        <v>0.11320754716981132</v>
      </c>
      <c r="AA36" s="1">
        <f t="shared" si="1"/>
        <v>3.1446540880503145E-2</v>
      </c>
      <c r="AB36" s="1">
        <f t="shared" si="1"/>
        <v>4.0880503144654086E-2</v>
      </c>
      <c r="AC36" s="1"/>
    </row>
    <row r="37" spans="1:29">
      <c r="A37" s="8" t="s">
        <v>1</v>
      </c>
      <c r="B37" t="s">
        <v>29</v>
      </c>
      <c r="C37" s="4">
        <v>636</v>
      </c>
      <c r="D37" s="4">
        <v>86</v>
      </c>
      <c r="E37" s="4">
        <v>96</v>
      </c>
      <c r="F37" s="4">
        <v>18</v>
      </c>
      <c r="G37" s="4">
        <v>21</v>
      </c>
      <c r="H37" s="4">
        <v>78</v>
      </c>
      <c r="I37" s="4">
        <v>81</v>
      </c>
      <c r="J37" s="4">
        <v>33</v>
      </c>
      <c r="K37">
        <v>42</v>
      </c>
      <c r="L37">
        <v>60</v>
      </c>
      <c r="M37">
        <v>63</v>
      </c>
      <c r="N37">
        <v>35</v>
      </c>
      <c r="O37">
        <v>47</v>
      </c>
      <c r="Q37" s="1">
        <f t="shared" si="1"/>
        <v>0.13522012578616352</v>
      </c>
      <c r="R37" s="1">
        <f t="shared" si="1"/>
        <v>0.15094339622641509</v>
      </c>
      <c r="S37" s="1">
        <f t="shared" si="1"/>
        <v>2.8301886792452831E-2</v>
      </c>
      <c r="T37" s="1">
        <f t="shared" si="1"/>
        <v>3.3018867924528301E-2</v>
      </c>
      <c r="U37" s="1">
        <f t="shared" si="1"/>
        <v>0.12264150943396226</v>
      </c>
      <c r="V37" s="1">
        <f t="shared" si="1"/>
        <v>0.12735849056603774</v>
      </c>
      <c r="W37" s="1">
        <f t="shared" si="1"/>
        <v>5.1886792452830191E-2</v>
      </c>
      <c r="X37" s="1">
        <f t="shared" si="1"/>
        <v>6.6037735849056603E-2</v>
      </c>
      <c r="Y37" s="1">
        <f t="shared" si="1"/>
        <v>9.4339622641509441E-2</v>
      </c>
      <c r="Z37" s="1">
        <f t="shared" si="1"/>
        <v>9.9056603773584911E-2</v>
      </c>
      <c r="AA37" s="1">
        <f t="shared" si="1"/>
        <v>5.5031446540880505E-2</v>
      </c>
      <c r="AB37" s="1">
        <f t="shared" si="1"/>
        <v>7.3899371069182387E-2</v>
      </c>
      <c r="AC37" s="1"/>
    </row>
    <row r="38" spans="1:29">
      <c r="A38" s="8"/>
      <c r="B38" t="s">
        <v>30</v>
      </c>
      <c r="C38" s="4">
        <v>636</v>
      </c>
      <c r="D38" s="4">
        <v>81</v>
      </c>
      <c r="E38" s="4">
        <v>87</v>
      </c>
      <c r="F38" s="4">
        <v>18</v>
      </c>
      <c r="G38" s="4">
        <v>25</v>
      </c>
      <c r="H38" s="4">
        <v>100</v>
      </c>
      <c r="I38" s="4">
        <v>103</v>
      </c>
      <c r="J38" s="4">
        <v>26</v>
      </c>
      <c r="K38">
        <v>30</v>
      </c>
      <c r="L38">
        <v>73</v>
      </c>
      <c r="M38">
        <v>74</v>
      </c>
      <c r="N38">
        <v>16</v>
      </c>
      <c r="O38">
        <v>16</v>
      </c>
      <c r="Q38" s="1">
        <f t="shared" si="1"/>
        <v>0.12735849056603774</v>
      </c>
      <c r="R38" s="1">
        <f t="shared" si="1"/>
        <v>0.13679245283018868</v>
      </c>
      <c r="S38" s="1">
        <f t="shared" si="1"/>
        <v>2.8301886792452831E-2</v>
      </c>
      <c r="T38" s="1">
        <f t="shared" si="1"/>
        <v>3.9308176100628929E-2</v>
      </c>
      <c r="U38" s="1">
        <f t="shared" si="1"/>
        <v>0.15723270440251572</v>
      </c>
      <c r="V38" s="1">
        <f t="shared" si="1"/>
        <v>0.16194968553459119</v>
      </c>
      <c r="W38" s="1">
        <f t="shared" si="1"/>
        <v>4.0880503144654086E-2</v>
      </c>
      <c r="X38" s="1">
        <f t="shared" si="1"/>
        <v>4.716981132075472E-2</v>
      </c>
      <c r="Y38" s="1">
        <f t="shared" si="1"/>
        <v>0.11477987421383648</v>
      </c>
      <c r="Z38" s="1">
        <f t="shared" si="1"/>
        <v>0.11635220125786164</v>
      </c>
      <c r="AA38" s="1">
        <f t="shared" si="1"/>
        <v>2.5157232704402517E-2</v>
      </c>
      <c r="AB38" s="1">
        <f t="shared" si="1"/>
        <v>2.5157232704402517E-2</v>
      </c>
      <c r="AC38" s="1"/>
    </row>
    <row r="39" spans="1:29">
      <c r="A39" s="8"/>
      <c r="B39" t="s">
        <v>31</v>
      </c>
      <c r="C39" s="4">
        <v>636</v>
      </c>
      <c r="D39" s="4">
        <v>86</v>
      </c>
      <c r="E39" s="4">
        <v>92</v>
      </c>
      <c r="F39" s="4">
        <v>24</v>
      </c>
      <c r="G39" s="4">
        <v>35</v>
      </c>
      <c r="H39" s="4">
        <v>83</v>
      </c>
      <c r="I39" s="4">
        <v>84</v>
      </c>
      <c r="J39" s="4">
        <v>30</v>
      </c>
      <c r="K39">
        <v>44</v>
      </c>
      <c r="L39">
        <v>62</v>
      </c>
      <c r="M39">
        <v>64</v>
      </c>
      <c r="N39">
        <v>18</v>
      </c>
      <c r="O39">
        <v>22</v>
      </c>
      <c r="Q39" s="1">
        <f t="shared" si="1"/>
        <v>0.13522012578616352</v>
      </c>
      <c r="R39" s="1">
        <f t="shared" si="1"/>
        <v>0.14465408805031446</v>
      </c>
      <c r="S39" s="1">
        <f t="shared" si="1"/>
        <v>3.7735849056603772E-2</v>
      </c>
      <c r="T39" s="1">
        <f t="shared" si="1"/>
        <v>5.5031446540880505E-2</v>
      </c>
      <c r="U39" s="1">
        <f t="shared" si="1"/>
        <v>0.13050314465408805</v>
      </c>
      <c r="V39" s="1">
        <f t="shared" si="1"/>
        <v>0.13207547169811321</v>
      </c>
      <c r="W39" s="1">
        <f t="shared" si="1"/>
        <v>4.716981132075472E-2</v>
      </c>
      <c r="X39" s="1">
        <f t="shared" si="1"/>
        <v>6.9182389937106917E-2</v>
      </c>
      <c r="Y39" s="1">
        <f t="shared" si="1"/>
        <v>9.7484276729559755E-2</v>
      </c>
      <c r="Z39" s="1">
        <f t="shared" si="1"/>
        <v>0.10062893081761007</v>
      </c>
      <c r="AA39" s="1">
        <f t="shared" si="1"/>
        <v>2.8301886792452831E-2</v>
      </c>
      <c r="AB39" s="1">
        <f t="shared" si="1"/>
        <v>3.4591194968553458E-2</v>
      </c>
      <c r="AC39" s="1"/>
    </row>
    <row r="40" spans="1:29">
      <c r="A40" s="8"/>
      <c r="B40" t="s">
        <v>32</v>
      </c>
      <c r="C40" s="4">
        <v>636</v>
      </c>
      <c r="D40" s="4">
        <v>92</v>
      </c>
      <c r="E40" s="4">
        <v>100</v>
      </c>
      <c r="F40" s="4">
        <v>15</v>
      </c>
      <c r="G40" s="4">
        <v>17</v>
      </c>
      <c r="H40" s="4">
        <v>79</v>
      </c>
      <c r="I40" s="4">
        <v>82</v>
      </c>
      <c r="J40" s="4">
        <v>29</v>
      </c>
      <c r="K40">
        <v>40</v>
      </c>
      <c r="L40">
        <v>71</v>
      </c>
      <c r="M40">
        <v>73</v>
      </c>
      <c r="N40">
        <v>34</v>
      </c>
      <c r="O40">
        <v>46</v>
      </c>
      <c r="Q40" s="1">
        <f t="shared" ref="Q40:AB103" si="2">D40/$C40</f>
        <v>0.14465408805031446</v>
      </c>
      <c r="R40" s="1">
        <f t="shared" si="2"/>
        <v>0.15723270440251572</v>
      </c>
      <c r="S40" s="1">
        <f t="shared" si="2"/>
        <v>2.358490566037736E-2</v>
      </c>
      <c r="T40" s="1">
        <f t="shared" si="2"/>
        <v>2.6729559748427674E-2</v>
      </c>
      <c r="U40" s="1">
        <f t="shared" si="2"/>
        <v>0.12421383647798742</v>
      </c>
      <c r="V40" s="1">
        <f t="shared" si="2"/>
        <v>0.12893081761006289</v>
      </c>
      <c r="W40" s="1">
        <f t="shared" si="2"/>
        <v>4.5597484276729557E-2</v>
      </c>
      <c r="X40" s="1">
        <f t="shared" si="2"/>
        <v>6.2893081761006289E-2</v>
      </c>
      <c r="Y40" s="1">
        <f t="shared" si="2"/>
        <v>0.11163522012578617</v>
      </c>
      <c r="Z40" s="1">
        <f t="shared" si="2"/>
        <v>0.11477987421383648</v>
      </c>
      <c r="AA40" s="1">
        <f t="shared" si="2"/>
        <v>5.3459119496855348E-2</v>
      </c>
      <c r="AB40" s="1">
        <f t="shared" si="2"/>
        <v>7.2327044025157231E-2</v>
      </c>
      <c r="AC40" s="1"/>
    </row>
    <row r="41" spans="1:29">
      <c r="A41" s="8"/>
      <c r="B41" t="s">
        <v>33</v>
      </c>
      <c r="C41" s="4">
        <v>636</v>
      </c>
      <c r="D41" s="4">
        <v>102</v>
      </c>
      <c r="E41" s="4">
        <v>116</v>
      </c>
      <c r="F41" s="4">
        <v>24</v>
      </c>
      <c r="G41" s="4">
        <v>28</v>
      </c>
      <c r="H41" s="4">
        <v>108</v>
      </c>
      <c r="I41" s="4">
        <v>114</v>
      </c>
      <c r="J41" s="4">
        <v>31</v>
      </c>
      <c r="K41">
        <v>38</v>
      </c>
      <c r="L41">
        <v>46</v>
      </c>
      <c r="M41">
        <v>47</v>
      </c>
      <c r="N41">
        <v>31</v>
      </c>
      <c r="O41">
        <v>38</v>
      </c>
      <c r="Q41" s="1">
        <f t="shared" si="2"/>
        <v>0.16037735849056603</v>
      </c>
      <c r="R41" s="1">
        <f t="shared" si="2"/>
        <v>0.18238993710691823</v>
      </c>
      <c r="S41" s="1">
        <f t="shared" si="2"/>
        <v>3.7735849056603772E-2</v>
      </c>
      <c r="T41" s="1">
        <f t="shared" si="2"/>
        <v>4.40251572327044E-2</v>
      </c>
      <c r="U41" s="1">
        <f t="shared" si="2"/>
        <v>0.16981132075471697</v>
      </c>
      <c r="V41" s="1">
        <f t="shared" si="2"/>
        <v>0.17924528301886791</v>
      </c>
      <c r="W41" s="1">
        <f t="shared" si="2"/>
        <v>4.8742138364779877E-2</v>
      </c>
      <c r="X41" s="1">
        <f t="shared" si="2"/>
        <v>5.9748427672955975E-2</v>
      </c>
      <c r="Y41" s="1">
        <f t="shared" si="2"/>
        <v>7.2327044025157231E-2</v>
      </c>
      <c r="Z41" s="1">
        <f t="shared" si="2"/>
        <v>7.3899371069182387E-2</v>
      </c>
      <c r="AA41" s="1">
        <f t="shared" si="2"/>
        <v>4.8742138364779877E-2</v>
      </c>
      <c r="AB41" s="1">
        <f t="shared" si="2"/>
        <v>5.9748427672955975E-2</v>
      </c>
      <c r="AC41" s="1"/>
    </row>
    <row r="42" spans="1:29">
      <c r="A42" s="8"/>
      <c r="B42" t="s">
        <v>34</v>
      </c>
      <c r="C42" s="4">
        <v>553</v>
      </c>
      <c r="D42" s="4">
        <v>75</v>
      </c>
      <c r="E42" s="4">
        <v>83</v>
      </c>
      <c r="F42" s="4">
        <v>10</v>
      </c>
      <c r="G42" s="4">
        <v>11</v>
      </c>
      <c r="H42" s="4">
        <v>78</v>
      </c>
      <c r="I42" s="4">
        <v>78</v>
      </c>
      <c r="J42" s="4">
        <v>21</v>
      </c>
      <c r="K42">
        <v>24</v>
      </c>
      <c r="L42">
        <v>57</v>
      </c>
      <c r="M42">
        <v>59</v>
      </c>
      <c r="N42">
        <v>16</v>
      </c>
      <c r="O42">
        <v>18</v>
      </c>
      <c r="Q42" s="1">
        <f t="shared" si="2"/>
        <v>0.13562386980108498</v>
      </c>
      <c r="R42" s="1">
        <f t="shared" si="2"/>
        <v>0.15009041591320071</v>
      </c>
      <c r="S42" s="1">
        <f t="shared" si="2"/>
        <v>1.8083182640144666E-2</v>
      </c>
      <c r="T42" s="1">
        <f t="shared" si="2"/>
        <v>1.9891500904159132E-2</v>
      </c>
      <c r="U42" s="1">
        <f t="shared" si="2"/>
        <v>0.1410488245931284</v>
      </c>
      <c r="V42" s="1">
        <f t="shared" si="2"/>
        <v>0.1410488245931284</v>
      </c>
      <c r="W42" s="1">
        <f t="shared" si="2"/>
        <v>3.7974683544303799E-2</v>
      </c>
      <c r="X42" s="1">
        <f t="shared" si="2"/>
        <v>4.3399638336347197E-2</v>
      </c>
      <c r="Y42" s="1">
        <f t="shared" si="2"/>
        <v>0.10307414104882459</v>
      </c>
      <c r="Z42" s="1">
        <f t="shared" si="2"/>
        <v>0.10669077757685352</v>
      </c>
      <c r="AA42" s="1">
        <f t="shared" si="2"/>
        <v>2.8933092224231464E-2</v>
      </c>
      <c r="AB42" s="1">
        <f t="shared" si="2"/>
        <v>3.25497287522604E-2</v>
      </c>
      <c r="AC42" s="1"/>
    </row>
    <row r="43" spans="1:29">
      <c r="A43" s="8"/>
      <c r="B43" t="s">
        <v>35</v>
      </c>
      <c r="C43" s="4">
        <v>152</v>
      </c>
      <c r="D43" s="4">
        <v>18</v>
      </c>
      <c r="E43" s="4">
        <v>18</v>
      </c>
      <c r="F43" s="4">
        <v>6</v>
      </c>
      <c r="G43" s="4">
        <v>9</v>
      </c>
      <c r="H43" s="4">
        <v>30</v>
      </c>
      <c r="I43" s="4">
        <v>31</v>
      </c>
      <c r="J43" s="4">
        <v>9</v>
      </c>
      <c r="K43">
        <v>10</v>
      </c>
      <c r="L43">
        <v>21</v>
      </c>
      <c r="M43">
        <v>21</v>
      </c>
      <c r="N43">
        <v>10</v>
      </c>
      <c r="O43">
        <v>11</v>
      </c>
      <c r="Q43" s="1">
        <f t="shared" si="2"/>
        <v>0.11842105263157894</v>
      </c>
      <c r="R43" s="1">
        <f t="shared" si="2"/>
        <v>0.11842105263157894</v>
      </c>
      <c r="S43" s="1">
        <f t="shared" si="2"/>
        <v>3.9473684210526314E-2</v>
      </c>
      <c r="T43" s="1">
        <f t="shared" si="2"/>
        <v>5.921052631578947E-2</v>
      </c>
      <c r="U43" s="1">
        <f t="shared" si="2"/>
        <v>0.19736842105263158</v>
      </c>
      <c r="V43" s="1">
        <f t="shared" si="2"/>
        <v>0.20394736842105263</v>
      </c>
      <c r="W43" s="1">
        <f t="shared" si="2"/>
        <v>5.921052631578947E-2</v>
      </c>
      <c r="X43" s="1">
        <f t="shared" si="2"/>
        <v>6.5789473684210523E-2</v>
      </c>
      <c r="Y43" s="1">
        <f t="shared" si="2"/>
        <v>0.13815789473684212</v>
      </c>
      <c r="Z43" s="1">
        <f t="shared" si="2"/>
        <v>0.13815789473684212</v>
      </c>
      <c r="AA43" s="1">
        <f t="shared" si="2"/>
        <v>6.5789473684210523E-2</v>
      </c>
      <c r="AB43" s="1">
        <f t="shared" si="2"/>
        <v>7.2368421052631582E-2</v>
      </c>
      <c r="AC43" s="1"/>
    </row>
    <row r="44" spans="1:29">
      <c r="A44" s="8"/>
      <c r="B44" t="s">
        <v>36</v>
      </c>
      <c r="C44" s="4">
        <v>636</v>
      </c>
      <c r="D44" s="4">
        <v>81</v>
      </c>
      <c r="E44" s="4">
        <v>90</v>
      </c>
      <c r="F44" s="4">
        <v>20</v>
      </c>
      <c r="G44" s="4">
        <v>20</v>
      </c>
      <c r="H44" s="4">
        <v>97</v>
      </c>
      <c r="I44" s="4">
        <v>101</v>
      </c>
      <c r="J44" s="4">
        <v>30</v>
      </c>
      <c r="K44">
        <v>43</v>
      </c>
      <c r="L44">
        <v>79</v>
      </c>
      <c r="M44">
        <v>80</v>
      </c>
      <c r="N44">
        <v>31</v>
      </c>
      <c r="O44">
        <v>42</v>
      </c>
      <c r="Q44" s="1">
        <f t="shared" si="2"/>
        <v>0.12735849056603774</v>
      </c>
      <c r="R44" s="1">
        <f t="shared" si="2"/>
        <v>0.14150943396226415</v>
      </c>
      <c r="S44" s="1">
        <f t="shared" si="2"/>
        <v>3.1446540880503145E-2</v>
      </c>
      <c r="T44" s="1">
        <f t="shared" si="2"/>
        <v>3.1446540880503145E-2</v>
      </c>
      <c r="U44" s="1">
        <f t="shared" si="2"/>
        <v>0.15251572327044025</v>
      </c>
      <c r="V44" s="1">
        <f t="shared" si="2"/>
        <v>0.15880503144654087</v>
      </c>
      <c r="W44" s="1">
        <f t="shared" si="2"/>
        <v>4.716981132075472E-2</v>
      </c>
      <c r="X44" s="1">
        <f t="shared" si="2"/>
        <v>6.761006289308176E-2</v>
      </c>
      <c r="Y44" s="1">
        <f t="shared" si="2"/>
        <v>0.12421383647798742</v>
      </c>
      <c r="Z44" s="1">
        <f t="shared" si="2"/>
        <v>0.12578616352201258</v>
      </c>
      <c r="AA44" s="1">
        <f t="shared" si="2"/>
        <v>4.8742138364779877E-2</v>
      </c>
      <c r="AB44" s="1">
        <f t="shared" si="2"/>
        <v>6.6037735849056603E-2</v>
      </c>
      <c r="AC44" s="1"/>
    </row>
    <row r="45" spans="1:29">
      <c r="A45" s="8"/>
      <c r="B45" t="s">
        <v>37</v>
      </c>
      <c r="C45" s="4">
        <v>636</v>
      </c>
      <c r="D45" s="4">
        <v>112</v>
      </c>
      <c r="E45" s="4">
        <v>129</v>
      </c>
      <c r="F45" s="4">
        <v>30</v>
      </c>
      <c r="G45" s="4">
        <v>40</v>
      </c>
      <c r="H45" s="4">
        <v>87</v>
      </c>
      <c r="I45" s="4">
        <v>88</v>
      </c>
      <c r="J45" s="4">
        <v>33</v>
      </c>
      <c r="K45">
        <v>45</v>
      </c>
      <c r="L45">
        <v>64</v>
      </c>
      <c r="M45">
        <v>66</v>
      </c>
      <c r="N45">
        <v>22</v>
      </c>
      <c r="O45">
        <v>28</v>
      </c>
      <c r="Q45" s="1">
        <f t="shared" si="2"/>
        <v>0.1761006289308176</v>
      </c>
      <c r="R45" s="1">
        <f t="shared" si="2"/>
        <v>0.20283018867924529</v>
      </c>
      <c r="S45" s="1">
        <f t="shared" si="2"/>
        <v>4.716981132075472E-2</v>
      </c>
      <c r="T45" s="1">
        <f t="shared" si="2"/>
        <v>6.2893081761006289E-2</v>
      </c>
      <c r="U45" s="1">
        <f t="shared" si="2"/>
        <v>0.13679245283018868</v>
      </c>
      <c r="V45" s="1">
        <f t="shared" si="2"/>
        <v>0.13836477987421383</v>
      </c>
      <c r="W45" s="1">
        <f t="shared" si="2"/>
        <v>5.1886792452830191E-2</v>
      </c>
      <c r="X45" s="1">
        <f t="shared" si="2"/>
        <v>7.0754716981132074E-2</v>
      </c>
      <c r="Y45" s="1">
        <f t="shared" si="2"/>
        <v>0.10062893081761007</v>
      </c>
      <c r="Z45" s="1">
        <f t="shared" si="2"/>
        <v>0.10377358490566038</v>
      </c>
      <c r="AA45" s="1">
        <f t="shared" si="2"/>
        <v>3.4591194968553458E-2</v>
      </c>
      <c r="AB45" s="1">
        <f t="shared" si="2"/>
        <v>4.40251572327044E-2</v>
      </c>
      <c r="AC45" s="1"/>
    </row>
    <row r="46" spans="1:29">
      <c r="A46" s="8" t="s">
        <v>61</v>
      </c>
      <c r="B46" t="s">
        <v>38</v>
      </c>
      <c r="C46" s="4">
        <v>662</v>
      </c>
      <c r="D46" s="4">
        <v>72</v>
      </c>
      <c r="E46" s="4">
        <v>78</v>
      </c>
      <c r="F46" s="4">
        <v>13</v>
      </c>
      <c r="G46" s="4">
        <v>16</v>
      </c>
      <c r="H46" s="4">
        <v>98</v>
      </c>
      <c r="I46" s="4">
        <v>100</v>
      </c>
      <c r="J46" s="4">
        <v>30</v>
      </c>
      <c r="K46">
        <v>37</v>
      </c>
      <c r="L46">
        <v>53</v>
      </c>
      <c r="M46">
        <v>55</v>
      </c>
      <c r="N46">
        <v>28</v>
      </c>
      <c r="O46">
        <v>40</v>
      </c>
      <c r="Q46" s="1">
        <f t="shared" si="2"/>
        <v>0.10876132930513595</v>
      </c>
      <c r="R46" s="1">
        <f t="shared" si="2"/>
        <v>0.11782477341389729</v>
      </c>
      <c r="S46" s="1">
        <f t="shared" si="2"/>
        <v>1.9637462235649546E-2</v>
      </c>
      <c r="T46" s="1">
        <f t="shared" si="2"/>
        <v>2.4169184290030211E-2</v>
      </c>
      <c r="U46" s="1">
        <f t="shared" si="2"/>
        <v>0.14803625377643503</v>
      </c>
      <c r="V46" s="1">
        <f t="shared" si="2"/>
        <v>0.15105740181268881</v>
      </c>
      <c r="W46" s="1">
        <f t="shared" si="2"/>
        <v>4.5317220543806644E-2</v>
      </c>
      <c r="X46" s="1">
        <f t="shared" si="2"/>
        <v>5.5891238670694864E-2</v>
      </c>
      <c r="Y46" s="1">
        <f t="shared" si="2"/>
        <v>8.0060422960725075E-2</v>
      </c>
      <c r="Z46" s="1">
        <f t="shared" si="2"/>
        <v>8.3081570996978854E-2</v>
      </c>
      <c r="AA46" s="1">
        <f t="shared" si="2"/>
        <v>4.2296072507552872E-2</v>
      </c>
      <c r="AB46" s="1">
        <f t="shared" si="2"/>
        <v>6.0422960725075532E-2</v>
      </c>
      <c r="AC46" s="1"/>
    </row>
    <row r="47" spans="1:29">
      <c r="A47" s="8"/>
      <c r="B47" t="s">
        <v>39</v>
      </c>
      <c r="C47" s="4">
        <v>668</v>
      </c>
      <c r="D47" s="4">
        <v>102</v>
      </c>
      <c r="E47" s="4">
        <v>105</v>
      </c>
      <c r="F47" s="4">
        <v>18</v>
      </c>
      <c r="G47" s="4">
        <v>21</v>
      </c>
      <c r="H47" s="4">
        <v>100</v>
      </c>
      <c r="I47" s="4">
        <v>101</v>
      </c>
      <c r="J47" s="4">
        <v>28</v>
      </c>
      <c r="K47">
        <v>31</v>
      </c>
      <c r="L47">
        <v>39</v>
      </c>
      <c r="M47">
        <v>40</v>
      </c>
      <c r="N47">
        <v>15</v>
      </c>
      <c r="O47">
        <v>16</v>
      </c>
      <c r="Q47" s="1">
        <f t="shared" si="2"/>
        <v>0.15269461077844312</v>
      </c>
      <c r="R47" s="1">
        <f t="shared" si="2"/>
        <v>0.15718562874251496</v>
      </c>
      <c r="S47" s="1">
        <f t="shared" si="2"/>
        <v>2.6946107784431138E-2</v>
      </c>
      <c r="T47" s="1">
        <f t="shared" si="2"/>
        <v>3.1437125748502992E-2</v>
      </c>
      <c r="U47" s="1">
        <f t="shared" si="2"/>
        <v>0.1497005988023952</v>
      </c>
      <c r="V47" s="1">
        <f t="shared" si="2"/>
        <v>0.15119760479041916</v>
      </c>
      <c r="W47" s="1">
        <f t="shared" si="2"/>
        <v>4.1916167664670656E-2</v>
      </c>
      <c r="X47" s="1">
        <f t="shared" si="2"/>
        <v>4.6407185628742513E-2</v>
      </c>
      <c r="Y47" s="1">
        <f t="shared" si="2"/>
        <v>5.8383233532934134E-2</v>
      </c>
      <c r="Z47" s="1">
        <f t="shared" si="2"/>
        <v>5.9880239520958084E-2</v>
      </c>
      <c r="AA47" s="1">
        <f t="shared" si="2"/>
        <v>2.2455089820359281E-2</v>
      </c>
      <c r="AB47" s="1">
        <f t="shared" si="2"/>
        <v>2.3952095808383235E-2</v>
      </c>
      <c r="AC47" s="1"/>
    </row>
    <row r="48" spans="1:29">
      <c r="A48" s="8"/>
      <c r="B48" t="s">
        <v>40</v>
      </c>
      <c r="C48" s="4">
        <v>889</v>
      </c>
      <c r="D48" s="4">
        <v>137</v>
      </c>
      <c r="E48" s="4">
        <v>143</v>
      </c>
      <c r="F48" s="4">
        <v>29</v>
      </c>
      <c r="G48" s="4">
        <v>32</v>
      </c>
      <c r="H48" s="4">
        <v>100</v>
      </c>
      <c r="I48" s="4">
        <v>103</v>
      </c>
      <c r="J48" s="4">
        <v>25</v>
      </c>
      <c r="K48">
        <v>35</v>
      </c>
      <c r="L48">
        <v>116</v>
      </c>
      <c r="M48">
        <v>120</v>
      </c>
      <c r="N48">
        <v>36</v>
      </c>
      <c r="O48">
        <v>45</v>
      </c>
      <c r="Q48" s="1">
        <f t="shared" si="2"/>
        <v>0.15410573678290213</v>
      </c>
      <c r="R48" s="1">
        <f t="shared" si="2"/>
        <v>0.16085489313835771</v>
      </c>
      <c r="S48" s="1">
        <f t="shared" si="2"/>
        <v>3.2620922384701913E-2</v>
      </c>
      <c r="T48" s="1">
        <f t="shared" si="2"/>
        <v>3.59955005624297E-2</v>
      </c>
      <c r="U48" s="1">
        <f t="shared" si="2"/>
        <v>0.1124859392575928</v>
      </c>
      <c r="V48" s="1">
        <f t="shared" si="2"/>
        <v>0.11586051743532058</v>
      </c>
      <c r="W48" s="1">
        <f t="shared" si="2"/>
        <v>2.81214848143982E-2</v>
      </c>
      <c r="X48" s="1">
        <f t="shared" si="2"/>
        <v>3.937007874015748E-2</v>
      </c>
      <c r="Y48" s="1">
        <f t="shared" si="2"/>
        <v>0.13048368953880765</v>
      </c>
      <c r="Z48" s="1">
        <f t="shared" si="2"/>
        <v>0.13498312710911137</v>
      </c>
      <c r="AA48" s="1">
        <f t="shared" si="2"/>
        <v>4.0494938132733409E-2</v>
      </c>
      <c r="AB48" s="1">
        <f t="shared" si="2"/>
        <v>5.0618672665916763E-2</v>
      </c>
      <c r="AC48" s="1"/>
    </row>
    <row r="49" spans="1:29">
      <c r="A49" s="8"/>
      <c r="B49" t="s">
        <v>41</v>
      </c>
      <c r="C49" s="4">
        <v>504</v>
      </c>
      <c r="D49" s="4">
        <v>63</v>
      </c>
      <c r="E49" s="4">
        <v>66</v>
      </c>
      <c r="F49" s="4">
        <v>10</v>
      </c>
      <c r="G49" s="4">
        <v>12</v>
      </c>
      <c r="H49" s="4">
        <v>47</v>
      </c>
      <c r="I49" s="4">
        <v>47</v>
      </c>
      <c r="J49" s="4">
        <v>19</v>
      </c>
      <c r="K49">
        <v>27</v>
      </c>
      <c r="L49">
        <v>46</v>
      </c>
      <c r="M49">
        <v>46</v>
      </c>
      <c r="N49">
        <v>17</v>
      </c>
      <c r="O49">
        <v>25</v>
      </c>
      <c r="Q49" s="1">
        <f t="shared" si="2"/>
        <v>0.125</v>
      </c>
      <c r="R49" s="1">
        <f t="shared" si="2"/>
        <v>0.13095238095238096</v>
      </c>
      <c r="S49" s="1">
        <f t="shared" si="2"/>
        <v>1.984126984126984E-2</v>
      </c>
      <c r="T49" s="1">
        <f t="shared" si="2"/>
        <v>2.3809523809523808E-2</v>
      </c>
      <c r="U49" s="1">
        <f t="shared" si="2"/>
        <v>9.3253968253968256E-2</v>
      </c>
      <c r="V49" s="1">
        <f t="shared" si="2"/>
        <v>9.3253968253968256E-2</v>
      </c>
      <c r="W49" s="1">
        <f t="shared" si="2"/>
        <v>3.7698412698412696E-2</v>
      </c>
      <c r="X49" s="1">
        <f t="shared" si="2"/>
        <v>5.3571428571428568E-2</v>
      </c>
      <c r="Y49" s="1">
        <f t="shared" si="2"/>
        <v>9.1269841269841265E-2</v>
      </c>
      <c r="Z49" s="1">
        <f t="shared" si="2"/>
        <v>9.1269841269841265E-2</v>
      </c>
      <c r="AA49" s="1">
        <f t="shared" si="2"/>
        <v>3.3730158730158728E-2</v>
      </c>
      <c r="AB49" s="1">
        <f t="shared" si="2"/>
        <v>4.96031746031746E-2</v>
      </c>
      <c r="AC49" s="1"/>
    </row>
    <row r="50" spans="1:29">
      <c r="A50" s="8"/>
      <c r="B50" t="s">
        <v>42</v>
      </c>
      <c r="C50" s="4">
        <v>201</v>
      </c>
      <c r="D50" s="4">
        <v>28</v>
      </c>
      <c r="E50" s="4">
        <v>30</v>
      </c>
      <c r="F50" s="4">
        <v>6</v>
      </c>
      <c r="G50" s="4">
        <v>8</v>
      </c>
      <c r="H50" s="4">
        <v>32</v>
      </c>
      <c r="I50" s="4">
        <v>35</v>
      </c>
      <c r="J50" s="4">
        <v>12</v>
      </c>
      <c r="K50">
        <v>17</v>
      </c>
      <c r="L50">
        <v>14</v>
      </c>
      <c r="M50">
        <v>14</v>
      </c>
      <c r="N50">
        <v>4</v>
      </c>
      <c r="O50">
        <v>4</v>
      </c>
      <c r="Q50" s="1">
        <f t="shared" si="2"/>
        <v>0.13930348258706468</v>
      </c>
      <c r="R50" s="1">
        <f t="shared" si="2"/>
        <v>0.14925373134328357</v>
      </c>
      <c r="S50" s="1">
        <f t="shared" si="2"/>
        <v>2.9850746268656716E-2</v>
      </c>
      <c r="T50" s="1">
        <f t="shared" si="2"/>
        <v>3.9800995024875621E-2</v>
      </c>
      <c r="U50" s="1">
        <f t="shared" si="2"/>
        <v>0.15920398009950248</v>
      </c>
      <c r="V50" s="1">
        <f t="shared" si="2"/>
        <v>0.17412935323383086</v>
      </c>
      <c r="W50" s="1">
        <f t="shared" si="2"/>
        <v>5.9701492537313432E-2</v>
      </c>
      <c r="X50" s="1">
        <f t="shared" si="2"/>
        <v>8.45771144278607E-2</v>
      </c>
      <c r="Y50" s="1">
        <f t="shared" si="2"/>
        <v>6.965174129353234E-2</v>
      </c>
      <c r="Z50" s="1">
        <f t="shared" si="2"/>
        <v>6.965174129353234E-2</v>
      </c>
      <c r="AA50" s="1">
        <f t="shared" si="2"/>
        <v>1.9900497512437811E-2</v>
      </c>
      <c r="AB50" s="1">
        <f t="shared" si="2"/>
        <v>1.9900497512437811E-2</v>
      </c>
      <c r="AC50" s="1"/>
    </row>
    <row r="51" spans="1:29">
      <c r="A51" s="8"/>
      <c r="B51" t="s">
        <v>43</v>
      </c>
      <c r="C51" s="4">
        <v>900</v>
      </c>
      <c r="D51" s="4">
        <v>152</v>
      </c>
      <c r="E51" s="4">
        <v>161</v>
      </c>
      <c r="F51" s="4">
        <v>24</v>
      </c>
      <c r="G51" s="4">
        <v>29</v>
      </c>
      <c r="H51" s="4">
        <v>144</v>
      </c>
      <c r="I51" s="4">
        <v>151</v>
      </c>
      <c r="J51" s="4">
        <v>45</v>
      </c>
      <c r="K51">
        <v>55</v>
      </c>
      <c r="L51">
        <v>83</v>
      </c>
      <c r="M51">
        <v>83</v>
      </c>
      <c r="N51">
        <v>43</v>
      </c>
      <c r="O51">
        <v>50</v>
      </c>
      <c r="Q51" s="1">
        <f t="shared" si="2"/>
        <v>0.16888888888888889</v>
      </c>
      <c r="R51" s="1">
        <f t="shared" si="2"/>
        <v>0.17888888888888888</v>
      </c>
      <c r="S51" s="1">
        <f t="shared" si="2"/>
        <v>2.6666666666666668E-2</v>
      </c>
      <c r="T51" s="1">
        <f t="shared" si="2"/>
        <v>3.2222222222222222E-2</v>
      </c>
      <c r="U51" s="1">
        <f t="shared" si="2"/>
        <v>0.16</v>
      </c>
      <c r="V51" s="1">
        <f t="shared" si="2"/>
        <v>0.16777777777777778</v>
      </c>
      <c r="W51" s="1">
        <f t="shared" si="2"/>
        <v>0.05</v>
      </c>
      <c r="X51" s="1">
        <f t="shared" si="2"/>
        <v>6.1111111111111109E-2</v>
      </c>
      <c r="Y51" s="1">
        <f t="shared" si="2"/>
        <v>9.2222222222222219E-2</v>
      </c>
      <c r="Z51" s="1">
        <f t="shared" si="2"/>
        <v>9.2222222222222219E-2</v>
      </c>
      <c r="AA51" s="1">
        <f t="shared" si="2"/>
        <v>4.777777777777778E-2</v>
      </c>
      <c r="AB51" s="1">
        <f t="shared" si="2"/>
        <v>5.5555555555555552E-2</v>
      </c>
      <c r="AC51" s="1"/>
    </row>
    <row r="52" spans="1:29">
      <c r="A52" s="8"/>
      <c r="B52" t="s">
        <v>44</v>
      </c>
      <c r="C52" s="4">
        <v>672</v>
      </c>
      <c r="D52" s="4">
        <v>109</v>
      </c>
      <c r="E52" s="4">
        <v>114</v>
      </c>
      <c r="F52" s="4">
        <v>12</v>
      </c>
      <c r="G52" s="4">
        <v>13</v>
      </c>
      <c r="H52" s="4">
        <v>103</v>
      </c>
      <c r="I52" s="4">
        <v>109</v>
      </c>
      <c r="J52" s="4">
        <v>27</v>
      </c>
      <c r="K52">
        <v>31</v>
      </c>
      <c r="L52">
        <v>114</v>
      </c>
      <c r="M52">
        <v>120</v>
      </c>
      <c r="N52">
        <v>22</v>
      </c>
      <c r="O52">
        <v>27</v>
      </c>
      <c r="Q52" s="1">
        <f t="shared" si="2"/>
        <v>0.16220238095238096</v>
      </c>
      <c r="R52" s="1">
        <f t="shared" si="2"/>
        <v>0.16964285714285715</v>
      </c>
      <c r="S52" s="1">
        <f t="shared" si="2"/>
        <v>1.7857142857142856E-2</v>
      </c>
      <c r="T52" s="1">
        <f t="shared" si="2"/>
        <v>1.9345238095238096E-2</v>
      </c>
      <c r="U52" s="1">
        <f t="shared" si="2"/>
        <v>0.15327380952380953</v>
      </c>
      <c r="V52" s="1">
        <f t="shared" si="2"/>
        <v>0.16220238095238096</v>
      </c>
      <c r="W52" s="1">
        <f t="shared" si="2"/>
        <v>4.0178571428571432E-2</v>
      </c>
      <c r="X52" s="1">
        <f t="shared" si="2"/>
        <v>4.6130952380952384E-2</v>
      </c>
      <c r="Y52" s="1">
        <f t="shared" si="2"/>
        <v>0.16964285714285715</v>
      </c>
      <c r="Z52" s="1">
        <f t="shared" si="2"/>
        <v>0.17857142857142858</v>
      </c>
      <c r="AA52" s="1">
        <f t="shared" si="2"/>
        <v>3.273809523809524E-2</v>
      </c>
      <c r="AB52" s="1">
        <f t="shared" si="2"/>
        <v>4.0178571428571432E-2</v>
      </c>
      <c r="AC52" s="1"/>
    </row>
    <row r="53" spans="1:29">
      <c r="A53" s="8"/>
      <c r="B53" t="s">
        <v>45</v>
      </c>
      <c r="C53" s="4">
        <v>421</v>
      </c>
      <c r="D53" s="4">
        <v>12</v>
      </c>
      <c r="E53" s="4">
        <v>12</v>
      </c>
      <c r="F53" s="4">
        <v>3</v>
      </c>
      <c r="G53" s="4">
        <v>3</v>
      </c>
      <c r="H53" s="4">
        <v>48</v>
      </c>
      <c r="I53" s="4">
        <v>49</v>
      </c>
      <c r="J53" s="4">
        <v>20</v>
      </c>
      <c r="K53">
        <v>26</v>
      </c>
      <c r="L53">
        <v>36</v>
      </c>
      <c r="M53">
        <v>36</v>
      </c>
      <c r="N53">
        <v>16</v>
      </c>
      <c r="O53">
        <v>18</v>
      </c>
      <c r="Q53" s="1">
        <f t="shared" si="2"/>
        <v>2.8503562945368172E-2</v>
      </c>
      <c r="R53" s="1">
        <f t="shared" si="2"/>
        <v>2.8503562945368172E-2</v>
      </c>
      <c r="S53" s="1">
        <f t="shared" si="2"/>
        <v>7.1258907363420431E-3</v>
      </c>
      <c r="T53" s="1">
        <f t="shared" si="2"/>
        <v>7.1258907363420431E-3</v>
      </c>
      <c r="U53" s="1">
        <f t="shared" si="2"/>
        <v>0.11401425178147269</v>
      </c>
      <c r="V53" s="1">
        <f t="shared" si="2"/>
        <v>0.1163895486935867</v>
      </c>
      <c r="W53" s="1">
        <f t="shared" si="2"/>
        <v>4.7505938242280284E-2</v>
      </c>
      <c r="X53" s="1">
        <f t="shared" si="2"/>
        <v>6.1757719714964368E-2</v>
      </c>
      <c r="Y53" s="1">
        <f t="shared" si="2"/>
        <v>8.5510688836104506E-2</v>
      </c>
      <c r="Z53" s="1">
        <f t="shared" si="2"/>
        <v>8.5510688836104506E-2</v>
      </c>
      <c r="AA53" s="1">
        <f t="shared" si="2"/>
        <v>3.800475059382423E-2</v>
      </c>
      <c r="AB53" s="1">
        <f t="shared" si="2"/>
        <v>4.2755344418052253E-2</v>
      </c>
      <c r="AC53" s="1"/>
    </row>
    <row r="54" spans="1:29">
      <c r="A54" s="8" t="s">
        <v>62</v>
      </c>
      <c r="B54" t="s">
        <v>46</v>
      </c>
      <c r="C54" s="4">
        <v>651</v>
      </c>
      <c r="D54" s="4">
        <v>75</v>
      </c>
      <c r="E54" s="4">
        <v>83</v>
      </c>
      <c r="F54" s="4">
        <v>12</v>
      </c>
      <c r="G54" s="4">
        <v>14</v>
      </c>
      <c r="H54" s="4">
        <v>84</v>
      </c>
      <c r="I54" s="4">
        <v>86</v>
      </c>
      <c r="J54" s="4">
        <v>27</v>
      </c>
      <c r="K54">
        <v>38</v>
      </c>
      <c r="L54">
        <v>80</v>
      </c>
      <c r="M54">
        <v>82</v>
      </c>
      <c r="N54">
        <v>25</v>
      </c>
      <c r="O54">
        <v>40</v>
      </c>
      <c r="Q54" s="1">
        <f t="shared" si="2"/>
        <v>0.1152073732718894</v>
      </c>
      <c r="R54" s="1">
        <f t="shared" si="2"/>
        <v>0.12749615975422426</v>
      </c>
      <c r="S54" s="1">
        <f t="shared" si="2"/>
        <v>1.8433179723502304E-2</v>
      </c>
      <c r="T54" s="1">
        <f t="shared" si="2"/>
        <v>2.1505376344086023E-2</v>
      </c>
      <c r="U54" s="1">
        <f t="shared" si="2"/>
        <v>0.12903225806451613</v>
      </c>
      <c r="V54" s="1">
        <f t="shared" si="2"/>
        <v>0.13210445468509985</v>
      </c>
      <c r="W54" s="1">
        <f t="shared" si="2"/>
        <v>4.1474654377880185E-2</v>
      </c>
      <c r="X54" s="1">
        <f t="shared" si="2"/>
        <v>5.8371735791090631E-2</v>
      </c>
      <c r="Y54" s="1">
        <f t="shared" si="2"/>
        <v>0.12288786482334869</v>
      </c>
      <c r="Z54" s="1">
        <f t="shared" si="2"/>
        <v>0.1259600614439324</v>
      </c>
      <c r="AA54" s="1">
        <f t="shared" si="2"/>
        <v>3.840245775729647E-2</v>
      </c>
      <c r="AB54" s="1">
        <f t="shared" si="2"/>
        <v>6.1443932411674347E-2</v>
      </c>
      <c r="AC54" s="1"/>
    </row>
    <row r="55" spans="1:29">
      <c r="A55" s="8"/>
      <c r="B55" t="s">
        <v>47</v>
      </c>
      <c r="C55" s="4">
        <v>774</v>
      </c>
      <c r="D55" s="4">
        <v>60</v>
      </c>
      <c r="E55" s="4">
        <v>66</v>
      </c>
      <c r="F55" s="4">
        <v>12</v>
      </c>
      <c r="G55" s="4">
        <v>14</v>
      </c>
      <c r="H55" s="4">
        <v>86</v>
      </c>
      <c r="I55" s="4">
        <v>88</v>
      </c>
      <c r="J55" s="4">
        <v>14</v>
      </c>
      <c r="K55">
        <v>20</v>
      </c>
      <c r="L55">
        <v>84</v>
      </c>
      <c r="M55">
        <v>86</v>
      </c>
      <c r="N55">
        <v>44</v>
      </c>
      <c r="O55">
        <v>56</v>
      </c>
      <c r="Q55" s="1">
        <f t="shared" si="2"/>
        <v>7.7519379844961239E-2</v>
      </c>
      <c r="R55" s="1">
        <f t="shared" si="2"/>
        <v>8.5271317829457363E-2</v>
      </c>
      <c r="S55" s="1">
        <f t="shared" si="2"/>
        <v>1.5503875968992248E-2</v>
      </c>
      <c r="T55" s="1">
        <f t="shared" si="2"/>
        <v>1.8087855297157621E-2</v>
      </c>
      <c r="U55" s="1">
        <f t="shared" si="2"/>
        <v>0.1111111111111111</v>
      </c>
      <c r="V55" s="1">
        <f t="shared" si="2"/>
        <v>0.11369509043927649</v>
      </c>
      <c r="W55" s="1">
        <f t="shared" si="2"/>
        <v>1.8087855297157621E-2</v>
      </c>
      <c r="X55" s="1">
        <f t="shared" si="2"/>
        <v>2.5839793281653745E-2</v>
      </c>
      <c r="Y55" s="1">
        <f t="shared" si="2"/>
        <v>0.10852713178294573</v>
      </c>
      <c r="Z55" s="1">
        <f t="shared" si="2"/>
        <v>0.1111111111111111</v>
      </c>
      <c r="AA55" s="1">
        <f t="shared" si="2"/>
        <v>5.6847545219638244E-2</v>
      </c>
      <c r="AB55" s="1">
        <f t="shared" si="2"/>
        <v>7.2351421188630485E-2</v>
      </c>
      <c r="AC55" s="1"/>
    </row>
    <row r="56" spans="1:29">
      <c r="A56" s="8"/>
      <c r="B56" t="s">
        <v>48</v>
      </c>
      <c r="C56" s="4">
        <v>169</v>
      </c>
      <c r="D56" s="4">
        <v>9</v>
      </c>
      <c r="E56" s="4">
        <v>9</v>
      </c>
      <c r="F56" s="4">
        <v>2</v>
      </c>
      <c r="G56" s="4">
        <v>2</v>
      </c>
      <c r="H56" s="4">
        <v>26</v>
      </c>
      <c r="I56" s="4">
        <v>28</v>
      </c>
      <c r="J56" s="4">
        <v>8</v>
      </c>
      <c r="K56">
        <v>12</v>
      </c>
      <c r="L56">
        <v>7</v>
      </c>
      <c r="M56">
        <v>7</v>
      </c>
      <c r="N56">
        <v>4</v>
      </c>
      <c r="O56">
        <v>8</v>
      </c>
      <c r="Q56" s="1">
        <f t="shared" si="2"/>
        <v>5.3254437869822487E-2</v>
      </c>
      <c r="R56" s="1">
        <f t="shared" si="2"/>
        <v>5.3254437869822487E-2</v>
      </c>
      <c r="S56" s="1">
        <f t="shared" si="2"/>
        <v>1.1834319526627219E-2</v>
      </c>
      <c r="T56" s="1">
        <f t="shared" si="2"/>
        <v>1.1834319526627219E-2</v>
      </c>
      <c r="U56" s="1">
        <f t="shared" si="2"/>
        <v>0.15384615384615385</v>
      </c>
      <c r="V56" s="1">
        <f t="shared" si="2"/>
        <v>0.16568047337278108</v>
      </c>
      <c r="W56" s="1">
        <f t="shared" si="2"/>
        <v>4.7337278106508875E-2</v>
      </c>
      <c r="X56" s="1">
        <f t="shared" si="2"/>
        <v>7.1005917159763315E-2</v>
      </c>
      <c r="Y56" s="1">
        <f t="shared" si="2"/>
        <v>4.142011834319527E-2</v>
      </c>
      <c r="Z56" s="1">
        <f t="shared" si="2"/>
        <v>4.142011834319527E-2</v>
      </c>
      <c r="AA56" s="1">
        <f t="shared" si="2"/>
        <v>2.3668639053254437E-2</v>
      </c>
      <c r="AB56" s="1">
        <f t="shared" si="2"/>
        <v>4.7337278106508875E-2</v>
      </c>
      <c r="AC56" s="1"/>
    </row>
    <row r="57" spans="1:29">
      <c r="A57" s="8"/>
      <c r="B57" t="s">
        <v>49</v>
      </c>
      <c r="C57" s="4">
        <v>436</v>
      </c>
      <c r="D57" s="4">
        <v>41</v>
      </c>
      <c r="E57" s="4">
        <v>42</v>
      </c>
      <c r="F57" s="4">
        <v>8</v>
      </c>
      <c r="G57" s="4">
        <v>8</v>
      </c>
      <c r="H57" s="4">
        <v>57</v>
      </c>
      <c r="I57" s="4">
        <v>57</v>
      </c>
      <c r="J57" s="4">
        <v>20</v>
      </c>
      <c r="K57">
        <v>22</v>
      </c>
      <c r="L57">
        <v>67</v>
      </c>
      <c r="M57">
        <v>69</v>
      </c>
      <c r="N57">
        <v>16</v>
      </c>
      <c r="O57">
        <v>20</v>
      </c>
      <c r="Q57" s="1">
        <f t="shared" si="2"/>
        <v>9.4036697247706427E-2</v>
      </c>
      <c r="R57" s="1">
        <f t="shared" si="2"/>
        <v>9.6330275229357804E-2</v>
      </c>
      <c r="S57" s="1">
        <f t="shared" si="2"/>
        <v>1.834862385321101E-2</v>
      </c>
      <c r="T57" s="1">
        <f t="shared" si="2"/>
        <v>1.834862385321101E-2</v>
      </c>
      <c r="U57" s="1">
        <f t="shared" si="2"/>
        <v>0.13073394495412843</v>
      </c>
      <c r="V57" s="1">
        <f t="shared" si="2"/>
        <v>0.13073394495412843</v>
      </c>
      <c r="W57" s="1">
        <f t="shared" si="2"/>
        <v>4.5871559633027525E-2</v>
      </c>
      <c r="X57" s="1">
        <f t="shared" si="2"/>
        <v>5.0458715596330278E-2</v>
      </c>
      <c r="Y57" s="1">
        <f t="shared" si="2"/>
        <v>0.1536697247706422</v>
      </c>
      <c r="Z57" s="1">
        <f t="shared" si="2"/>
        <v>0.15825688073394495</v>
      </c>
      <c r="AA57" s="1">
        <f t="shared" si="2"/>
        <v>3.669724770642202E-2</v>
      </c>
      <c r="AB57" s="1">
        <f t="shared" si="2"/>
        <v>4.5871559633027525E-2</v>
      </c>
      <c r="AC57" s="1"/>
    </row>
    <row r="58" spans="1:29">
      <c r="A58" s="8"/>
      <c r="B58" t="s">
        <v>50</v>
      </c>
      <c r="C58" s="4">
        <v>636</v>
      </c>
      <c r="D58" s="4">
        <v>67</v>
      </c>
      <c r="E58" s="4">
        <v>70</v>
      </c>
      <c r="F58" s="4">
        <v>2</v>
      </c>
      <c r="G58" s="4">
        <v>2</v>
      </c>
      <c r="H58" s="4">
        <v>85</v>
      </c>
      <c r="I58" s="4">
        <v>87</v>
      </c>
      <c r="J58" s="4">
        <v>15</v>
      </c>
      <c r="K58">
        <v>20</v>
      </c>
      <c r="L58">
        <v>51</v>
      </c>
      <c r="M58">
        <v>52</v>
      </c>
      <c r="N58">
        <v>12</v>
      </c>
      <c r="O58">
        <v>14</v>
      </c>
      <c r="Q58" s="1">
        <f t="shared" si="2"/>
        <v>0.10534591194968554</v>
      </c>
      <c r="R58" s="1">
        <f t="shared" si="2"/>
        <v>0.11006289308176101</v>
      </c>
      <c r="S58" s="1">
        <f t="shared" si="2"/>
        <v>3.1446540880503146E-3</v>
      </c>
      <c r="T58" s="1">
        <f t="shared" si="2"/>
        <v>3.1446540880503146E-3</v>
      </c>
      <c r="U58" s="1">
        <f t="shared" si="2"/>
        <v>0.13364779874213836</v>
      </c>
      <c r="V58" s="1">
        <f t="shared" si="2"/>
        <v>0.13679245283018868</v>
      </c>
      <c r="W58" s="1">
        <f t="shared" si="2"/>
        <v>2.358490566037736E-2</v>
      </c>
      <c r="X58" s="1">
        <f t="shared" si="2"/>
        <v>3.1446540880503145E-2</v>
      </c>
      <c r="Y58" s="1">
        <f t="shared" si="2"/>
        <v>8.0188679245283015E-2</v>
      </c>
      <c r="Z58" s="1">
        <f t="shared" si="2"/>
        <v>8.1761006289308172E-2</v>
      </c>
      <c r="AA58" s="1">
        <f t="shared" si="2"/>
        <v>1.8867924528301886E-2</v>
      </c>
      <c r="AB58" s="1">
        <f t="shared" si="2"/>
        <v>2.20125786163522E-2</v>
      </c>
      <c r="AC58" s="1"/>
    </row>
    <row r="59" spans="1:29">
      <c r="A59" s="8" t="s">
        <v>63</v>
      </c>
      <c r="B59" t="s">
        <v>46</v>
      </c>
      <c r="C59" s="4">
        <v>667</v>
      </c>
      <c r="D59" s="4">
        <v>94</v>
      </c>
      <c r="E59" s="4">
        <v>102</v>
      </c>
      <c r="F59" s="4">
        <v>16</v>
      </c>
      <c r="G59" s="4">
        <v>19</v>
      </c>
      <c r="H59" s="4">
        <v>99</v>
      </c>
      <c r="I59" s="4">
        <v>102</v>
      </c>
      <c r="J59" s="4">
        <v>30</v>
      </c>
      <c r="K59">
        <v>34</v>
      </c>
      <c r="L59">
        <v>87</v>
      </c>
      <c r="M59">
        <v>89</v>
      </c>
      <c r="N59">
        <v>28</v>
      </c>
      <c r="O59">
        <v>38</v>
      </c>
      <c r="Q59" s="1">
        <f t="shared" si="2"/>
        <v>0.1409295352323838</v>
      </c>
      <c r="R59" s="1">
        <f t="shared" si="2"/>
        <v>0.15292353823088456</v>
      </c>
      <c r="S59" s="1">
        <f t="shared" si="2"/>
        <v>2.3988005997001498E-2</v>
      </c>
      <c r="T59" s="1">
        <f t="shared" si="2"/>
        <v>2.8485757121439279E-2</v>
      </c>
      <c r="U59" s="1">
        <f t="shared" si="2"/>
        <v>0.14842578710644677</v>
      </c>
      <c r="V59" s="1">
        <f t="shared" si="2"/>
        <v>0.15292353823088456</v>
      </c>
      <c r="W59" s="1">
        <f t="shared" si="2"/>
        <v>4.4977511244377814E-2</v>
      </c>
      <c r="X59" s="1">
        <f t="shared" si="2"/>
        <v>5.0974512743628186E-2</v>
      </c>
      <c r="Y59" s="1">
        <f t="shared" si="2"/>
        <v>0.13043478260869565</v>
      </c>
      <c r="Z59" s="1">
        <f t="shared" si="2"/>
        <v>0.13343328335832083</v>
      </c>
      <c r="AA59" s="1">
        <f t="shared" si="2"/>
        <v>4.1979010494752625E-2</v>
      </c>
      <c r="AB59" s="1">
        <f t="shared" si="2"/>
        <v>5.6971514242878558E-2</v>
      </c>
      <c r="AC59" s="1"/>
    </row>
    <row r="60" spans="1:29">
      <c r="A60" s="8"/>
      <c r="B60" t="s">
        <v>47</v>
      </c>
      <c r="C60" s="4">
        <v>790</v>
      </c>
      <c r="D60" s="4">
        <v>101</v>
      </c>
      <c r="E60" s="4">
        <v>108</v>
      </c>
      <c r="F60" s="4">
        <v>17</v>
      </c>
      <c r="G60" s="4">
        <v>20</v>
      </c>
      <c r="H60" s="4">
        <v>97</v>
      </c>
      <c r="I60" s="4">
        <v>99</v>
      </c>
      <c r="J60" s="4">
        <v>20</v>
      </c>
      <c r="K60">
        <v>24</v>
      </c>
      <c r="L60">
        <v>89</v>
      </c>
      <c r="M60">
        <v>91</v>
      </c>
      <c r="N60">
        <v>43</v>
      </c>
      <c r="O60">
        <v>57</v>
      </c>
      <c r="Q60" s="1">
        <f t="shared" si="2"/>
        <v>0.12784810126582277</v>
      </c>
      <c r="R60" s="1">
        <f t="shared" si="2"/>
        <v>0.13670886075949368</v>
      </c>
      <c r="S60" s="1">
        <f t="shared" si="2"/>
        <v>2.1518987341772152E-2</v>
      </c>
      <c r="T60" s="1">
        <f t="shared" si="2"/>
        <v>2.5316455696202531E-2</v>
      </c>
      <c r="U60" s="1">
        <f t="shared" si="2"/>
        <v>0.12278481012658228</v>
      </c>
      <c r="V60" s="1">
        <f t="shared" si="2"/>
        <v>0.12531645569620253</v>
      </c>
      <c r="W60" s="1">
        <f t="shared" si="2"/>
        <v>2.5316455696202531E-2</v>
      </c>
      <c r="X60" s="1">
        <f t="shared" si="2"/>
        <v>3.0379746835443037E-2</v>
      </c>
      <c r="Y60" s="1">
        <f t="shared" si="2"/>
        <v>0.11265822784810127</v>
      </c>
      <c r="Z60" s="1">
        <f t="shared" si="2"/>
        <v>0.11518987341772152</v>
      </c>
      <c r="AA60" s="1">
        <f t="shared" si="2"/>
        <v>5.4430379746835442E-2</v>
      </c>
      <c r="AB60" s="1">
        <f t="shared" si="2"/>
        <v>7.2151898734177211E-2</v>
      </c>
      <c r="AC60" s="1"/>
    </row>
    <row r="61" spans="1:29">
      <c r="A61" s="8"/>
      <c r="B61" t="s">
        <v>48</v>
      </c>
      <c r="C61" s="4">
        <v>172</v>
      </c>
      <c r="D61" s="4">
        <v>20</v>
      </c>
      <c r="E61" s="4">
        <v>22</v>
      </c>
      <c r="F61" s="4">
        <v>6</v>
      </c>
      <c r="G61" s="4">
        <v>7</v>
      </c>
      <c r="H61" s="4">
        <v>25</v>
      </c>
      <c r="I61" s="4">
        <v>26</v>
      </c>
      <c r="J61" s="4">
        <v>9</v>
      </c>
      <c r="K61">
        <v>12</v>
      </c>
      <c r="L61">
        <v>8</v>
      </c>
      <c r="M61">
        <v>8</v>
      </c>
      <c r="N61">
        <v>5</v>
      </c>
      <c r="O61">
        <v>10</v>
      </c>
      <c r="Q61" s="1">
        <f t="shared" si="2"/>
        <v>0.11627906976744186</v>
      </c>
      <c r="R61" s="1">
        <f t="shared" si="2"/>
        <v>0.12790697674418605</v>
      </c>
      <c r="S61" s="1">
        <f t="shared" si="2"/>
        <v>3.4883720930232558E-2</v>
      </c>
      <c r="T61" s="1">
        <f t="shared" ref="T61:AB124" si="3">G61/$C61</f>
        <v>4.0697674418604654E-2</v>
      </c>
      <c r="U61" s="1">
        <f t="shared" si="3"/>
        <v>0.14534883720930233</v>
      </c>
      <c r="V61" s="1">
        <f t="shared" si="3"/>
        <v>0.15116279069767441</v>
      </c>
      <c r="W61" s="1">
        <f t="shared" si="3"/>
        <v>5.232558139534884E-2</v>
      </c>
      <c r="X61" s="1">
        <f t="shared" si="3"/>
        <v>6.9767441860465115E-2</v>
      </c>
      <c r="Y61" s="1">
        <f t="shared" si="3"/>
        <v>4.6511627906976744E-2</v>
      </c>
      <c r="Z61" s="1">
        <f t="shared" si="3"/>
        <v>4.6511627906976744E-2</v>
      </c>
      <c r="AA61" s="1">
        <f t="shared" si="3"/>
        <v>2.9069767441860465E-2</v>
      </c>
      <c r="AB61" s="1">
        <f t="shared" si="3"/>
        <v>5.8139534883720929E-2</v>
      </c>
      <c r="AC61" s="1"/>
    </row>
    <row r="62" spans="1:29">
      <c r="A62" s="8"/>
      <c r="B62" t="s">
        <v>49</v>
      </c>
      <c r="C62" s="4">
        <v>446</v>
      </c>
      <c r="D62" s="4">
        <v>50</v>
      </c>
      <c r="E62" s="4">
        <v>53</v>
      </c>
      <c r="F62" s="4">
        <v>9</v>
      </c>
      <c r="G62" s="4">
        <v>9</v>
      </c>
      <c r="H62" s="4">
        <v>40</v>
      </c>
      <c r="I62" s="4">
        <v>41</v>
      </c>
      <c r="J62" s="4">
        <v>13</v>
      </c>
      <c r="K62">
        <v>18</v>
      </c>
      <c r="L62">
        <v>46</v>
      </c>
      <c r="M62">
        <v>48</v>
      </c>
      <c r="N62">
        <v>11</v>
      </c>
      <c r="O62">
        <v>15</v>
      </c>
      <c r="Q62" s="1">
        <f t="shared" ref="Q62:S125" si="4">D62/$C62</f>
        <v>0.11210762331838565</v>
      </c>
      <c r="R62" s="1">
        <f t="shared" si="4"/>
        <v>0.11883408071748879</v>
      </c>
      <c r="S62" s="1">
        <f t="shared" si="4"/>
        <v>2.0179372197309416E-2</v>
      </c>
      <c r="T62" s="1">
        <f t="shared" si="3"/>
        <v>2.0179372197309416E-2</v>
      </c>
      <c r="U62" s="1">
        <f t="shared" si="3"/>
        <v>8.9686098654708515E-2</v>
      </c>
      <c r="V62" s="1">
        <f t="shared" si="3"/>
        <v>9.1928251121076235E-2</v>
      </c>
      <c r="W62" s="1">
        <f t="shared" si="3"/>
        <v>2.914798206278027E-2</v>
      </c>
      <c r="X62" s="1">
        <f t="shared" si="3"/>
        <v>4.0358744394618833E-2</v>
      </c>
      <c r="Y62" s="1">
        <f t="shared" si="3"/>
        <v>0.1031390134529148</v>
      </c>
      <c r="Z62" s="1">
        <f t="shared" si="3"/>
        <v>0.10762331838565023</v>
      </c>
      <c r="AA62" s="1">
        <f t="shared" si="3"/>
        <v>2.4663677130044841E-2</v>
      </c>
      <c r="AB62" s="1">
        <f t="shared" si="3"/>
        <v>3.3632286995515695E-2</v>
      </c>
      <c r="AC62" s="1"/>
    </row>
    <row r="63" spans="1:29">
      <c r="A63" s="8"/>
      <c r="B63" t="s">
        <v>50</v>
      </c>
      <c r="C63" s="4">
        <v>644</v>
      </c>
      <c r="D63" s="4">
        <v>106</v>
      </c>
      <c r="E63" s="4">
        <v>115</v>
      </c>
      <c r="F63" s="4">
        <v>12</v>
      </c>
      <c r="G63" s="4">
        <v>14</v>
      </c>
      <c r="H63" s="4">
        <v>88</v>
      </c>
      <c r="I63" s="4">
        <v>92</v>
      </c>
      <c r="J63" s="4">
        <v>10</v>
      </c>
      <c r="K63">
        <v>11</v>
      </c>
      <c r="L63">
        <v>52</v>
      </c>
      <c r="M63">
        <v>52</v>
      </c>
      <c r="N63">
        <v>12</v>
      </c>
      <c r="O63">
        <v>12</v>
      </c>
      <c r="Q63" s="1">
        <f t="shared" si="4"/>
        <v>0.16459627329192547</v>
      </c>
      <c r="R63" s="1">
        <f t="shared" si="4"/>
        <v>0.17857142857142858</v>
      </c>
      <c r="S63" s="1">
        <f t="shared" si="4"/>
        <v>1.8633540372670808E-2</v>
      </c>
      <c r="T63" s="1">
        <f t="shared" si="3"/>
        <v>2.1739130434782608E-2</v>
      </c>
      <c r="U63" s="1">
        <f t="shared" si="3"/>
        <v>0.13664596273291926</v>
      </c>
      <c r="V63" s="1">
        <f t="shared" si="3"/>
        <v>0.14285714285714285</v>
      </c>
      <c r="W63" s="1">
        <f t="shared" si="3"/>
        <v>1.5527950310559006E-2</v>
      </c>
      <c r="X63" s="1">
        <f t="shared" si="3"/>
        <v>1.7080745341614908E-2</v>
      </c>
      <c r="Y63" s="1">
        <f t="shared" si="3"/>
        <v>8.0745341614906832E-2</v>
      </c>
      <c r="Z63" s="1">
        <f t="shared" si="3"/>
        <v>8.0745341614906832E-2</v>
      </c>
      <c r="AA63" s="1">
        <f t="shared" si="3"/>
        <v>1.8633540372670808E-2</v>
      </c>
      <c r="AB63" s="1">
        <f t="shared" si="3"/>
        <v>1.8633540372670808E-2</v>
      </c>
      <c r="AC63" s="1"/>
    </row>
    <row r="64" spans="1:29">
      <c r="A64" s="8" t="s">
        <v>64</v>
      </c>
      <c r="B64" t="s">
        <v>51</v>
      </c>
      <c r="C64" s="4">
        <v>583</v>
      </c>
      <c r="D64" s="4">
        <v>86</v>
      </c>
      <c r="E64" s="4">
        <v>92</v>
      </c>
      <c r="F64" s="4">
        <v>17</v>
      </c>
      <c r="G64" s="4">
        <v>19</v>
      </c>
      <c r="H64" s="4">
        <v>67</v>
      </c>
      <c r="I64" s="4">
        <v>69</v>
      </c>
      <c r="J64" s="4">
        <v>17</v>
      </c>
      <c r="K64">
        <v>20</v>
      </c>
      <c r="L64">
        <v>54</v>
      </c>
      <c r="M64">
        <v>55</v>
      </c>
      <c r="N64">
        <v>18</v>
      </c>
      <c r="O64">
        <v>19</v>
      </c>
      <c r="Q64" s="1">
        <f t="shared" si="4"/>
        <v>0.14751286449399656</v>
      </c>
      <c r="R64" s="1">
        <f t="shared" si="4"/>
        <v>0.15780445969125215</v>
      </c>
      <c r="S64" s="1">
        <f t="shared" si="4"/>
        <v>2.9159519725557463E-2</v>
      </c>
      <c r="T64" s="1">
        <f t="shared" si="3"/>
        <v>3.2590051457975985E-2</v>
      </c>
      <c r="U64" s="1">
        <f t="shared" si="3"/>
        <v>0.11492281303602059</v>
      </c>
      <c r="V64" s="1">
        <f t="shared" si="3"/>
        <v>0.1183533447684391</v>
      </c>
      <c r="W64" s="1">
        <f t="shared" si="3"/>
        <v>2.9159519725557463E-2</v>
      </c>
      <c r="X64" s="1">
        <f t="shared" si="3"/>
        <v>3.430531732418525E-2</v>
      </c>
      <c r="Y64" s="1">
        <f t="shared" si="3"/>
        <v>9.2624356775300176E-2</v>
      </c>
      <c r="Z64" s="1">
        <f t="shared" si="3"/>
        <v>9.4339622641509441E-2</v>
      </c>
      <c r="AA64" s="1">
        <f t="shared" si="3"/>
        <v>3.0874785591766724E-2</v>
      </c>
      <c r="AB64" s="1">
        <f t="shared" si="3"/>
        <v>3.2590051457975985E-2</v>
      </c>
      <c r="AC64" s="1"/>
    </row>
    <row r="65" spans="1:30">
      <c r="A65" s="8"/>
      <c r="B65" t="s">
        <v>52</v>
      </c>
      <c r="C65" s="4">
        <v>583</v>
      </c>
      <c r="D65" s="4">
        <v>75</v>
      </c>
      <c r="E65" s="4">
        <v>77</v>
      </c>
      <c r="F65" s="4">
        <v>11</v>
      </c>
      <c r="G65" s="4">
        <v>14</v>
      </c>
      <c r="H65" s="4">
        <v>61</v>
      </c>
      <c r="I65" s="4">
        <v>62</v>
      </c>
      <c r="J65" s="4">
        <v>24</v>
      </c>
      <c r="K65">
        <v>33</v>
      </c>
      <c r="L65">
        <v>34</v>
      </c>
      <c r="M65">
        <v>34</v>
      </c>
      <c r="N65">
        <v>23</v>
      </c>
      <c r="O65">
        <v>39</v>
      </c>
      <c r="Q65" s="1">
        <f t="shared" si="4"/>
        <v>0.12864493996569468</v>
      </c>
      <c r="R65" s="1">
        <f t="shared" si="4"/>
        <v>0.13207547169811321</v>
      </c>
      <c r="S65" s="1">
        <f t="shared" si="4"/>
        <v>1.8867924528301886E-2</v>
      </c>
      <c r="T65" s="1">
        <f t="shared" si="3"/>
        <v>2.4013722126929673E-2</v>
      </c>
      <c r="U65" s="1">
        <f t="shared" si="3"/>
        <v>0.10463121783876501</v>
      </c>
      <c r="V65" s="1">
        <f t="shared" si="3"/>
        <v>0.10634648370497427</v>
      </c>
      <c r="W65" s="1">
        <f t="shared" si="3"/>
        <v>4.1166380789022301E-2</v>
      </c>
      <c r="X65" s="1">
        <f t="shared" si="3"/>
        <v>5.6603773584905662E-2</v>
      </c>
      <c r="Y65" s="1">
        <f t="shared" si="3"/>
        <v>5.8319039451114926E-2</v>
      </c>
      <c r="Z65" s="1">
        <f t="shared" si="3"/>
        <v>5.8319039451114926E-2</v>
      </c>
      <c r="AA65" s="1">
        <f t="shared" si="3"/>
        <v>3.9451114922813037E-2</v>
      </c>
      <c r="AB65" s="1">
        <f t="shared" si="3"/>
        <v>6.6895368782161235E-2</v>
      </c>
      <c r="AC65" s="1"/>
    </row>
    <row r="66" spans="1:30">
      <c r="A66" s="8"/>
      <c r="B66" t="s">
        <v>53</v>
      </c>
      <c r="C66" s="4">
        <v>583</v>
      </c>
      <c r="D66" s="4">
        <v>90</v>
      </c>
      <c r="E66" s="4">
        <v>95</v>
      </c>
      <c r="F66" s="4">
        <v>34</v>
      </c>
      <c r="G66" s="4">
        <v>49</v>
      </c>
      <c r="H66" s="4">
        <v>89</v>
      </c>
      <c r="I66" s="4">
        <v>95</v>
      </c>
      <c r="J66" s="4">
        <v>45</v>
      </c>
      <c r="K66">
        <v>56</v>
      </c>
      <c r="L66">
        <v>78</v>
      </c>
      <c r="M66">
        <v>84</v>
      </c>
      <c r="N66">
        <v>31</v>
      </c>
      <c r="O66">
        <v>41</v>
      </c>
      <c r="Q66" s="1">
        <f t="shared" si="4"/>
        <v>0.15437392795883362</v>
      </c>
      <c r="R66" s="1">
        <f t="shared" si="4"/>
        <v>0.16295025728987994</v>
      </c>
      <c r="S66" s="1">
        <f t="shared" si="4"/>
        <v>5.8319039451114926E-2</v>
      </c>
      <c r="T66" s="1">
        <f t="shared" si="3"/>
        <v>8.4048027444253853E-2</v>
      </c>
      <c r="U66" s="1">
        <f t="shared" si="3"/>
        <v>0.15265866209262435</v>
      </c>
      <c r="V66" s="1">
        <f t="shared" si="3"/>
        <v>0.16295025728987994</v>
      </c>
      <c r="W66" s="1">
        <f t="shared" si="3"/>
        <v>7.7186963979416809E-2</v>
      </c>
      <c r="X66" s="1">
        <f t="shared" si="3"/>
        <v>9.6054888507718691E-2</v>
      </c>
      <c r="Y66" s="1">
        <f t="shared" si="3"/>
        <v>0.13379073756432247</v>
      </c>
      <c r="Z66" s="1">
        <f t="shared" si="3"/>
        <v>0.14408233276157806</v>
      </c>
      <c r="AA66" s="1">
        <f t="shared" si="3"/>
        <v>5.3173241852487133E-2</v>
      </c>
      <c r="AB66" s="1">
        <f t="shared" si="3"/>
        <v>7.0325900514579764E-2</v>
      </c>
      <c r="AC66" s="1"/>
    </row>
    <row r="67" spans="1:30">
      <c r="A67" s="8"/>
      <c r="B67" t="s">
        <v>54</v>
      </c>
      <c r="C67" s="4">
        <v>583</v>
      </c>
      <c r="D67" s="4">
        <v>62</v>
      </c>
      <c r="E67" s="4">
        <v>64</v>
      </c>
      <c r="F67" s="4">
        <v>13</v>
      </c>
      <c r="G67" s="4">
        <v>13</v>
      </c>
      <c r="H67" s="4">
        <v>84</v>
      </c>
      <c r="I67" s="4">
        <v>87</v>
      </c>
      <c r="J67" s="4">
        <v>36</v>
      </c>
      <c r="K67">
        <v>47</v>
      </c>
      <c r="L67">
        <v>94</v>
      </c>
      <c r="M67">
        <v>96</v>
      </c>
      <c r="N67">
        <v>30</v>
      </c>
      <c r="O67">
        <v>37</v>
      </c>
      <c r="Q67" s="1">
        <f t="shared" si="4"/>
        <v>0.10634648370497427</v>
      </c>
      <c r="R67" s="1">
        <f t="shared" si="4"/>
        <v>0.10977701543739279</v>
      </c>
      <c r="S67" s="1">
        <f t="shared" si="4"/>
        <v>2.2298456260720412E-2</v>
      </c>
      <c r="T67" s="1">
        <f t="shared" si="3"/>
        <v>2.2298456260720412E-2</v>
      </c>
      <c r="U67" s="1">
        <f t="shared" si="3"/>
        <v>0.14408233276157806</v>
      </c>
      <c r="V67" s="1">
        <f t="shared" si="3"/>
        <v>0.14922813036020582</v>
      </c>
      <c r="W67" s="1">
        <f t="shared" si="3"/>
        <v>6.1749571183533448E-2</v>
      </c>
      <c r="X67" s="1">
        <f t="shared" si="3"/>
        <v>8.0617495711835338E-2</v>
      </c>
      <c r="Y67" s="1">
        <f t="shared" si="3"/>
        <v>0.16123499142367068</v>
      </c>
      <c r="Z67" s="1">
        <f t="shared" si="3"/>
        <v>0.16466552315608921</v>
      </c>
      <c r="AA67" s="1">
        <f t="shared" si="3"/>
        <v>5.1457975986277875E-2</v>
      </c>
      <c r="AB67" s="1">
        <f t="shared" si="3"/>
        <v>6.3464837049742706E-2</v>
      </c>
      <c r="AC67" s="1"/>
    </row>
    <row r="68" spans="1:30">
      <c r="A68" s="8"/>
      <c r="B68" t="s">
        <v>55</v>
      </c>
      <c r="C68" s="4">
        <v>583</v>
      </c>
      <c r="D68" s="4">
        <v>68</v>
      </c>
      <c r="E68" s="4">
        <v>72</v>
      </c>
      <c r="F68" s="4">
        <v>9</v>
      </c>
      <c r="G68" s="4">
        <v>11</v>
      </c>
      <c r="H68" s="4">
        <v>78</v>
      </c>
      <c r="I68" s="4">
        <v>81</v>
      </c>
      <c r="J68" s="4">
        <v>29</v>
      </c>
      <c r="K68">
        <v>43</v>
      </c>
      <c r="L68">
        <v>68</v>
      </c>
      <c r="M68">
        <v>70</v>
      </c>
      <c r="N68">
        <v>24</v>
      </c>
      <c r="O68">
        <v>28</v>
      </c>
      <c r="Q68" s="1">
        <f t="shared" si="4"/>
        <v>0.11663807890222985</v>
      </c>
      <c r="R68" s="1">
        <f t="shared" si="4"/>
        <v>0.1234991423670669</v>
      </c>
      <c r="S68" s="1">
        <f t="shared" si="4"/>
        <v>1.5437392795883362E-2</v>
      </c>
      <c r="T68" s="1">
        <f t="shared" si="3"/>
        <v>1.8867924528301886E-2</v>
      </c>
      <c r="U68" s="1">
        <f t="shared" si="3"/>
        <v>0.13379073756432247</v>
      </c>
      <c r="V68" s="1">
        <f t="shared" si="3"/>
        <v>0.13893653516295026</v>
      </c>
      <c r="W68" s="1">
        <f t="shared" si="3"/>
        <v>4.974271012006861E-2</v>
      </c>
      <c r="X68" s="1">
        <f t="shared" si="3"/>
        <v>7.375643224699828E-2</v>
      </c>
      <c r="Y68" s="1">
        <f t="shared" si="3"/>
        <v>0.11663807890222985</v>
      </c>
      <c r="Z68" s="1">
        <f t="shared" si="3"/>
        <v>0.12006861063464837</v>
      </c>
      <c r="AA68" s="1">
        <f t="shared" si="3"/>
        <v>4.1166380789022301E-2</v>
      </c>
      <c r="AB68" s="1">
        <f t="shared" si="3"/>
        <v>4.8027444253859346E-2</v>
      </c>
      <c r="AC68" s="1"/>
    </row>
    <row r="69" spans="1:30">
      <c r="A69" s="8"/>
      <c r="B69" t="s">
        <v>56</v>
      </c>
      <c r="C69" s="4">
        <v>583</v>
      </c>
      <c r="D69" s="4">
        <v>69</v>
      </c>
      <c r="E69" s="4">
        <v>70</v>
      </c>
      <c r="F69" s="4">
        <v>23</v>
      </c>
      <c r="G69" s="4">
        <v>25</v>
      </c>
      <c r="H69" s="4">
        <v>64</v>
      </c>
      <c r="I69" s="4">
        <v>66</v>
      </c>
      <c r="J69" s="4">
        <v>22</v>
      </c>
      <c r="K69">
        <v>28</v>
      </c>
      <c r="L69">
        <v>72</v>
      </c>
      <c r="M69">
        <v>73</v>
      </c>
      <c r="N69">
        <v>21</v>
      </c>
      <c r="O69">
        <v>24</v>
      </c>
      <c r="Q69" s="1">
        <f t="shared" si="4"/>
        <v>0.1183533447684391</v>
      </c>
      <c r="R69" s="1">
        <f t="shared" si="4"/>
        <v>0.12006861063464837</v>
      </c>
      <c r="S69" s="1">
        <f t="shared" si="4"/>
        <v>3.9451114922813037E-2</v>
      </c>
      <c r="T69" s="1">
        <f t="shared" si="3"/>
        <v>4.2881646655231559E-2</v>
      </c>
      <c r="U69" s="1">
        <f t="shared" si="3"/>
        <v>0.10977701543739279</v>
      </c>
      <c r="V69" s="1">
        <f t="shared" si="3"/>
        <v>0.11320754716981132</v>
      </c>
      <c r="W69" s="1">
        <f t="shared" si="3"/>
        <v>3.7735849056603772E-2</v>
      </c>
      <c r="X69" s="1">
        <f t="shared" si="3"/>
        <v>4.8027444253859346E-2</v>
      </c>
      <c r="Y69" s="1">
        <f t="shared" si="3"/>
        <v>0.1234991423670669</v>
      </c>
      <c r="Z69" s="1">
        <f t="shared" si="3"/>
        <v>0.12521440823327615</v>
      </c>
      <c r="AA69" s="1">
        <f t="shared" si="3"/>
        <v>3.6020583190394515E-2</v>
      </c>
      <c r="AB69" s="1">
        <f t="shared" si="3"/>
        <v>4.1166380789022301E-2</v>
      </c>
      <c r="AC69" s="1"/>
    </row>
    <row r="70" spans="1:30">
      <c r="A70" s="8"/>
      <c r="B70" t="s">
        <v>57</v>
      </c>
      <c r="C70" s="4">
        <v>583</v>
      </c>
      <c r="D70" s="4">
        <v>106</v>
      </c>
      <c r="E70" s="4">
        <v>117</v>
      </c>
      <c r="F70" s="4">
        <v>17</v>
      </c>
      <c r="G70" s="4">
        <v>18</v>
      </c>
      <c r="H70" s="4">
        <v>68</v>
      </c>
      <c r="I70" s="4">
        <v>69</v>
      </c>
      <c r="J70" s="4">
        <v>19</v>
      </c>
      <c r="K70">
        <v>25</v>
      </c>
      <c r="L70">
        <v>46</v>
      </c>
      <c r="M70">
        <v>46</v>
      </c>
      <c r="N70">
        <v>15</v>
      </c>
      <c r="O70">
        <v>17</v>
      </c>
      <c r="Q70" s="1">
        <f t="shared" si="4"/>
        <v>0.18181818181818182</v>
      </c>
      <c r="R70" s="1">
        <f t="shared" si="4"/>
        <v>0.20068610634648371</v>
      </c>
      <c r="S70" s="1">
        <f t="shared" si="4"/>
        <v>2.9159519725557463E-2</v>
      </c>
      <c r="T70" s="1">
        <f t="shared" si="3"/>
        <v>3.0874785591766724E-2</v>
      </c>
      <c r="U70" s="1">
        <f t="shared" si="3"/>
        <v>0.11663807890222985</v>
      </c>
      <c r="V70" s="1">
        <f t="shared" si="3"/>
        <v>0.1183533447684391</v>
      </c>
      <c r="W70" s="1">
        <f t="shared" si="3"/>
        <v>3.2590051457975985E-2</v>
      </c>
      <c r="X70" s="1">
        <f t="shared" si="3"/>
        <v>4.2881646655231559E-2</v>
      </c>
      <c r="Y70" s="1">
        <f t="shared" si="3"/>
        <v>7.8902229845626073E-2</v>
      </c>
      <c r="Z70" s="1">
        <f t="shared" si="3"/>
        <v>7.8902229845626073E-2</v>
      </c>
      <c r="AA70" s="1">
        <f t="shared" si="3"/>
        <v>2.5728987993138937E-2</v>
      </c>
      <c r="AB70" s="1">
        <f t="shared" si="3"/>
        <v>2.9159519725557463E-2</v>
      </c>
      <c r="AC70" s="1"/>
    </row>
    <row r="71" spans="1:30">
      <c r="A71" s="8" t="s">
        <v>65</v>
      </c>
      <c r="B71" t="s">
        <v>51</v>
      </c>
      <c r="C71" s="4">
        <v>583</v>
      </c>
      <c r="D71" s="4">
        <v>67</v>
      </c>
      <c r="E71" s="4">
        <v>72</v>
      </c>
      <c r="F71" s="4">
        <v>18</v>
      </c>
      <c r="G71" s="4">
        <v>19</v>
      </c>
      <c r="H71" s="4">
        <v>75</v>
      </c>
      <c r="I71" s="4">
        <v>78</v>
      </c>
      <c r="J71" s="4">
        <v>21</v>
      </c>
      <c r="K71">
        <v>24</v>
      </c>
      <c r="L71">
        <v>67</v>
      </c>
      <c r="M71">
        <v>68</v>
      </c>
      <c r="N71">
        <v>20</v>
      </c>
      <c r="O71">
        <v>24</v>
      </c>
      <c r="Q71" s="1">
        <f t="shared" si="4"/>
        <v>0.11492281303602059</v>
      </c>
      <c r="R71" s="1">
        <f t="shared" si="4"/>
        <v>0.1234991423670669</v>
      </c>
      <c r="S71" s="1">
        <f t="shared" si="4"/>
        <v>3.0874785591766724E-2</v>
      </c>
      <c r="T71" s="1">
        <f t="shared" si="3"/>
        <v>3.2590051457975985E-2</v>
      </c>
      <c r="U71" s="1">
        <f t="shared" si="3"/>
        <v>0.12864493996569468</v>
      </c>
      <c r="V71" s="1">
        <f t="shared" si="3"/>
        <v>0.13379073756432247</v>
      </c>
      <c r="W71" s="1">
        <f t="shared" si="3"/>
        <v>3.6020583190394515E-2</v>
      </c>
      <c r="X71" s="1">
        <f t="shared" si="3"/>
        <v>4.1166380789022301E-2</v>
      </c>
      <c r="Y71" s="1">
        <f t="shared" si="3"/>
        <v>0.11492281303602059</v>
      </c>
      <c r="Z71" s="1">
        <f t="shared" si="3"/>
        <v>0.11663807890222985</v>
      </c>
      <c r="AA71" s="1">
        <f t="shared" si="3"/>
        <v>3.430531732418525E-2</v>
      </c>
      <c r="AB71" s="1">
        <f t="shared" si="3"/>
        <v>4.1166380789022301E-2</v>
      </c>
      <c r="AC71" s="1"/>
    </row>
    <row r="72" spans="1:30">
      <c r="A72" s="8"/>
      <c r="B72" t="s">
        <v>52</v>
      </c>
      <c r="C72" s="4">
        <v>583</v>
      </c>
      <c r="D72" s="4">
        <v>64</v>
      </c>
      <c r="E72" s="4">
        <v>67</v>
      </c>
      <c r="F72" s="4">
        <v>8</v>
      </c>
      <c r="G72" s="4">
        <v>13</v>
      </c>
      <c r="H72" s="4">
        <v>86</v>
      </c>
      <c r="I72" s="4">
        <v>88</v>
      </c>
      <c r="J72" s="4">
        <v>26</v>
      </c>
      <c r="K72">
        <v>35</v>
      </c>
      <c r="L72">
        <v>36</v>
      </c>
      <c r="M72">
        <v>38</v>
      </c>
      <c r="N72">
        <v>22</v>
      </c>
      <c r="O72">
        <v>31</v>
      </c>
      <c r="Q72" s="1">
        <f t="shared" si="4"/>
        <v>0.10977701543739279</v>
      </c>
      <c r="R72" s="1">
        <f t="shared" si="4"/>
        <v>0.11492281303602059</v>
      </c>
      <c r="S72" s="1">
        <f t="shared" si="4"/>
        <v>1.3722126929674099E-2</v>
      </c>
      <c r="T72" s="1">
        <f t="shared" si="3"/>
        <v>2.2298456260720412E-2</v>
      </c>
      <c r="U72" s="1">
        <f t="shared" si="3"/>
        <v>0.14751286449399656</v>
      </c>
      <c r="V72" s="1">
        <f t="shared" si="3"/>
        <v>0.15094339622641509</v>
      </c>
      <c r="W72" s="1">
        <f t="shared" si="3"/>
        <v>4.4596912521440824E-2</v>
      </c>
      <c r="X72" s="1">
        <f t="shared" si="3"/>
        <v>6.0034305317324184E-2</v>
      </c>
      <c r="Y72" s="1">
        <f t="shared" si="3"/>
        <v>6.1749571183533448E-2</v>
      </c>
      <c r="Z72" s="1">
        <f t="shared" si="3"/>
        <v>6.5180102915951971E-2</v>
      </c>
      <c r="AA72" s="1">
        <f t="shared" si="3"/>
        <v>3.7735849056603772E-2</v>
      </c>
      <c r="AB72" s="1">
        <f t="shared" si="3"/>
        <v>5.3173241852487133E-2</v>
      </c>
      <c r="AC72" s="1"/>
    </row>
    <row r="73" spans="1:30">
      <c r="A73" s="8"/>
      <c r="B73" t="s">
        <v>53</v>
      </c>
      <c r="C73" s="4">
        <v>583</v>
      </c>
      <c r="D73" s="4">
        <v>50</v>
      </c>
      <c r="E73" s="4">
        <v>57</v>
      </c>
      <c r="F73" s="4">
        <v>16</v>
      </c>
      <c r="G73" s="4">
        <v>20</v>
      </c>
      <c r="H73" s="4">
        <v>86</v>
      </c>
      <c r="I73" s="4">
        <v>89</v>
      </c>
      <c r="J73" s="4">
        <v>40</v>
      </c>
      <c r="K73">
        <v>52</v>
      </c>
      <c r="L73">
        <v>72</v>
      </c>
      <c r="M73">
        <v>73</v>
      </c>
      <c r="N73">
        <v>37</v>
      </c>
      <c r="O73">
        <v>49</v>
      </c>
      <c r="Q73" s="1">
        <f t="shared" si="4"/>
        <v>8.5763293310463118E-2</v>
      </c>
      <c r="R73" s="1">
        <f t="shared" si="4"/>
        <v>9.7770154373927956E-2</v>
      </c>
      <c r="S73" s="1">
        <f t="shared" si="4"/>
        <v>2.7444253859348199E-2</v>
      </c>
      <c r="T73" s="1">
        <f t="shared" si="3"/>
        <v>3.430531732418525E-2</v>
      </c>
      <c r="U73" s="1">
        <f t="shared" si="3"/>
        <v>0.14751286449399656</v>
      </c>
      <c r="V73" s="1">
        <f t="shared" si="3"/>
        <v>0.15265866209262435</v>
      </c>
      <c r="W73" s="1">
        <f t="shared" si="3"/>
        <v>6.86106346483705E-2</v>
      </c>
      <c r="X73" s="1">
        <f t="shared" si="3"/>
        <v>8.9193825042881647E-2</v>
      </c>
      <c r="Y73" s="1">
        <f t="shared" si="3"/>
        <v>0.1234991423670669</v>
      </c>
      <c r="Z73" s="1">
        <f t="shared" si="3"/>
        <v>0.12521440823327615</v>
      </c>
      <c r="AA73" s="1">
        <f t="shared" si="3"/>
        <v>6.3464837049742706E-2</v>
      </c>
      <c r="AB73" s="1">
        <f t="shared" si="3"/>
        <v>8.4048027444253853E-2</v>
      </c>
      <c r="AC73" s="1"/>
    </row>
    <row r="74" spans="1:30">
      <c r="A74" s="8"/>
      <c r="B74" t="s">
        <v>54</v>
      </c>
      <c r="C74" s="4">
        <v>583</v>
      </c>
      <c r="D74" s="4">
        <v>48</v>
      </c>
      <c r="E74" s="4">
        <v>51</v>
      </c>
      <c r="F74" s="4">
        <v>9</v>
      </c>
      <c r="G74" s="4">
        <v>10</v>
      </c>
      <c r="H74" s="4">
        <v>79</v>
      </c>
      <c r="I74" s="4">
        <v>81</v>
      </c>
      <c r="J74" s="4">
        <v>33</v>
      </c>
      <c r="K74">
        <v>46</v>
      </c>
      <c r="L74">
        <v>99</v>
      </c>
      <c r="M74">
        <v>101</v>
      </c>
      <c r="N74">
        <v>28</v>
      </c>
      <c r="O74">
        <v>34</v>
      </c>
      <c r="Q74" s="1">
        <f t="shared" si="4"/>
        <v>8.2332761578044603E-2</v>
      </c>
      <c r="R74" s="1">
        <f t="shared" si="4"/>
        <v>8.7478559176672382E-2</v>
      </c>
      <c r="S74" s="1">
        <f t="shared" si="4"/>
        <v>1.5437392795883362E-2</v>
      </c>
      <c r="T74" s="1">
        <f t="shared" si="3"/>
        <v>1.7152658662092625E-2</v>
      </c>
      <c r="U74" s="1">
        <f t="shared" si="3"/>
        <v>0.13550600343053174</v>
      </c>
      <c r="V74" s="1">
        <f t="shared" si="3"/>
        <v>0.13893653516295026</v>
      </c>
      <c r="W74" s="1">
        <f t="shared" si="3"/>
        <v>5.6603773584905662E-2</v>
      </c>
      <c r="X74" s="1">
        <f t="shared" si="3"/>
        <v>7.8902229845626073E-2</v>
      </c>
      <c r="Y74" s="1">
        <f t="shared" si="3"/>
        <v>0.16981132075471697</v>
      </c>
      <c r="Z74" s="1">
        <f t="shared" si="3"/>
        <v>0.1732418524871355</v>
      </c>
      <c r="AA74" s="1">
        <f t="shared" si="3"/>
        <v>4.8027444253859346E-2</v>
      </c>
      <c r="AB74" s="1">
        <f t="shared" si="3"/>
        <v>5.8319039451114926E-2</v>
      </c>
      <c r="AC74" s="1"/>
    </row>
    <row r="75" spans="1:30">
      <c r="A75" s="8"/>
      <c r="B75" t="s">
        <v>55</v>
      </c>
      <c r="C75" s="4">
        <v>583</v>
      </c>
      <c r="D75" s="4">
        <v>61</v>
      </c>
      <c r="E75" s="4">
        <v>64</v>
      </c>
      <c r="F75" s="4">
        <v>9</v>
      </c>
      <c r="G75" s="4">
        <v>15</v>
      </c>
      <c r="H75" s="4">
        <v>103</v>
      </c>
      <c r="I75" s="4">
        <v>106</v>
      </c>
      <c r="J75" s="4">
        <v>47</v>
      </c>
      <c r="K75">
        <v>60</v>
      </c>
      <c r="L75">
        <v>64</v>
      </c>
      <c r="M75">
        <v>64</v>
      </c>
      <c r="N75">
        <v>26</v>
      </c>
      <c r="O75">
        <v>31</v>
      </c>
      <c r="Q75" s="1">
        <f t="shared" si="4"/>
        <v>0.10463121783876501</v>
      </c>
      <c r="R75" s="1">
        <f t="shared" si="4"/>
        <v>0.10977701543739279</v>
      </c>
      <c r="S75" s="1">
        <f t="shared" si="4"/>
        <v>1.5437392795883362E-2</v>
      </c>
      <c r="T75" s="1">
        <f t="shared" si="3"/>
        <v>2.5728987993138937E-2</v>
      </c>
      <c r="U75" s="1">
        <f t="shared" si="3"/>
        <v>0.17667238421955403</v>
      </c>
      <c r="V75" s="1">
        <f t="shared" si="3"/>
        <v>0.18181818181818182</v>
      </c>
      <c r="W75" s="1">
        <f t="shared" si="3"/>
        <v>8.0617495711835338E-2</v>
      </c>
      <c r="X75" s="1">
        <f t="shared" si="3"/>
        <v>0.10291595197255575</v>
      </c>
      <c r="Y75" s="1">
        <f t="shared" si="3"/>
        <v>0.10977701543739279</v>
      </c>
      <c r="Z75" s="1">
        <f t="shared" si="3"/>
        <v>0.10977701543739279</v>
      </c>
      <c r="AA75" s="1">
        <f t="shared" si="3"/>
        <v>4.4596912521440824E-2</v>
      </c>
      <c r="AB75" s="1">
        <f t="shared" si="3"/>
        <v>5.3173241852487133E-2</v>
      </c>
      <c r="AC75" s="1"/>
    </row>
    <row r="76" spans="1:30">
      <c r="A76" s="8"/>
      <c r="B76" t="s">
        <v>56</v>
      </c>
      <c r="C76" s="4">
        <v>583</v>
      </c>
      <c r="D76" s="4">
        <v>54</v>
      </c>
      <c r="E76" s="4">
        <v>55</v>
      </c>
      <c r="F76" s="4">
        <v>20</v>
      </c>
      <c r="G76" s="4">
        <v>26</v>
      </c>
      <c r="H76" s="4">
        <v>75</v>
      </c>
      <c r="I76" s="4">
        <v>78</v>
      </c>
      <c r="J76" s="4">
        <v>28</v>
      </c>
      <c r="K76">
        <v>32</v>
      </c>
      <c r="L76">
        <v>79</v>
      </c>
      <c r="M76">
        <v>83</v>
      </c>
      <c r="N76">
        <v>26</v>
      </c>
      <c r="O76">
        <v>36</v>
      </c>
      <c r="Q76" s="1">
        <f t="shared" si="4"/>
        <v>9.2624356775300176E-2</v>
      </c>
      <c r="R76" s="1">
        <f t="shared" si="4"/>
        <v>9.4339622641509441E-2</v>
      </c>
      <c r="S76" s="1">
        <f t="shared" si="4"/>
        <v>3.430531732418525E-2</v>
      </c>
      <c r="T76" s="1">
        <f t="shared" si="3"/>
        <v>4.4596912521440824E-2</v>
      </c>
      <c r="U76" s="1">
        <f t="shared" si="3"/>
        <v>0.12864493996569468</v>
      </c>
      <c r="V76" s="1">
        <f t="shared" si="3"/>
        <v>0.13379073756432247</v>
      </c>
      <c r="W76" s="1">
        <f t="shared" si="3"/>
        <v>4.8027444253859346E-2</v>
      </c>
      <c r="X76" s="1">
        <f t="shared" si="3"/>
        <v>5.4888507718696397E-2</v>
      </c>
      <c r="Y76" s="1">
        <f t="shared" si="3"/>
        <v>0.13550600343053174</v>
      </c>
      <c r="Z76" s="1">
        <f t="shared" si="3"/>
        <v>0.14236706689536879</v>
      </c>
      <c r="AA76" s="1">
        <f t="shared" si="3"/>
        <v>4.4596912521440824E-2</v>
      </c>
      <c r="AB76" s="1">
        <f t="shared" si="3"/>
        <v>6.1749571183533448E-2</v>
      </c>
      <c r="AC76" s="1"/>
    </row>
    <row r="77" spans="1:30">
      <c r="A77" s="8"/>
      <c r="B77" t="s">
        <v>57</v>
      </c>
      <c r="C77" s="4">
        <v>583</v>
      </c>
      <c r="D77" s="4">
        <v>80</v>
      </c>
      <c r="E77" s="4">
        <v>93</v>
      </c>
      <c r="F77" s="4">
        <v>16</v>
      </c>
      <c r="G77" s="4">
        <v>22</v>
      </c>
      <c r="H77" s="4">
        <v>71</v>
      </c>
      <c r="I77" s="4">
        <v>72</v>
      </c>
      <c r="J77" s="4">
        <v>22</v>
      </c>
      <c r="K77">
        <v>31</v>
      </c>
      <c r="L77">
        <v>40</v>
      </c>
      <c r="M77">
        <v>40</v>
      </c>
      <c r="N77">
        <v>17</v>
      </c>
      <c r="O77">
        <v>27</v>
      </c>
      <c r="Q77" s="1">
        <f t="shared" si="4"/>
        <v>0.137221269296741</v>
      </c>
      <c r="R77" s="1">
        <f t="shared" si="4"/>
        <v>0.15951972555746141</v>
      </c>
      <c r="S77" s="1">
        <f t="shared" si="4"/>
        <v>2.7444253859348199E-2</v>
      </c>
      <c r="T77" s="1">
        <f t="shared" si="3"/>
        <v>3.7735849056603772E-2</v>
      </c>
      <c r="U77" s="1">
        <f t="shared" si="3"/>
        <v>0.12178387650085763</v>
      </c>
      <c r="V77" s="1">
        <f t="shared" si="3"/>
        <v>0.1234991423670669</v>
      </c>
      <c r="W77" s="1">
        <f t="shared" si="3"/>
        <v>3.7735849056603772E-2</v>
      </c>
      <c r="X77" s="1">
        <f t="shared" si="3"/>
        <v>5.3173241852487133E-2</v>
      </c>
      <c r="Y77" s="1">
        <f t="shared" si="3"/>
        <v>6.86106346483705E-2</v>
      </c>
      <c r="Z77" s="1">
        <f t="shared" si="3"/>
        <v>6.86106346483705E-2</v>
      </c>
      <c r="AA77" s="1">
        <f t="shared" si="3"/>
        <v>2.9159519725557463E-2</v>
      </c>
      <c r="AB77" s="1">
        <f t="shared" si="3"/>
        <v>4.6312178387650088E-2</v>
      </c>
      <c r="AC77" s="1"/>
    </row>
    <row r="79" spans="1:30">
      <c r="B79" s="2" t="s">
        <v>2</v>
      </c>
      <c r="C79" s="3">
        <f>AVERAGE(C4:C11)</f>
        <v>604.125</v>
      </c>
      <c r="D79" s="3"/>
      <c r="E79" s="3"/>
      <c r="F79" s="3">
        <f>AVERAGE(F4:F11)</f>
        <v>36.875</v>
      </c>
      <c r="G79" s="3">
        <f>AVERAGE(G4:G11)</f>
        <v>41.75</v>
      </c>
      <c r="H79" s="3"/>
      <c r="I79" s="3"/>
      <c r="J79" s="3">
        <f>AVERAGE(J4:J11)</f>
        <v>26.5</v>
      </c>
      <c r="K79" s="3">
        <f>AVERAGE(K4:K11)</f>
        <v>31.625</v>
      </c>
      <c r="L79" s="3"/>
      <c r="M79" s="3"/>
      <c r="N79" s="3">
        <f>AVERAGE(N4:N11)</f>
        <v>24.625</v>
      </c>
      <c r="O79" s="3">
        <f>AVERAGE(O4:O11)</f>
        <v>31.25</v>
      </c>
      <c r="Q79" s="3">
        <f t="shared" ref="Q79:Z79" si="5">AVERAGE(Q4:Q11)</f>
        <v>0.28494772814095415</v>
      </c>
      <c r="R79" s="3">
        <f t="shared" si="5"/>
        <v>0.30768769969957488</v>
      </c>
      <c r="S79" s="3"/>
      <c r="T79" s="3"/>
      <c r="U79" s="3">
        <f t="shared" si="5"/>
        <v>0.14724674065975582</v>
      </c>
      <c r="V79" s="3">
        <f t="shared" si="5"/>
        <v>0.1506649678042816</v>
      </c>
      <c r="W79" s="3"/>
      <c r="X79" s="3"/>
      <c r="Y79" s="3">
        <f t="shared" si="5"/>
        <v>0.10982585060908459</v>
      </c>
      <c r="Z79" s="3">
        <f t="shared" si="5"/>
        <v>0.11303734559297353</v>
      </c>
      <c r="AA79" s="3"/>
      <c r="AB79" s="3"/>
      <c r="AC79" s="3"/>
    </row>
    <row r="80" spans="1:30">
      <c r="B80" s="2" t="s">
        <v>3</v>
      </c>
      <c r="C80" s="3">
        <f>AVERAGE(C12:C19)</f>
        <v>667</v>
      </c>
      <c r="D80" s="3"/>
      <c r="E80" s="3"/>
      <c r="F80" s="3">
        <f>AVERAGE(F12:F19)</f>
        <v>22.125</v>
      </c>
      <c r="G80" s="3">
        <f>AVERAGE(G12:G19)</f>
        <v>25.5</v>
      </c>
      <c r="H80" s="3"/>
      <c r="I80" s="3"/>
      <c r="J80" s="3">
        <f>AVERAGE(J12:J19)</f>
        <v>28.25</v>
      </c>
      <c r="K80" s="3">
        <f>AVERAGE(K12:K19)</f>
        <v>37.625</v>
      </c>
      <c r="L80" s="3"/>
      <c r="M80" s="3"/>
      <c r="N80" s="3">
        <f>AVERAGE(N12:N19)</f>
        <v>23.25</v>
      </c>
      <c r="O80" s="3">
        <f>AVERAGE(O12:O19)</f>
        <v>28.5</v>
      </c>
      <c r="P80" s="2"/>
      <c r="Q80" s="3">
        <f t="shared" ref="Q80:Z80" si="6">AVERAGE(Q12:Q19)</f>
        <v>0.19207044445058208</v>
      </c>
      <c r="R80" s="3">
        <f t="shared" si="6"/>
        <v>0.20642392685296032</v>
      </c>
      <c r="S80" s="3"/>
      <c r="T80" s="3"/>
      <c r="U80" s="3">
        <f t="shared" si="6"/>
        <v>0.14438513647015164</v>
      </c>
      <c r="V80" s="3">
        <f t="shared" si="6"/>
        <v>0.15127411538237021</v>
      </c>
      <c r="W80" s="3"/>
      <c r="X80" s="3"/>
      <c r="Y80" s="3">
        <f t="shared" si="6"/>
        <v>0.10758794198208259</v>
      </c>
      <c r="Z80" s="3">
        <f t="shared" si="6"/>
        <v>0.11099919146072612</v>
      </c>
      <c r="AA80" s="3"/>
      <c r="AB80" s="3"/>
      <c r="AC80" s="3"/>
      <c r="AD80" s="4"/>
    </row>
    <row r="81" spans="2:30">
      <c r="B81" s="2" t="s">
        <v>10</v>
      </c>
      <c r="C81" s="3">
        <f>AVERAGE(C20:C27)</f>
        <v>678</v>
      </c>
      <c r="D81" s="3"/>
      <c r="E81" s="3"/>
      <c r="F81" s="3">
        <f>AVERAGE(F20:F27)</f>
        <v>23.875</v>
      </c>
      <c r="G81" s="3">
        <f>AVERAGE(G20:G27)</f>
        <v>28.375</v>
      </c>
      <c r="H81" s="3"/>
      <c r="I81" s="3"/>
      <c r="J81" s="3">
        <f>AVERAGE(J20:J27)</f>
        <v>25.375</v>
      </c>
      <c r="K81" s="3">
        <f>AVERAGE(K20:K27)</f>
        <v>33.375</v>
      </c>
      <c r="L81" s="3"/>
      <c r="M81" s="3"/>
      <c r="N81" s="3">
        <f>AVERAGE(N20:N27)</f>
        <v>20.5</v>
      </c>
      <c r="O81" s="3">
        <f>AVERAGE(O20:O27)</f>
        <v>24.875</v>
      </c>
      <c r="P81" s="2"/>
      <c r="Q81" s="3">
        <f t="shared" ref="Q81:Z81" si="7">AVERAGE(Q20:Q27)</f>
        <v>0.1828418069494766</v>
      </c>
      <c r="R81" s="3">
        <f t="shared" si="7"/>
        <v>0.19503484739860047</v>
      </c>
      <c r="S81" s="3"/>
      <c r="T81" s="3"/>
      <c r="U81" s="3">
        <f t="shared" si="7"/>
        <v>0.13702717233576772</v>
      </c>
      <c r="V81" s="3">
        <f t="shared" si="7"/>
        <v>0.14069906934395557</v>
      </c>
      <c r="W81" s="3"/>
      <c r="X81" s="3"/>
      <c r="Y81" s="3">
        <f t="shared" si="7"/>
        <v>9.9565775807992335E-2</v>
      </c>
      <c r="Z81" s="3">
        <f t="shared" si="7"/>
        <v>0.10200418730295009</v>
      </c>
      <c r="AA81" s="3"/>
      <c r="AB81" s="3"/>
      <c r="AC81" s="3"/>
      <c r="AD81" s="4"/>
    </row>
    <row r="82" spans="2:30">
      <c r="B82" s="2" t="s">
        <v>0</v>
      </c>
      <c r="C82" s="3">
        <f>AVERAGE(C28:C36)</f>
        <v>574.33333333333337</v>
      </c>
      <c r="D82" s="3"/>
      <c r="E82" s="3"/>
      <c r="F82" s="3">
        <f>AVERAGE(F28:F36)</f>
        <v>25.888888888888889</v>
      </c>
      <c r="G82" s="3">
        <f>AVERAGE(G28:G36)</f>
        <v>30.666666666666668</v>
      </c>
      <c r="H82" s="3"/>
      <c r="I82" s="3"/>
      <c r="J82" s="3">
        <f>AVERAGE(J28:J36)</f>
        <v>26.777777777777779</v>
      </c>
      <c r="K82" s="3">
        <f>AVERAGE(K28:K36)</f>
        <v>35.333333333333336</v>
      </c>
      <c r="L82" s="3"/>
      <c r="M82" s="3"/>
      <c r="N82" s="3">
        <f>AVERAGE(N28:N36)</f>
        <v>24.888888888888889</v>
      </c>
      <c r="O82" s="3">
        <f>AVERAGE(O28:O36)</f>
        <v>33.111111111111114</v>
      </c>
      <c r="Q82" s="3">
        <f t="shared" ref="Q82:Z82" si="8">AVERAGE(Q28:Q36)</f>
        <v>0.20537871425133064</v>
      </c>
      <c r="R82" s="3">
        <f t="shared" si="8"/>
        <v>0.22301431583746675</v>
      </c>
      <c r="S82" s="3"/>
      <c r="T82" s="3"/>
      <c r="U82" s="3">
        <f t="shared" si="8"/>
        <v>0.14751241313793675</v>
      </c>
      <c r="V82" s="3">
        <f t="shared" si="8"/>
        <v>0.15411241145179952</v>
      </c>
      <c r="W82" s="3"/>
      <c r="X82" s="3"/>
      <c r="Y82" s="3">
        <f t="shared" si="8"/>
        <v>0.10595849078204383</v>
      </c>
      <c r="Z82" s="3">
        <f t="shared" si="8"/>
        <v>0.10879907999449538</v>
      </c>
      <c r="AA82" s="3"/>
      <c r="AB82" s="3"/>
      <c r="AC82" s="3"/>
    </row>
    <row r="83" spans="2:30">
      <c r="B83" s="2" t="s">
        <v>1</v>
      </c>
      <c r="C83" s="3">
        <f>AVERAGE(C37:C45)</f>
        <v>573</v>
      </c>
      <c r="D83" s="3"/>
      <c r="E83" s="3"/>
      <c r="F83" s="3">
        <f>AVERAGE(F37:F45)</f>
        <v>18.333333333333332</v>
      </c>
      <c r="G83" s="3">
        <f>AVERAGE(G37:G45)</f>
        <v>22.888888888888889</v>
      </c>
      <c r="H83" s="3"/>
      <c r="I83" s="3"/>
      <c r="J83" s="3">
        <f>AVERAGE(J37:J45)</f>
        <v>26.888888888888889</v>
      </c>
      <c r="K83" s="3">
        <f>AVERAGE(K37:K45)</f>
        <v>35.111111111111114</v>
      </c>
      <c r="L83" s="3"/>
      <c r="M83" s="3"/>
      <c r="N83" s="3">
        <f>AVERAGE(N37:N45)</f>
        <v>23.666666666666668</v>
      </c>
      <c r="O83" s="3">
        <f>AVERAGE(O37:O45)</f>
        <v>29.777777777777779</v>
      </c>
      <c r="Q83" s="3">
        <f t="shared" ref="Q83:Z83" si="9">AVERAGE(Q37:Q45)</f>
        <v>0.14003713673430715</v>
      </c>
      <c r="R83" s="3">
        <f t="shared" si="9"/>
        <v>0.15387374108918234</v>
      </c>
      <c r="S83" s="3"/>
      <c r="T83" s="3"/>
      <c r="U83" s="3">
        <f t="shared" si="9"/>
        <v>0.14801421527440659</v>
      </c>
      <c r="V83" s="3">
        <f t="shared" si="9"/>
        <v>0.15241397252917874</v>
      </c>
      <c r="W83" s="3"/>
      <c r="X83" s="3"/>
      <c r="Y83" s="3">
        <f t="shared" si="9"/>
        <v>0.10629342675745704</v>
      </c>
      <c r="Z83" s="3">
        <f t="shared" si="9"/>
        <v>0.10879171131927157</v>
      </c>
      <c r="AA83" s="3"/>
      <c r="AB83" s="3"/>
      <c r="AC83" s="3"/>
    </row>
    <row r="84" spans="2:30">
      <c r="B84" s="2" t="s">
        <v>4</v>
      </c>
      <c r="C84" s="3">
        <f>AVERAGE(C46:C53)</f>
        <v>614.625</v>
      </c>
      <c r="D84" s="3"/>
      <c r="E84" s="3"/>
      <c r="F84" s="3">
        <f>AVERAGE(F46:F53)</f>
        <v>14.375</v>
      </c>
      <c r="G84" s="3">
        <f>AVERAGE(G46:G53)</f>
        <v>16.75</v>
      </c>
      <c r="H84" s="3"/>
      <c r="I84" s="3"/>
      <c r="J84" s="3">
        <f>AVERAGE(J46:J53)</f>
        <v>25.75</v>
      </c>
      <c r="K84" s="3">
        <f>AVERAGE(K46:K53)</f>
        <v>32.375</v>
      </c>
      <c r="L84" s="3"/>
      <c r="M84" s="3"/>
      <c r="N84" s="3">
        <f>AVERAGE(N46:N53)</f>
        <v>22.625</v>
      </c>
      <c r="O84" s="3">
        <f>AVERAGE(O46:O53)</f>
        <v>28.125</v>
      </c>
      <c r="Q84" s="3">
        <f t="shared" ref="Q84:Z84" si="10">AVERAGE(Q46:Q53)</f>
        <v>0.12993249903002299</v>
      </c>
      <c r="R84" s="3">
        <f t="shared" si="10"/>
        <v>0.1366383395709436</v>
      </c>
      <c r="S84" s="3"/>
      <c r="T84" s="3"/>
      <c r="U84" s="3">
        <f t="shared" si="10"/>
        <v>0.13624610018689701</v>
      </c>
      <c r="V84" s="3">
        <f t="shared" si="10"/>
        <v>0.14148356911874663</v>
      </c>
      <c r="W84" s="3"/>
      <c r="X84" s="3"/>
      <c r="Y84" s="3">
        <f t="shared" si="10"/>
        <v>9.7153087099628041E-2</v>
      </c>
      <c r="Z84" s="3">
        <f t="shared" si="10"/>
        <v>9.9396357477522151E-2</v>
      </c>
      <c r="AA84" s="3"/>
      <c r="AB84" s="3"/>
      <c r="AC84" s="3"/>
    </row>
    <row r="85" spans="2:30">
      <c r="B85" s="2" t="s">
        <v>5</v>
      </c>
      <c r="C85" s="3">
        <f>AVERAGE(C54:C58)</f>
        <v>533.20000000000005</v>
      </c>
      <c r="D85" s="3"/>
      <c r="E85" s="3"/>
      <c r="F85" s="3">
        <f>AVERAGE(F54:F58)</f>
        <v>7.2</v>
      </c>
      <c r="G85" s="3">
        <f>AVERAGE(G54:G58)</f>
        <v>8</v>
      </c>
      <c r="H85" s="3"/>
      <c r="I85" s="3"/>
      <c r="J85" s="3">
        <f>AVERAGE(J54:J58)</f>
        <v>16.8</v>
      </c>
      <c r="K85" s="3">
        <f>AVERAGE(K54:K58)</f>
        <v>22.4</v>
      </c>
      <c r="L85" s="3"/>
      <c r="M85" s="3"/>
      <c r="N85" s="3">
        <f>AVERAGE(N54:N58)</f>
        <v>20.2</v>
      </c>
      <c r="O85" s="3">
        <f>AVERAGE(O54:O58)</f>
        <v>27.6</v>
      </c>
      <c r="Q85" s="3">
        <f t="shared" ref="Q85:Z85" si="11">AVERAGE(Q54:Q58)</f>
        <v>8.9072760036813012E-2</v>
      </c>
      <c r="R85" s="3">
        <f>AVERAGE(R54:R58)</f>
        <v>9.4483016752924587E-2</v>
      </c>
      <c r="S85" s="3"/>
      <c r="T85" s="3"/>
      <c r="U85" s="3">
        <f t="shared" si="11"/>
        <v>0.13167425334360958</v>
      </c>
      <c r="V85" s="3">
        <f t="shared" si="11"/>
        <v>0.13580128325629492</v>
      </c>
      <c r="W85" s="3"/>
      <c r="X85" s="3"/>
      <c r="Y85" s="3">
        <f t="shared" si="11"/>
        <v>0.10133870379308299</v>
      </c>
      <c r="Z85" s="3">
        <f t="shared" si="11"/>
        <v>0.10370183558429838</v>
      </c>
      <c r="AA85" s="3"/>
      <c r="AB85" s="3"/>
      <c r="AC85" s="3"/>
    </row>
    <row r="86" spans="2:30">
      <c r="B86" s="2" t="s">
        <v>11</v>
      </c>
      <c r="C86" s="3">
        <f>AVERAGE(C59:C63)</f>
        <v>543.79999999999995</v>
      </c>
      <c r="D86" s="3"/>
      <c r="E86" s="3"/>
      <c r="F86" s="3">
        <f>AVERAGE(F59:F63)</f>
        <v>12</v>
      </c>
      <c r="G86" s="3">
        <f>AVERAGE(G59:G63)</f>
        <v>13.8</v>
      </c>
      <c r="H86" s="3"/>
      <c r="I86" s="3"/>
      <c r="J86" s="3">
        <f>AVERAGE(J59:J63)</f>
        <v>16.399999999999999</v>
      </c>
      <c r="K86" s="3">
        <f>AVERAGE(K59:K63)</f>
        <v>19.8</v>
      </c>
      <c r="L86" s="3"/>
      <c r="M86" s="3"/>
      <c r="N86" s="3">
        <f>AVERAGE(N59:N63)</f>
        <v>19.8</v>
      </c>
      <c r="O86" s="3">
        <f>AVERAGE(O59:O63)</f>
        <v>26.4</v>
      </c>
      <c r="Q86" s="3">
        <f t="shared" ref="Q86:Z86" si="12">AVERAGE(Q59:Q63)</f>
        <v>0.13235212057519191</v>
      </c>
      <c r="R86" s="3">
        <f t="shared" si="12"/>
        <v>0.14298897700469632</v>
      </c>
      <c r="S86" s="3"/>
      <c r="T86" s="3"/>
      <c r="U86" s="3">
        <f t="shared" si="12"/>
        <v>0.12857829916599184</v>
      </c>
      <c r="V86" s="3">
        <f t="shared" si="12"/>
        <v>0.13283763572059612</v>
      </c>
      <c r="W86" s="3"/>
      <c r="X86" s="3"/>
      <c r="Y86" s="3">
        <f t="shared" si="12"/>
        <v>9.4697798686319071E-2</v>
      </c>
      <c r="Z86" s="3">
        <f t="shared" si="12"/>
        <v>9.6700688936715226E-2</v>
      </c>
      <c r="AA86" s="3"/>
      <c r="AB86" s="3"/>
      <c r="AC86" s="3"/>
    </row>
    <row r="87" spans="2:30">
      <c r="B87" s="2" t="s">
        <v>6</v>
      </c>
      <c r="C87" s="3">
        <f>AVERAGE(C64:C70)</f>
        <v>583</v>
      </c>
      <c r="D87" s="3"/>
      <c r="E87" s="3"/>
      <c r="F87" s="3">
        <f>AVERAGE(F64:F70)</f>
        <v>17.714285714285715</v>
      </c>
      <c r="G87" s="3">
        <f>AVERAGE(G64:G70)</f>
        <v>21.285714285714285</v>
      </c>
      <c r="H87" s="3"/>
      <c r="I87" s="3"/>
      <c r="J87" s="3">
        <f>AVERAGE(J64:J70)</f>
        <v>27.428571428571427</v>
      </c>
      <c r="K87" s="3">
        <f>AVERAGE(K64:K70)</f>
        <v>36</v>
      </c>
      <c r="L87" s="3"/>
      <c r="M87" s="3"/>
      <c r="N87" s="3">
        <f>AVERAGE(N64:N70)</f>
        <v>23.142857142857142</v>
      </c>
      <c r="O87" s="3">
        <f>AVERAGE(O64:O70)</f>
        <v>29.285714285714285</v>
      </c>
      <c r="Q87" s="3">
        <f t="shared" ref="Q87:Z87" si="13">AVERAGE(Q64:Q70)</f>
        <v>0.13624111737319283</v>
      </c>
      <c r="R87" s="3">
        <f>AVERAGE(R64:R70)</f>
        <v>0.14383729478069102</v>
      </c>
      <c r="S87" s="3"/>
      <c r="T87" s="3"/>
      <c r="U87" s="3">
        <f t="shared" si="13"/>
        <v>0.12521440823327618</v>
      </c>
      <c r="V87" s="3">
        <f t="shared" si="13"/>
        <v>0.12962509188924282</v>
      </c>
      <c r="W87" s="3"/>
      <c r="X87" s="3"/>
      <c r="Y87" s="3">
        <f t="shared" si="13"/>
        <v>0.10928693947561874</v>
      </c>
      <c r="Z87" s="3">
        <f t="shared" si="13"/>
        <v>0.11222739524626317</v>
      </c>
      <c r="AA87" s="3"/>
      <c r="AB87" s="3"/>
      <c r="AC87" s="3"/>
    </row>
    <row r="88" spans="2:30">
      <c r="B88" s="2" t="s">
        <v>7</v>
      </c>
      <c r="C88" s="3">
        <f>AVERAGE(C71:C77)</f>
        <v>583</v>
      </c>
      <c r="D88" s="3"/>
      <c r="E88" s="3"/>
      <c r="F88" s="3">
        <f>AVERAGE(F71:F77)</f>
        <v>13.714285714285714</v>
      </c>
      <c r="G88" s="3">
        <f>AVERAGE(G71:G77)</f>
        <v>17.857142857142858</v>
      </c>
      <c r="H88" s="3"/>
      <c r="I88" s="3"/>
      <c r="J88" s="3">
        <f>AVERAGE(J71:J77)</f>
        <v>31</v>
      </c>
      <c r="K88" s="3">
        <f>AVERAGE(K71:K77)</f>
        <v>40</v>
      </c>
      <c r="L88" s="3"/>
      <c r="M88" s="3"/>
      <c r="N88" s="3">
        <f>AVERAGE(N71:N77)</f>
        <v>25.142857142857142</v>
      </c>
      <c r="O88" s="3">
        <f>AVERAGE(O71:O77)</f>
        <v>33.142857142857146</v>
      </c>
      <c r="Q88" s="3">
        <f t="shared" ref="Q88:Z88" si="14">AVERAGE(Q71:Q77)</f>
        <v>0.1038961038961039</v>
      </c>
      <c r="R88" s="3">
        <f t="shared" si="14"/>
        <v>0.1124724332271502</v>
      </c>
      <c r="S88" s="3"/>
      <c r="T88" s="3"/>
      <c r="U88" s="3">
        <f t="shared" si="14"/>
        <v>0.14089683901004654</v>
      </c>
      <c r="V88" s="3">
        <f t="shared" si="14"/>
        <v>0.1450624846851262</v>
      </c>
      <c r="W88" s="3"/>
      <c r="X88" s="3"/>
      <c r="Y88" s="3">
        <f t="shared" si="14"/>
        <v>0.11198235726537613</v>
      </c>
      <c r="Z88" s="3">
        <f t="shared" si="14"/>
        <v>0.11443273707424652</v>
      </c>
      <c r="AA88" s="3"/>
      <c r="AB88" s="3"/>
      <c r="AC88" s="3"/>
    </row>
    <row r="90" spans="2:30">
      <c r="B90" s="2" t="s">
        <v>2</v>
      </c>
      <c r="C90">
        <f>F79/C79</f>
        <v>6.1038692323608527E-2</v>
      </c>
    </row>
    <row r="91" spans="2:30">
      <c r="B91" s="2" t="s">
        <v>3</v>
      </c>
      <c r="C91">
        <f t="shared" ref="C91:C99" si="15">F80/C80</f>
        <v>3.3170914542728636E-2</v>
      </c>
    </row>
    <row r="92" spans="2:30">
      <c r="B92" s="2" t="s">
        <v>10</v>
      </c>
      <c r="C92">
        <f t="shared" si="15"/>
        <v>3.5213864306784658E-2</v>
      </c>
      <c r="G92">
        <f>F46/C46</f>
        <v>1.9637462235649546E-2</v>
      </c>
      <c r="J92" t="s">
        <v>38</v>
      </c>
      <c r="O92">
        <f>F64/C64</f>
        <v>2.9159519725557463E-2</v>
      </c>
      <c r="P92" t="s">
        <v>51</v>
      </c>
    </row>
    <row r="93" spans="2:30">
      <c r="B93" s="2" t="s">
        <v>0</v>
      </c>
      <c r="C93">
        <f t="shared" si="15"/>
        <v>4.5076417101953953E-2</v>
      </c>
      <c r="G93">
        <f t="shared" ref="G93:G99" si="16">F47/C47</f>
        <v>2.6946107784431138E-2</v>
      </c>
      <c r="J93" t="s">
        <v>39</v>
      </c>
      <c r="O93">
        <f t="shared" ref="O93:O98" si="17">F65/C65</f>
        <v>1.8867924528301886E-2</v>
      </c>
      <c r="P93" t="s">
        <v>52</v>
      </c>
    </row>
    <row r="94" spans="2:30">
      <c r="B94" s="2" t="s">
        <v>1</v>
      </c>
      <c r="C94">
        <f t="shared" si="15"/>
        <v>3.1995346131471786E-2</v>
      </c>
      <c r="G94">
        <f t="shared" si="16"/>
        <v>3.2620922384701913E-2</v>
      </c>
      <c r="J94" t="s">
        <v>40</v>
      </c>
      <c r="O94">
        <f t="shared" si="17"/>
        <v>5.8319039451114926E-2</v>
      </c>
      <c r="P94" t="s">
        <v>53</v>
      </c>
    </row>
    <row r="95" spans="2:30">
      <c r="B95" s="2" t="s">
        <v>4</v>
      </c>
      <c r="C95">
        <f>F84/C84</f>
        <v>2.3388244864754933E-2</v>
      </c>
      <c r="G95">
        <f t="shared" si="16"/>
        <v>1.984126984126984E-2</v>
      </c>
      <c r="J95" t="s">
        <v>41</v>
      </c>
      <c r="O95">
        <f t="shared" si="17"/>
        <v>2.2298456260720412E-2</v>
      </c>
      <c r="P95" t="s">
        <v>54</v>
      </c>
    </row>
    <row r="96" spans="2:30">
      <c r="B96" s="2" t="s">
        <v>5</v>
      </c>
      <c r="C96">
        <f t="shared" si="15"/>
        <v>1.3503375843960989E-2</v>
      </c>
      <c r="G96">
        <f t="shared" si="16"/>
        <v>2.9850746268656716E-2</v>
      </c>
      <c r="J96" t="s">
        <v>42</v>
      </c>
      <c r="O96">
        <f t="shared" si="17"/>
        <v>1.5437392795883362E-2</v>
      </c>
      <c r="P96" t="s">
        <v>55</v>
      </c>
    </row>
    <row r="97" spans="2:16">
      <c r="B97" s="2" t="s">
        <v>11</v>
      </c>
      <c r="C97">
        <f t="shared" si="15"/>
        <v>2.2066936373666791E-2</v>
      </c>
      <c r="G97">
        <f t="shared" si="16"/>
        <v>2.6666666666666668E-2</v>
      </c>
      <c r="J97" t="s">
        <v>43</v>
      </c>
      <c r="O97">
        <f t="shared" si="17"/>
        <v>3.9451114922813037E-2</v>
      </c>
      <c r="P97" t="s">
        <v>56</v>
      </c>
    </row>
    <row r="98" spans="2:16">
      <c r="B98" s="2" t="s">
        <v>6</v>
      </c>
      <c r="C98">
        <f t="shared" si="15"/>
        <v>3.0384709629992651E-2</v>
      </c>
      <c r="G98">
        <f t="shared" si="16"/>
        <v>1.7857142857142856E-2</v>
      </c>
      <c r="J98" t="s">
        <v>44</v>
      </c>
      <c r="O98">
        <f t="shared" si="17"/>
        <v>2.9159519725557463E-2</v>
      </c>
      <c r="P98" t="s">
        <v>57</v>
      </c>
    </row>
    <row r="99" spans="2:16">
      <c r="B99" s="2" t="s">
        <v>7</v>
      </c>
      <c r="C99">
        <f t="shared" si="15"/>
        <v>2.3523646165155596E-2</v>
      </c>
      <c r="G99">
        <f t="shared" si="16"/>
        <v>7.1258907363420431E-3</v>
      </c>
      <c r="J99" t="s">
        <v>45</v>
      </c>
    </row>
    <row r="101" spans="2:16">
      <c r="C101">
        <f>TTEST(F46:F53,F64:F70,2,2)</f>
        <v>0.47135549551075118</v>
      </c>
      <c r="G101">
        <f>TTEST(G92:G99,O92:O98,2,2)</f>
        <v>0.21607336793643392</v>
      </c>
    </row>
  </sheetData>
  <mergeCells count="28">
    <mergeCell ref="A54:A58"/>
    <mergeCell ref="A59:A63"/>
    <mergeCell ref="A64:A70"/>
    <mergeCell ref="A71:A77"/>
    <mergeCell ref="A4:A11"/>
    <mergeCell ref="A12:A19"/>
    <mergeCell ref="A20:A27"/>
    <mergeCell ref="A28:A36"/>
    <mergeCell ref="A37:A45"/>
    <mergeCell ref="A46:A53"/>
    <mergeCell ref="Q2:R2"/>
    <mergeCell ref="S2:T2"/>
    <mergeCell ref="U2:V2"/>
    <mergeCell ref="W2:X2"/>
    <mergeCell ref="Y2:Z2"/>
    <mergeCell ref="AA2:AB2"/>
    <mergeCell ref="D2:E2"/>
    <mergeCell ref="F2:G2"/>
    <mergeCell ref="H2:I2"/>
    <mergeCell ref="J2:K2"/>
    <mergeCell ref="L2:M2"/>
    <mergeCell ref="N2:O2"/>
    <mergeCell ref="D1:G1"/>
    <mergeCell ref="H1:K1"/>
    <mergeCell ref="L1:O1"/>
    <mergeCell ref="Q1:T1"/>
    <mergeCell ref="U1:X1"/>
    <mergeCell ref="Y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</vt:lpstr>
      <vt:lpstr>BroadBdSpi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2017-04-01T13:07:05Z</dcterms:modified>
</cp:coreProperties>
</file>