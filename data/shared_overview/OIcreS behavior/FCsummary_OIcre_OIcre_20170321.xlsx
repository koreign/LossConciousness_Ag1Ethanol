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OIcreS behavior/"/>
    </mc:Choice>
  </mc:AlternateContent>
  <bookViews>
    <workbookView xWindow="700" yWindow="460" windowWidth="14920" windowHeight="12240" activeTab="2"/>
  </bookViews>
  <sheets>
    <sheet name="Conditioning" sheetId="1" r:id="rId1"/>
    <sheet name="Context" sheetId="2" r:id="rId2"/>
    <sheet name="Tone" sheetId="3" r:id="rId3"/>
    <sheet name="Tone 30s2" sheetId="5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1" i="1" l="1"/>
  <c r="C25" i="2"/>
  <c r="C25" i="1"/>
  <c r="K21" i="2"/>
  <c r="K22" i="2"/>
  <c r="K23" i="2"/>
  <c r="D37" i="3"/>
  <c r="E37" i="3"/>
  <c r="F37" i="3"/>
  <c r="G37" i="3"/>
  <c r="H37" i="3"/>
  <c r="I37" i="3"/>
  <c r="J37" i="3"/>
  <c r="C37" i="3"/>
  <c r="K61" i="2"/>
  <c r="K30" i="2"/>
  <c r="K31" i="2"/>
  <c r="K32" i="2"/>
  <c r="K33" i="2"/>
  <c r="K34" i="2"/>
  <c r="K35" i="2"/>
  <c r="K36" i="2"/>
  <c r="K65" i="2"/>
  <c r="D40" i="2"/>
  <c r="E40" i="2"/>
  <c r="F40" i="2"/>
  <c r="G40" i="2"/>
  <c r="H40" i="2"/>
  <c r="I40" i="2"/>
  <c r="J40" i="2"/>
  <c r="C40" i="2"/>
  <c r="J56" i="1"/>
  <c r="D40" i="1"/>
  <c r="E40" i="1"/>
  <c r="F40" i="1"/>
  <c r="G40" i="1"/>
  <c r="H40" i="1"/>
  <c r="I40" i="1"/>
  <c r="J40" i="1"/>
  <c r="C40" i="1"/>
  <c r="K53" i="2"/>
  <c r="K28" i="2"/>
  <c r="K24" i="2"/>
  <c r="K63" i="2"/>
  <c r="K64" i="2"/>
  <c r="J69" i="1"/>
  <c r="C69" i="1"/>
  <c r="D56" i="1"/>
  <c r="E56" i="1"/>
  <c r="F56" i="1"/>
  <c r="G56" i="1"/>
  <c r="H56" i="1"/>
  <c r="I56" i="1"/>
  <c r="C56" i="1"/>
  <c r="K62" i="2"/>
  <c r="K50" i="2"/>
  <c r="K60" i="2"/>
  <c r="K67" i="2"/>
  <c r="K67" i="5"/>
  <c r="L67" i="5"/>
  <c r="M67" i="5"/>
  <c r="N67" i="5"/>
  <c r="O67" i="5"/>
  <c r="P67" i="5"/>
  <c r="Q67" i="5"/>
  <c r="R67" i="5"/>
  <c r="K55" i="5"/>
  <c r="L55" i="5"/>
  <c r="M55" i="5"/>
  <c r="N55" i="5"/>
  <c r="O55" i="5"/>
  <c r="P55" i="5"/>
  <c r="Q55" i="5"/>
  <c r="R55" i="5"/>
  <c r="K43" i="5"/>
  <c r="L43" i="5"/>
  <c r="M43" i="5"/>
  <c r="N43" i="5"/>
  <c r="O43" i="5"/>
  <c r="P43" i="5"/>
  <c r="Q43" i="5"/>
  <c r="R43" i="5"/>
  <c r="K28" i="5"/>
  <c r="L28" i="5"/>
  <c r="M28" i="5"/>
  <c r="N28" i="5"/>
  <c r="O28" i="5"/>
  <c r="P28" i="5"/>
  <c r="Q28" i="5"/>
  <c r="R28" i="5"/>
  <c r="K14" i="5"/>
  <c r="L14" i="5"/>
  <c r="M14" i="5"/>
  <c r="N14" i="5"/>
  <c r="O14" i="5"/>
  <c r="P14" i="5"/>
  <c r="Q14" i="5"/>
  <c r="R14" i="5"/>
  <c r="J67" i="5"/>
  <c r="I67" i="5"/>
  <c r="H67" i="5"/>
  <c r="G67" i="5"/>
  <c r="F67" i="5"/>
  <c r="E67" i="5"/>
  <c r="D67" i="5"/>
  <c r="C67" i="5"/>
  <c r="J55" i="5"/>
  <c r="I55" i="5"/>
  <c r="H55" i="5"/>
  <c r="G55" i="5"/>
  <c r="F55" i="5"/>
  <c r="E55" i="5"/>
  <c r="D55" i="5"/>
  <c r="C55" i="5"/>
  <c r="J43" i="5"/>
  <c r="I43" i="5"/>
  <c r="H43" i="5"/>
  <c r="G43" i="5"/>
  <c r="F43" i="5"/>
  <c r="E43" i="5"/>
  <c r="D43" i="5"/>
  <c r="C43" i="5"/>
  <c r="J28" i="5"/>
  <c r="I28" i="5"/>
  <c r="H28" i="5"/>
  <c r="G28" i="5"/>
  <c r="F28" i="5"/>
  <c r="E28" i="5"/>
  <c r="D28" i="5"/>
  <c r="C28" i="5"/>
  <c r="J14" i="5"/>
  <c r="I14" i="5"/>
  <c r="H14" i="5"/>
  <c r="G14" i="5"/>
  <c r="F14" i="5"/>
  <c r="E14" i="5"/>
  <c r="D14" i="5"/>
  <c r="C14" i="5"/>
  <c r="J60" i="3"/>
  <c r="I60" i="3"/>
  <c r="H60" i="3"/>
  <c r="G60" i="3"/>
  <c r="F60" i="3"/>
  <c r="E60" i="3"/>
  <c r="D60" i="3"/>
  <c r="C60" i="3"/>
  <c r="D67" i="2"/>
  <c r="E67" i="2"/>
  <c r="F67" i="2"/>
  <c r="G67" i="2"/>
  <c r="H67" i="2"/>
  <c r="I67" i="2"/>
  <c r="J67" i="2"/>
  <c r="C67" i="2"/>
  <c r="D69" i="1"/>
  <c r="E69" i="1"/>
  <c r="F69" i="1"/>
  <c r="G69" i="1"/>
  <c r="H69" i="1"/>
  <c r="I69" i="1"/>
  <c r="D48" i="3"/>
  <c r="E48" i="3"/>
  <c r="F48" i="3"/>
  <c r="G48" i="3"/>
  <c r="H48" i="3"/>
  <c r="I48" i="3"/>
  <c r="J48" i="3"/>
  <c r="C48" i="3"/>
  <c r="K51" i="2"/>
  <c r="K52" i="2"/>
  <c r="K49" i="2"/>
  <c r="D56" i="2"/>
  <c r="E56" i="2"/>
  <c r="F56" i="2"/>
  <c r="G56" i="2"/>
  <c r="H56" i="2"/>
  <c r="I56" i="2"/>
  <c r="J56" i="2"/>
  <c r="C56" i="2"/>
  <c r="K56" i="2"/>
  <c r="K6" i="2"/>
  <c r="K18" i="2"/>
  <c r="K20" i="2"/>
  <c r="K19" i="2"/>
  <c r="K17" i="2"/>
  <c r="K25" i="2"/>
  <c r="K5" i="2"/>
  <c r="K7" i="2"/>
  <c r="K8" i="2"/>
  <c r="K9" i="2"/>
  <c r="K4" i="2"/>
  <c r="K40" i="2"/>
  <c r="I22" i="3"/>
  <c r="J22" i="3"/>
  <c r="I14" i="3"/>
  <c r="J14" i="3"/>
  <c r="K14" i="2"/>
  <c r="H22" i="3"/>
  <c r="G22" i="3"/>
  <c r="F22" i="3"/>
  <c r="E22" i="3"/>
  <c r="D22" i="3"/>
  <c r="C22" i="3"/>
  <c r="H14" i="3"/>
  <c r="G14" i="3"/>
  <c r="F14" i="3"/>
  <c r="E14" i="3"/>
  <c r="D14" i="3"/>
  <c r="C14" i="3"/>
  <c r="J25" i="2"/>
  <c r="I25" i="2"/>
  <c r="H25" i="2"/>
  <c r="G25" i="2"/>
  <c r="F25" i="2"/>
  <c r="E25" i="2"/>
  <c r="D25" i="2"/>
  <c r="J14" i="2"/>
  <c r="I14" i="2"/>
  <c r="H14" i="2"/>
  <c r="G14" i="2"/>
  <c r="F14" i="2"/>
  <c r="E14" i="2"/>
  <c r="D14" i="2"/>
  <c r="C14" i="2"/>
  <c r="D25" i="1"/>
  <c r="E25" i="1"/>
  <c r="F25" i="1"/>
  <c r="G25" i="1"/>
  <c r="H25" i="1"/>
  <c r="I25" i="1"/>
  <c r="J25" i="1"/>
  <c r="D14" i="1"/>
  <c r="E14" i="1"/>
  <c r="F14" i="1"/>
  <c r="G14" i="1"/>
  <c r="H14" i="1"/>
  <c r="I14" i="1"/>
  <c r="J14" i="1"/>
  <c r="C14" i="1"/>
</calcChain>
</file>

<file path=xl/sharedStrings.xml><?xml version="1.0" encoding="utf-8"?>
<sst xmlns="http://schemas.openxmlformats.org/spreadsheetml/2006/main" count="158" uniqueCount="97">
  <si>
    <t>% freeze</t>
  </si>
  <si>
    <t>Onset</t>
  </si>
  <si>
    <t>NO</t>
    <phoneticPr fontId="1" type="noConversion"/>
  </si>
  <si>
    <t>CH</t>
    <phoneticPr fontId="1" type="noConversion"/>
  </si>
  <si>
    <t>OIcreNO1</t>
  </si>
  <si>
    <t>OIcreNO2</t>
  </si>
  <si>
    <t>OIcreCH1</t>
  </si>
  <si>
    <t>OIcreNO3</t>
  </si>
  <si>
    <t>OIcreNO4</t>
  </si>
  <si>
    <t>OIcreNO5</t>
  </si>
  <si>
    <t>OIcreNO6</t>
  </si>
  <si>
    <t>OIcreCH3</t>
  </si>
  <si>
    <t>mean</t>
    <phoneticPr fontId="1" type="noConversion"/>
  </si>
  <si>
    <t>OIcreNO1c</t>
  </si>
  <si>
    <t>OIcreNO2c</t>
  </si>
  <si>
    <t>OIcreCH1c</t>
  </si>
  <si>
    <t>OIcreNO3c</t>
  </si>
  <si>
    <t>OIcreNO4c</t>
  </si>
  <si>
    <t>OIcreNO1t</t>
  </si>
  <si>
    <t>OIcreNO2t</t>
  </si>
  <si>
    <t>OIcreCH1t</t>
  </si>
  <si>
    <t>OIcreCH2t</t>
  </si>
  <si>
    <t>OIcreNO3t</t>
  </si>
  <si>
    <t>OIcreNO4t</t>
  </si>
  <si>
    <t>Duration</t>
  </si>
  <si>
    <t>4min</t>
    <phoneticPr fontId="1" type="noConversion"/>
  </si>
  <si>
    <t>OIcreNO5c</t>
  </si>
  <si>
    <t>OIcreNO6c</t>
  </si>
  <si>
    <t>OIcreARC3c</t>
  </si>
  <si>
    <t>OIcreNO5t</t>
  </si>
  <si>
    <t>OIcreNO6t</t>
  </si>
  <si>
    <t>OIcreCH3t</t>
  </si>
  <si>
    <t>OIcreCH4t</t>
  </si>
  <si>
    <t>OIcreCH6</t>
  </si>
  <si>
    <t>OIcreCH6c</t>
  </si>
  <si>
    <t>OIcreCH5t</t>
  </si>
  <si>
    <t>OIcreCH6t</t>
  </si>
  <si>
    <t>OIcreCH8</t>
  </si>
  <si>
    <t>OIcreCH8c</t>
  </si>
  <si>
    <t>OIcreCH7t</t>
  </si>
  <si>
    <t>OIcreCH8t</t>
  </si>
  <si>
    <t>OIcreCH9tt</t>
  </si>
  <si>
    <t>OIcreCH10tt</t>
  </si>
  <si>
    <t>IN-CH</t>
    <phoneticPr fontId="1" type="noConversion"/>
  </si>
  <si>
    <t>mean</t>
    <phoneticPr fontId="1" type="noConversion"/>
  </si>
  <si>
    <t>IN-GFP-Spindle</t>
    <phoneticPr fontId="1" type="noConversion"/>
  </si>
  <si>
    <t>IN-CH-Spindle</t>
    <phoneticPr fontId="1" type="noConversion"/>
  </si>
  <si>
    <t>IN-GFP-20hz</t>
    <phoneticPr fontId="1" type="noConversion"/>
  </si>
  <si>
    <t>IN-CH-20Hz</t>
    <phoneticPr fontId="1" type="noConversion"/>
  </si>
  <si>
    <t>OIcreS1c</t>
    <phoneticPr fontId="1" type="noConversion"/>
  </si>
  <si>
    <t>OIcreS2c</t>
    <phoneticPr fontId="1" type="noConversion"/>
  </si>
  <si>
    <t>OIcreS3c</t>
  </si>
  <si>
    <t>OIcreS4c</t>
  </si>
  <si>
    <t>OIcreS6</t>
    <phoneticPr fontId="1" type="noConversion"/>
  </si>
  <si>
    <t>OIcreS7</t>
  </si>
  <si>
    <t>OIcreS8</t>
  </si>
  <si>
    <t>OIcreS9</t>
  </si>
  <si>
    <t>OIcreS10</t>
  </si>
  <si>
    <t>OIcreS1</t>
    <phoneticPr fontId="1" type="noConversion"/>
  </si>
  <si>
    <t>OIcreS2</t>
    <phoneticPr fontId="1" type="noConversion"/>
  </si>
  <si>
    <t>OIcreS3</t>
    <phoneticPr fontId="1" type="noConversion"/>
  </si>
  <si>
    <t>OIcreS4</t>
    <phoneticPr fontId="1" type="noConversion"/>
  </si>
  <si>
    <t>OIcreS6c</t>
    <phoneticPr fontId="1" type="noConversion"/>
  </si>
  <si>
    <t>OIcreS7c</t>
    <phoneticPr fontId="1" type="noConversion"/>
  </si>
  <si>
    <t>OIcreS8c</t>
    <phoneticPr fontId="1" type="noConversion"/>
  </si>
  <si>
    <t>mean</t>
    <phoneticPr fontId="1" type="noConversion"/>
  </si>
  <si>
    <t>IN-CH-Spindle</t>
    <phoneticPr fontId="1" type="noConversion"/>
  </si>
  <si>
    <t>IN-GFP-20Hz</t>
    <phoneticPr fontId="1" type="noConversion"/>
  </si>
  <si>
    <t>OIcreS1t</t>
    <phoneticPr fontId="1" type="noConversion"/>
  </si>
  <si>
    <t>OIcreS2t</t>
    <phoneticPr fontId="1" type="noConversion"/>
  </si>
  <si>
    <t>OIcreS3t</t>
    <phoneticPr fontId="1" type="noConversion"/>
  </si>
  <si>
    <t>OIcreS4t</t>
    <phoneticPr fontId="1" type="noConversion"/>
  </si>
  <si>
    <t>OIcreS6t</t>
    <phoneticPr fontId="1" type="noConversion"/>
  </si>
  <si>
    <t>OIcreS9c</t>
  </si>
  <si>
    <t>OIcreS10c</t>
  </si>
  <si>
    <t>OIcreS9t</t>
  </si>
  <si>
    <t>OIcreS10t</t>
  </si>
  <si>
    <t>OIcreS7t</t>
  </si>
  <si>
    <t>OIcreS8t</t>
  </si>
  <si>
    <t>OicreS5t</t>
  </si>
  <si>
    <t>OicreS6t</t>
  </si>
  <si>
    <t>OIcreS11c</t>
  </si>
  <si>
    <t>OIcreS12c</t>
  </si>
  <si>
    <t>OIcreS11</t>
  </si>
  <si>
    <t>OIcreS12</t>
  </si>
  <si>
    <t>OIcreS13</t>
  </si>
  <si>
    <t>OIcreS14</t>
  </si>
  <si>
    <t>OIcreS12t</t>
  </si>
  <si>
    <t>OIcreS11tt</t>
  </si>
  <si>
    <t>OIcreS13c</t>
  </si>
  <si>
    <t>OIcreS14c</t>
  </si>
  <si>
    <t>OIcreS13t</t>
  </si>
  <si>
    <t>OIcreS14t</t>
  </si>
  <si>
    <t>OI30</t>
  </si>
  <si>
    <t>OI31</t>
  </si>
  <si>
    <t>OI32</t>
  </si>
  <si>
    <t>ttest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</si>
</sst>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(%) - Conditioning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Conditioning!$C$14:$J$14</c:f>
              <c:numCache>
                <c:formatCode>General</c:formatCode>
                <c:ptCount val="8"/>
                <c:pt idx="0">
                  <c:v>2.493333333333334</c:v>
                </c:pt>
                <c:pt idx="1">
                  <c:v>7.706666666666666</c:v>
                </c:pt>
                <c:pt idx="2">
                  <c:v>5.899999999999999</c:v>
                </c:pt>
                <c:pt idx="3">
                  <c:v>3.238333333333333</c:v>
                </c:pt>
                <c:pt idx="4">
                  <c:v>5.228333333333332</c:v>
                </c:pt>
                <c:pt idx="5">
                  <c:v>10.78</c:v>
                </c:pt>
                <c:pt idx="6">
                  <c:v>18.305</c:v>
                </c:pt>
                <c:pt idx="7">
                  <c:v>29.505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Conditioning!$C$25:$J$25</c:f>
              <c:numCache>
                <c:formatCode>General</c:formatCode>
                <c:ptCount val="8"/>
                <c:pt idx="0">
                  <c:v>1.36625</c:v>
                </c:pt>
                <c:pt idx="1">
                  <c:v>5.805</c:v>
                </c:pt>
                <c:pt idx="2">
                  <c:v>5.72375</c:v>
                </c:pt>
                <c:pt idx="3">
                  <c:v>6.027500000000001</c:v>
                </c:pt>
                <c:pt idx="4">
                  <c:v>10.5775</c:v>
                </c:pt>
                <c:pt idx="5">
                  <c:v>16.235</c:v>
                </c:pt>
                <c:pt idx="6">
                  <c:v>21.4375</c:v>
                </c:pt>
                <c:pt idx="7">
                  <c:v>29.91125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Conditioning!$C$40:$J$40</c:f>
              <c:numCache>
                <c:formatCode>General</c:formatCode>
                <c:ptCount val="8"/>
                <c:pt idx="0">
                  <c:v>0.0</c:v>
                </c:pt>
                <c:pt idx="1">
                  <c:v>10.83</c:v>
                </c:pt>
                <c:pt idx="2">
                  <c:v>4.8</c:v>
                </c:pt>
                <c:pt idx="3">
                  <c:v>8.83</c:v>
                </c:pt>
                <c:pt idx="4">
                  <c:v>9.04</c:v>
                </c:pt>
                <c:pt idx="5">
                  <c:v>6.7</c:v>
                </c:pt>
                <c:pt idx="6">
                  <c:v>16.85</c:v>
                </c:pt>
                <c:pt idx="7">
                  <c:v>14.99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Conditioning!$C$56:$J$56</c:f>
              <c:numCache>
                <c:formatCode>General</c:formatCode>
                <c:ptCount val="8"/>
                <c:pt idx="0">
                  <c:v>0.738</c:v>
                </c:pt>
                <c:pt idx="1">
                  <c:v>6.3</c:v>
                </c:pt>
                <c:pt idx="2">
                  <c:v>7.101999999999999</c:v>
                </c:pt>
                <c:pt idx="3">
                  <c:v>4.356000000000001</c:v>
                </c:pt>
                <c:pt idx="4">
                  <c:v>2.902</c:v>
                </c:pt>
                <c:pt idx="5">
                  <c:v>13.176</c:v>
                </c:pt>
                <c:pt idx="6">
                  <c:v>19.408</c:v>
                </c:pt>
                <c:pt idx="7">
                  <c:v>20.172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Conditioning!$C$69:$J$69</c:f>
              <c:numCache>
                <c:formatCode>General</c:formatCode>
                <c:ptCount val="8"/>
                <c:pt idx="0">
                  <c:v>1.173333333333333</c:v>
                </c:pt>
                <c:pt idx="1">
                  <c:v>2.271666666666667</c:v>
                </c:pt>
                <c:pt idx="2">
                  <c:v>3.76</c:v>
                </c:pt>
                <c:pt idx="3">
                  <c:v>3.348333333333333</c:v>
                </c:pt>
                <c:pt idx="4">
                  <c:v>4.465000000000001</c:v>
                </c:pt>
                <c:pt idx="5">
                  <c:v>6.888333333333332</c:v>
                </c:pt>
                <c:pt idx="6">
                  <c:v>13.62</c:v>
                </c:pt>
                <c:pt idx="7">
                  <c:v>33.02666666666666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8564800"/>
        <c:axId val="2147284160"/>
      </c:lineChart>
      <c:catAx>
        <c:axId val="-213856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284160"/>
        <c:crosses val="autoZero"/>
        <c:auto val="1"/>
        <c:lblAlgn val="ctr"/>
        <c:lblOffset val="100"/>
        <c:noMultiLvlLbl val="0"/>
      </c:catAx>
      <c:valAx>
        <c:axId val="214728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56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Conditioning!$J$14</c:f>
              <c:numCache>
                <c:formatCode>General</c:formatCode>
                <c:ptCount val="1"/>
                <c:pt idx="0">
                  <c:v>29.505</c:v>
                </c:pt>
              </c:numCache>
            </c:numRef>
          </c:val>
        </c:ser>
        <c:ser>
          <c:idx val="1"/>
          <c:order val="1"/>
          <c:tx>
            <c:v>IN-CH-SPindle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Conditioning!$J$25</c:f>
              <c:numCache>
                <c:formatCode>General</c:formatCode>
                <c:ptCount val="1"/>
                <c:pt idx="0">
                  <c:v>29.91125</c:v>
                </c:pt>
              </c:numCache>
            </c:numRef>
          </c:val>
        </c:ser>
        <c:ser>
          <c:idx val="2"/>
          <c:order val="2"/>
          <c:tx>
            <c:v>IN-CH-GFP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Conditioning!$J$40</c:f>
              <c:numCache>
                <c:formatCode>General</c:formatCode>
                <c:ptCount val="1"/>
                <c:pt idx="0">
                  <c:v>14.99</c:v>
                </c:pt>
              </c:numCache>
            </c:numRef>
          </c:val>
        </c:ser>
        <c:ser>
          <c:idx val="3"/>
          <c:order val="3"/>
          <c:tx>
            <c:v>IN-GFP-20hz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Conditioning!$J$56</c:f>
              <c:numCache>
                <c:formatCode>General</c:formatCode>
                <c:ptCount val="1"/>
                <c:pt idx="0">
                  <c:v>20.172</c:v>
                </c:pt>
              </c:numCache>
            </c:numRef>
          </c:val>
        </c:ser>
        <c:ser>
          <c:idx val="4"/>
          <c:order val="4"/>
          <c:tx>
            <c:v>IN-CH-20hz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Conditioning!$J$69</c:f>
              <c:numCache>
                <c:formatCode>General</c:formatCode>
                <c:ptCount val="1"/>
                <c:pt idx="0">
                  <c:v>33.02666666666666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377712"/>
        <c:axId val="2147381152"/>
      </c:barChart>
      <c:catAx>
        <c:axId val="21473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81152"/>
        <c:crosses val="autoZero"/>
        <c:auto val="1"/>
        <c:lblAlgn val="ctr"/>
        <c:lblOffset val="100"/>
        <c:noMultiLvlLbl val="0"/>
      </c:catAx>
      <c:valAx>
        <c:axId val="21473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Conditioning!$K$4:$K$13</c:f>
              <c:numCache>
                <c:formatCode>General</c:formatCode>
                <c:ptCount val="10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</c:numCache>
            </c:numRef>
          </c:xVal>
          <c:yVal>
            <c:numRef>
              <c:f>Conditioning!$J$4:$J$13</c:f>
              <c:numCache>
                <c:formatCode>General</c:formatCode>
                <c:ptCount val="10"/>
                <c:pt idx="0">
                  <c:v>19.13</c:v>
                </c:pt>
                <c:pt idx="1">
                  <c:v>41.39</c:v>
                </c:pt>
                <c:pt idx="2">
                  <c:v>25.39</c:v>
                </c:pt>
                <c:pt idx="3">
                  <c:v>40.45</c:v>
                </c:pt>
                <c:pt idx="4">
                  <c:v>32.55</c:v>
                </c:pt>
                <c:pt idx="5">
                  <c:v>18.12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Conditioning!$K$17:$K$24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xVal>
          <c:yVal>
            <c:numRef>
              <c:f>Conditioning!$J$17:$J$24</c:f>
              <c:numCache>
                <c:formatCode>General</c:formatCode>
                <c:ptCount val="8"/>
                <c:pt idx="0">
                  <c:v>18.12</c:v>
                </c:pt>
                <c:pt idx="1">
                  <c:v>32.21</c:v>
                </c:pt>
                <c:pt idx="2">
                  <c:v>17.9</c:v>
                </c:pt>
                <c:pt idx="3">
                  <c:v>53.47</c:v>
                </c:pt>
                <c:pt idx="4">
                  <c:v>41.95</c:v>
                </c:pt>
                <c:pt idx="5">
                  <c:v>13.85</c:v>
                </c:pt>
                <c:pt idx="6">
                  <c:v>34.86</c:v>
                </c:pt>
                <c:pt idx="7">
                  <c:v>26.93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Conditioning!$K$28:$K$37</c:f>
              <c:numCache>
                <c:formatCode>General</c:formatCode>
                <c:ptCount val="1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</c:numCache>
            </c:numRef>
          </c:xVal>
          <c:yVal>
            <c:numRef>
              <c:f>Conditioning!$J$28:$J$37</c:f>
              <c:numCache>
                <c:formatCode>General</c:formatCode>
                <c:ptCount val="10"/>
                <c:pt idx="0">
                  <c:v>14.99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Conditioning!$K$49:$K$54</c:f>
              <c:numCache>
                <c:formatCode>General</c:formatCode>
                <c:ptCount val="6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</c:numCache>
            </c:numRef>
          </c:xVal>
          <c:yVal>
            <c:numRef>
              <c:f>Conditioning!$J$49:$J$65</c:f>
              <c:numCache>
                <c:formatCode>General</c:formatCode>
                <c:ptCount val="17"/>
                <c:pt idx="0">
                  <c:v>31.43</c:v>
                </c:pt>
                <c:pt idx="1">
                  <c:v>16.59</c:v>
                </c:pt>
                <c:pt idx="2">
                  <c:v>15.08</c:v>
                </c:pt>
                <c:pt idx="3">
                  <c:v>20.89</c:v>
                </c:pt>
                <c:pt idx="4">
                  <c:v>16.87</c:v>
                </c:pt>
                <c:pt idx="7">
                  <c:v>20.172</c:v>
                </c:pt>
                <c:pt idx="11">
                  <c:v>38.26</c:v>
                </c:pt>
                <c:pt idx="12">
                  <c:v>48.55</c:v>
                </c:pt>
                <c:pt idx="13">
                  <c:v>33.89</c:v>
                </c:pt>
                <c:pt idx="14">
                  <c:v>32.74</c:v>
                </c:pt>
                <c:pt idx="15">
                  <c:v>20.89</c:v>
                </c:pt>
                <c:pt idx="16">
                  <c:v>23.83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Conditioning!$K$60:$K$66</c:f>
              <c:numCache>
                <c:formatCode>General</c:formatCode>
                <c:ptCount val="7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</c:numCache>
            </c:numRef>
          </c:xVal>
          <c:yVal>
            <c:numRef>
              <c:f>Conditioning!$J$60:$J$65</c:f>
              <c:numCache>
                <c:formatCode>General</c:formatCode>
                <c:ptCount val="6"/>
                <c:pt idx="0">
                  <c:v>38.26</c:v>
                </c:pt>
                <c:pt idx="1">
                  <c:v>48.55</c:v>
                </c:pt>
                <c:pt idx="2">
                  <c:v>33.89</c:v>
                </c:pt>
                <c:pt idx="3">
                  <c:v>32.74</c:v>
                </c:pt>
                <c:pt idx="4">
                  <c:v>20.89</c:v>
                </c:pt>
                <c:pt idx="5">
                  <c:v>23.83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8513888"/>
        <c:axId val="-2138510768"/>
      </c:scatterChart>
      <c:valAx>
        <c:axId val="-21385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510768"/>
        <c:crosses val="autoZero"/>
        <c:crossBetween val="midCat"/>
      </c:valAx>
      <c:valAx>
        <c:axId val="-21385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51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Context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Context!$C$14:$J$14</c:f>
              <c:numCache>
                <c:formatCode>General</c:formatCode>
                <c:ptCount val="8"/>
                <c:pt idx="0">
                  <c:v>18.27</c:v>
                </c:pt>
                <c:pt idx="1">
                  <c:v>25.07833333333333</c:v>
                </c:pt>
                <c:pt idx="2">
                  <c:v>25.26833333333333</c:v>
                </c:pt>
                <c:pt idx="3">
                  <c:v>25.085</c:v>
                </c:pt>
                <c:pt idx="4">
                  <c:v>19.50833333333333</c:v>
                </c:pt>
                <c:pt idx="5">
                  <c:v>21.545</c:v>
                </c:pt>
                <c:pt idx="6">
                  <c:v>20.75166666666667</c:v>
                </c:pt>
                <c:pt idx="7">
                  <c:v>17.35833333333333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Context!$C$25:$J$25</c:f>
              <c:numCache>
                <c:formatCode>General</c:formatCode>
                <c:ptCount val="8"/>
                <c:pt idx="0">
                  <c:v>16.29125</c:v>
                </c:pt>
                <c:pt idx="1">
                  <c:v>38.34</c:v>
                </c:pt>
                <c:pt idx="2">
                  <c:v>31.26375</c:v>
                </c:pt>
                <c:pt idx="3">
                  <c:v>35.2375</c:v>
                </c:pt>
                <c:pt idx="4">
                  <c:v>33.5825</c:v>
                </c:pt>
                <c:pt idx="5">
                  <c:v>27.02</c:v>
                </c:pt>
                <c:pt idx="6">
                  <c:v>26.16375</c:v>
                </c:pt>
                <c:pt idx="7">
                  <c:v>28.078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Context!$C$40:$J$40</c:f>
              <c:numCache>
                <c:formatCode>General</c:formatCode>
                <c:ptCount val="8"/>
                <c:pt idx="0">
                  <c:v>10.6</c:v>
                </c:pt>
                <c:pt idx="1">
                  <c:v>7.71</c:v>
                </c:pt>
                <c:pt idx="2">
                  <c:v>10.6</c:v>
                </c:pt>
                <c:pt idx="3">
                  <c:v>10.39</c:v>
                </c:pt>
                <c:pt idx="4">
                  <c:v>15.4</c:v>
                </c:pt>
                <c:pt idx="5">
                  <c:v>7.71</c:v>
                </c:pt>
                <c:pt idx="6">
                  <c:v>7.7</c:v>
                </c:pt>
                <c:pt idx="7">
                  <c:v>20.92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Context!$C$56:$J$56</c:f>
              <c:numCache>
                <c:formatCode>General</c:formatCode>
                <c:ptCount val="8"/>
                <c:pt idx="0">
                  <c:v>7.478</c:v>
                </c:pt>
                <c:pt idx="1">
                  <c:v>16.122</c:v>
                </c:pt>
                <c:pt idx="2">
                  <c:v>28.9</c:v>
                </c:pt>
                <c:pt idx="3">
                  <c:v>22.012</c:v>
                </c:pt>
                <c:pt idx="4">
                  <c:v>13.452</c:v>
                </c:pt>
                <c:pt idx="5">
                  <c:v>20.05</c:v>
                </c:pt>
                <c:pt idx="6">
                  <c:v>14.254</c:v>
                </c:pt>
                <c:pt idx="7">
                  <c:v>13.678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Context!$C$67:$J$67</c:f>
              <c:numCache>
                <c:formatCode>General</c:formatCode>
                <c:ptCount val="8"/>
                <c:pt idx="0">
                  <c:v>7.105</c:v>
                </c:pt>
                <c:pt idx="1">
                  <c:v>19.93333333333333</c:v>
                </c:pt>
                <c:pt idx="2">
                  <c:v>29.845</c:v>
                </c:pt>
                <c:pt idx="3">
                  <c:v>27.05166666666667</c:v>
                </c:pt>
                <c:pt idx="4">
                  <c:v>23.03333333333333</c:v>
                </c:pt>
                <c:pt idx="5">
                  <c:v>23.76166666666667</c:v>
                </c:pt>
                <c:pt idx="6">
                  <c:v>22.63666666666667</c:v>
                </c:pt>
                <c:pt idx="7">
                  <c:v>20.05666666666667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450992"/>
        <c:axId val="-2137447712"/>
      </c:lineChart>
      <c:catAx>
        <c:axId val="-213745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47712"/>
        <c:crosses val="autoZero"/>
        <c:auto val="1"/>
        <c:lblAlgn val="ctr"/>
        <c:lblOffset val="100"/>
        <c:noMultiLvlLbl val="0"/>
      </c:catAx>
      <c:valAx>
        <c:axId val="-213744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5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Context!$L$4:$L$13</c:f>
              <c:numCache>
                <c:formatCode>General</c:formatCode>
                <c:ptCount val="10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</c:numCache>
            </c:numRef>
          </c:xVal>
          <c:yVal>
            <c:numRef>
              <c:f>Context!$K$4:$K$13</c:f>
              <c:numCache>
                <c:formatCode>General</c:formatCode>
                <c:ptCount val="10"/>
                <c:pt idx="0">
                  <c:v>29.9275</c:v>
                </c:pt>
                <c:pt idx="1">
                  <c:v>22.135</c:v>
                </c:pt>
                <c:pt idx="2">
                  <c:v>25.0975</c:v>
                </c:pt>
                <c:pt idx="3">
                  <c:v>16.86</c:v>
                </c:pt>
                <c:pt idx="4">
                  <c:v>21.9725</c:v>
                </c:pt>
                <c:pt idx="5">
                  <c:v>24.56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Context!$L$17:$L$24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xVal>
          <c:yVal>
            <c:numRef>
              <c:f>Context!$K$17:$K$24</c:f>
              <c:numCache>
                <c:formatCode>General</c:formatCode>
                <c:ptCount val="8"/>
                <c:pt idx="0">
                  <c:v>26.2975</c:v>
                </c:pt>
                <c:pt idx="1">
                  <c:v>37.49</c:v>
                </c:pt>
                <c:pt idx="2">
                  <c:v>24.7375</c:v>
                </c:pt>
                <c:pt idx="3">
                  <c:v>24.21</c:v>
                </c:pt>
                <c:pt idx="4">
                  <c:v>38.0825</c:v>
                </c:pt>
                <c:pt idx="5">
                  <c:v>27.9675</c:v>
                </c:pt>
                <c:pt idx="6">
                  <c:v>34.4125</c:v>
                </c:pt>
                <c:pt idx="7">
                  <c:v>29.0675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Context!$L$28:$L$37</c:f>
              <c:numCache>
                <c:formatCode>General</c:formatCode>
                <c:ptCount val="1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</c:numCache>
            </c:numRef>
          </c:xVal>
          <c:yVal>
            <c:numRef>
              <c:f>Context!$K$28:$K$37</c:f>
              <c:numCache>
                <c:formatCode>General</c:formatCode>
                <c:ptCount val="10"/>
                <c:pt idx="0">
                  <c:v>9.825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Context!$L$49:$L$54</c:f>
              <c:numCache>
                <c:formatCode>General</c:formatCode>
                <c:ptCount val="6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</c:numCache>
            </c:numRef>
          </c:xVal>
          <c:yVal>
            <c:numRef>
              <c:f>Context!$K$49:$K$54</c:f>
              <c:numCache>
                <c:formatCode>General</c:formatCode>
                <c:ptCount val="6"/>
                <c:pt idx="0">
                  <c:v>11.97</c:v>
                </c:pt>
                <c:pt idx="1">
                  <c:v>41.1675</c:v>
                </c:pt>
                <c:pt idx="2">
                  <c:v>21.775</c:v>
                </c:pt>
                <c:pt idx="3">
                  <c:v>7.9825</c:v>
                </c:pt>
                <c:pt idx="4">
                  <c:v>10.245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Context!$L$60:$L$66</c:f>
              <c:numCache>
                <c:formatCode>General</c:formatCode>
                <c:ptCount val="7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</c:numCache>
            </c:numRef>
          </c:xVal>
          <c:yVal>
            <c:numRef>
              <c:f>Context!$K$60:$K$66</c:f>
              <c:numCache>
                <c:formatCode>General</c:formatCode>
                <c:ptCount val="7"/>
                <c:pt idx="0">
                  <c:v>21.355</c:v>
                </c:pt>
                <c:pt idx="1">
                  <c:v>50.3625</c:v>
                </c:pt>
                <c:pt idx="2">
                  <c:v>9.0425</c:v>
                </c:pt>
                <c:pt idx="3">
                  <c:v>10.4675</c:v>
                </c:pt>
                <c:pt idx="4">
                  <c:v>13.2625</c:v>
                </c:pt>
                <c:pt idx="5">
                  <c:v>21.4125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8431568"/>
        <c:axId val="-2138428448"/>
      </c:scatterChart>
      <c:valAx>
        <c:axId val="-21384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428448"/>
        <c:crosses val="autoZero"/>
        <c:crossBetween val="midCat"/>
      </c:valAx>
      <c:valAx>
        <c:axId val="-21384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43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Tone!$C$14:$J$14</c:f>
              <c:numCache>
                <c:formatCode>General</c:formatCode>
                <c:ptCount val="8"/>
                <c:pt idx="0">
                  <c:v>1.731666666666667</c:v>
                </c:pt>
                <c:pt idx="1">
                  <c:v>1.488333333333333</c:v>
                </c:pt>
                <c:pt idx="2">
                  <c:v>3.703333333333333</c:v>
                </c:pt>
                <c:pt idx="3">
                  <c:v>12.88166666666667</c:v>
                </c:pt>
                <c:pt idx="4">
                  <c:v>3.983333333333333</c:v>
                </c:pt>
                <c:pt idx="5">
                  <c:v>12.215</c:v>
                </c:pt>
                <c:pt idx="6">
                  <c:v>6.222500000000001</c:v>
                </c:pt>
                <c:pt idx="7">
                  <c:v>12.6275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Tone!$C$22:$J$22</c:f>
              <c:numCache>
                <c:formatCode>General</c:formatCode>
                <c:ptCount val="8"/>
                <c:pt idx="0">
                  <c:v>2.856</c:v>
                </c:pt>
                <c:pt idx="1">
                  <c:v>4.688000000000001</c:v>
                </c:pt>
                <c:pt idx="2">
                  <c:v>2.412</c:v>
                </c:pt>
                <c:pt idx="3">
                  <c:v>19.988</c:v>
                </c:pt>
                <c:pt idx="4">
                  <c:v>3.06</c:v>
                </c:pt>
                <c:pt idx="5">
                  <c:v>11.28</c:v>
                </c:pt>
                <c:pt idx="6">
                  <c:v>4.29</c:v>
                </c:pt>
                <c:pt idx="7">
                  <c:v>9.9925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Tone!$C$37:$J$37</c:f>
              <c:numCache>
                <c:formatCode>General</c:formatCode>
                <c:ptCount val="8"/>
                <c:pt idx="0">
                  <c:v>2.16</c:v>
                </c:pt>
                <c:pt idx="1">
                  <c:v>9.39</c:v>
                </c:pt>
                <c:pt idx="2">
                  <c:v>0.11</c:v>
                </c:pt>
                <c:pt idx="3">
                  <c:v>10.38</c:v>
                </c:pt>
                <c:pt idx="4">
                  <c:v>19.31</c:v>
                </c:pt>
                <c:pt idx="5">
                  <c:v>4.58</c:v>
                </c:pt>
                <c:pt idx="6">
                  <c:v>7.72</c:v>
                </c:pt>
                <c:pt idx="7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Tone!$C$48:$J$48</c:f>
              <c:numCache>
                <c:formatCode>General</c:formatCode>
                <c:ptCount val="8"/>
                <c:pt idx="0">
                  <c:v>0.202</c:v>
                </c:pt>
                <c:pt idx="1">
                  <c:v>2.188</c:v>
                </c:pt>
                <c:pt idx="2">
                  <c:v>0.178</c:v>
                </c:pt>
                <c:pt idx="3">
                  <c:v>24.332</c:v>
                </c:pt>
                <c:pt idx="4">
                  <c:v>0.894</c:v>
                </c:pt>
                <c:pt idx="5">
                  <c:v>14.112</c:v>
                </c:pt>
                <c:pt idx="6">
                  <c:v>6.984</c:v>
                </c:pt>
                <c:pt idx="7">
                  <c:v>6.984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Tone!$C$60:$J$60</c:f>
              <c:numCache>
                <c:formatCode>General</c:formatCode>
                <c:ptCount val="8"/>
                <c:pt idx="0">
                  <c:v>0.335</c:v>
                </c:pt>
                <c:pt idx="1">
                  <c:v>2.416666666666666</c:v>
                </c:pt>
                <c:pt idx="2">
                  <c:v>0.595</c:v>
                </c:pt>
                <c:pt idx="3">
                  <c:v>17.09666666666667</c:v>
                </c:pt>
                <c:pt idx="4">
                  <c:v>1.898333333333333</c:v>
                </c:pt>
                <c:pt idx="5">
                  <c:v>14.28833333333333</c:v>
                </c:pt>
                <c:pt idx="6">
                  <c:v>6.106666666666666</c:v>
                </c:pt>
                <c:pt idx="7">
                  <c:v>6.106666666666666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8360464"/>
        <c:axId val="-2138357184"/>
      </c:lineChart>
      <c:catAx>
        <c:axId val="-21383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357184"/>
        <c:crosses val="autoZero"/>
        <c:auto val="1"/>
        <c:lblAlgn val="ctr"/>
        <c:lblOffset val="100"/>
        <c:noMultiLvlLbl val="0"/>
      </c:catAx>
      <c:valAx>
        <c:axId val="-213835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3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822553012076413"/>
          <c:y val="0.212821510884549"/>
          <c:w val="0.907120533249455"/>
          <c:h val="0.723265296989232"/>
        </c:manualLayout>
      </c:layout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'Tone 30s2'!$C$14:$R$14</c:f>
              <c:numCache>
                <c:formatCode>General</c:formatCode>
                <c:ptCount val="16"/>
                <c:pt idx="0">
                  <c:v>0.87</c:v>
                </c:pt>
                <c:pt idx="1">
                  <c:v>0.827</c:v>
                </c:pt>
                <c:pt idx="2">
                  <c:v>2.257</c:v>
                </c:pt>
                <c:pt idx="3">
                  <c:v>1.25</c:v>
                </c:pt>
                <c:pt idx="4">
                  <c:v>2.188</c:v>
                </c:pt>
                <c:pt idx="5">
                  <c:v>3.415999999999999</c:v>
                </c:pt>
                <c:pt idx="6">
                  <c:v>27.97</c:v>
                </c:pt>
                <c:pt idx="7">
                  <c:v>19.285</c:v>
                </c:pt>
                <c:pt idx="8">
                  <c:v>4.846</c:v>
                </c:pt>
                <c:pt idx="9">
                  <c:v>6.544</c:v>
                </c:pt>
                <c:pt idx="10">
                  <c:v>3.66</c:v>
                </c:pt>
                <c:pt idx="11">
                  <c:v>33.23125</c:v>
                </c:pt>
                <c:pt idx="12">
                  <c:v>15.15625</c:v>
                </c:pt>
                <c:pt idx="13">
                  <c:v>2.93375</c:v>
                </c:pt>
                <c:pt idx="14">
                  <c:v>5.75</c:v>
                </c:pt>
                <c:pt idx="15">
                  <c:v>9.5375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'Tone 30s2'!$C$28:$R$28</c:f>
              <c:numCache>
                <c:formatCode>General</c:formatCode>
                <c:ptCount val="16"/>
                <c:pt idx="0">
                  <c:v>4.829090909090908</c:v>
                </c:pt>
                <c:pt idx="1">
                  <c:v>5.261818181818181</c:v>
                </c:pt>
                <c:pt idx="2">
                  <c:v>2.76</c:v>
                </c:pt>
                <c:pt idx="3">
                  <c:v>2.90090909090909</c:v>
                </c:pt>
                <c:pt idx="4">
                  <c:v>4.324545454545455</c:v>
                </c:pt>
                <c:pt idx="5">
                  <c:v>3.497272727272727</c:v>
                </c:pt>
                <c:pt idx="6">
                  <c:v>30.92818181818181</c:v>
                </c:pt>
                <c:pt idx="7">
                  <c:v>18.29</c:v>
                </c:pt>
                <c:pt idx="8">
                  <c:v>7.41090909090909</c:v>
                </c:pt>
                <c:pt idx="9">
                  <c:v>4.711818181818181</c:v>
                </c:pt>
                <c:pt idx="10">
                  <c:v>12.07818181818182</c:v>
                </c:pt>
                <c:pt idx="11">
                  <c:v>26.52111111111111</c:v>
                </c:pt>
                <c:pt idx="12">
                  <c:v>8.770000000000001</c:v>
                </c:pt>
                <c:pt idx="13">
                  <c:v>7.978888888888887</c:v>
                </c:pt>
                <c:pt idx="14">
                  <c:v>14.39777777777778</c:v>
                </c:pt>
                <c:pt idx="15">
                  <c:v>9.532222222222221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'Tone 30s2'!$C$43:$R$43</c:f>
              <c:numCache>
                <c:formatCode>General</c:formatCode>
                <c:ptCount val="16"/>
                <c:pt idx="0">
                  <c:v>0.0</c:v>
                </c:pt>
                <c:pt idx="1">
                  <c:v>4.02</c:v>
                </c:pt>
                <c:pt idx="2">
                  <c:v>4.03</c:v>
                </c:pt>
                <c:pt idx="3">
                  <c:v>14.73</c:v>
                </c:pt>
                <c:pt idx="4">
                  <c:v>0.0</c:v>
                </c:pt>
                <c:pt idx="5">
                  <c:v>0.22</c:v>
                </c:pt>
                <c:pt idx="6">
                  <c:v>18.3</c:v>
                </c:pt>
                <c:pt idx="7">
                  <c:v>2.46</c:v>
                </c:pt>
                <c:pt idx="8">
                  <c:v>12.5</c:v>
                </c:pt>
                <c:pt idx="9">
                  <c:v>26.12</c:v>
                </c:pt>
                <c:pt idx="10">
                  <c:v>4.91</c:v>
                </c:pt>
                <c:pt idx="11">
                  <c:v>4.25</c:v>
                </c:pt>
                <c:pt idx="12">
                  <c:v>7.72</c:v>
                </c:pt>
                <c:pt idx="13">
                  <c:v>7.72</c:v>
                </c:pt>
                <c:pt idx="14">
                  <c:v>7.72</c:v>
                </c:pt>
                <c:pt idx="15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'Tone 30s2'!$C$55:$R$55</c:f>
              <c:numCache>
                <c:formatCode>General</c:formatCode>
                <c:ptCount val="16"/>
                <c:pt idx="0">
                  <c:v>0.0</c:v>
                </c:pt>
                <c:pt idx="1">
                  <c:v>0.402</c:v>
                </c:pt>
                <c:pt idx="2">
                  <c:v>2.142</c:v>
                </c:pt>
                <c:pt idx="3">
                  <c:v>3.348</c:v>
                </c:pt>
                <c:pt idx="4">
                  <c:v>3.392</c:v>
                </c:pt>
                <c:pt idx="5">
                  <c:v>1.924</c:v>
                </c:pt>
                <c:pt idx="6">
                  <c:v>32.41</c:v>
                </c:pt>
                <c:pt idx="7">
                  <c:v>6.964</c:v>
                </c:pt>
                <c:pt idx="8">
                  <c:v>2.722</c:v>
                </c:pt>
                <c:pt idx="9">
                  <c:v>0.716</c:v>
                </c:pt>
                <c:pt idx="10">
                  <c:v>3.972</c:v>
                </c:pt>
                <c:pt idx="11">
                  <c:v>23.898</c:v>
                </c:pt>
                <c:pt idx="12">
                  <c:v>6.82</c:v>
                </c:pt>
                <c:pt idx="13">
                  <c:v>6.82</c:v>
                </c:pt>
                <c:pt idx="14">
                  <c:v>6.82</c:v>
                </c:pt>
                <c:pt idx="15">
                  <c:v>6.82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'Tone 30s2'!$C$67:$R$67</c:f>
              <c:numCache>
                <c:formatCode>General</c:formatCode>
                <c:ptCount val="16"/>
                <c:pt idx="0">
                  <c:v>0.0</c:v>
                </c:pt>
                <c:pt idx="1">
                  <c:v>0.287142857142857</c:v>
                </c:pt>
                <c:pt idx="2">
                  <c:v>2.36</c:v>
                </c:pt>
                <c:pt idx="3">
                  <c:v>1.658571428571428</c:v>
                </c:pt>
                <c:pt idx="4">
                  <c:v>0.0</c:v>
                </c:pt>
                <c:pt idx="5">
                  <c:v>0.702857142857143</c:v>
                </c:pt>
                <c:pt idx="6">
                  <c:v>32.11142857142858</c:v>
                </c:pt>
                <c:pt idx="7">
                  <c:v>7.048571428571429</c:v>
                </c:pt>
                <c:pt idx="8">
                  <c:v>1.53</c:v>
                </c:pt>
                <c:pt idx="9">
                  <c:v>1.467142857142857</c:v>
                </c:pt>
                <c:pt idx="10">
                  <c:v>1.562857142857143</c:v>
                </c:pt>
                <c:pt idx="11">
                  <c:v>28.05857142857143</c:v>
                </c:pt>
                <c:pt idx="12">
                  <c:v>6.397142857142858</c:v>
                </c:pt>
                <c:pt idx="13">
                  <c:v>6.397142857142858</c:v>
                </c:pt>
                <c:pt idx="14">
                  <c:v>6.397142857142858</c:v>
                </c:pt>
                <c:pt idx="15">
                  <c:v>6.397142857142858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8394032"/>
        <c:axId val="-2138390800"/>
      </c:lineChart>
      <c:catAx>
        <c:axId val="-213839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390800"/>
        <c:crosses val="autoZero"/>
        <c:auto val="1"/>
        <c:lblAlgn val="ctr"/>
        <c:lblOffset val="100"/>
        <c:noMultiLvlLbl val="0"/>
      </c:catAx>
      <c:valAx>
        <c:axId val="-21383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3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</xdr:row>
      <xdr:rowOff>157162</xdr:rowOff>
    </xdr:from>
    <xdr:to>
      <xdr:col>17</xdr:col>
      <xdr:colOff>647700</xdr:colOff>
      <xdr:row>16</xdr:row>
      <xdr:rowOff>176212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157162</xdr:colOff>
      <xdr:row>18</xdr:row>
      <xdr:rowOff>0</xdr:rowOff>
    </xdr:from>
    <xdr:to>
      <xdr:col>17</xdr:col>
      <xdr:colOff>614362</xdr:colOff>
      <xdr:row>29</xdr:row>
      <xdr:rowOff>80962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342900</xdr:colOff>
      <xdr:row>29</xdr:row>
      <xdr:rowOff>190500</xdr:rowOff>
    </xdr:from>
    <xdr:to>
      <xdr:col>15</xdr:col>
      <xdr:colOff>9525</xdr:colOff>
      <xdr:row>41</xdr:row>
      <xdr:rowOff>4762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</xdr:row>
      <xdr:rowOff>109537</xdr:rowOff>
    </xdr:from>
    <xdr:to>
      <xdr:col>21</xdr:col>
      <xdr:colOff>447675</xdr:colOff>
      <xdr:row>14</xdr:row>
      <xdr:rowOff>128587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16</xdr:row>
      <xdr:rowOff>95250</xdr:rowOff>
    </xdr:from>
    <xdr:to>
      <xdr:col>21</xdr:col>
      <xdr:colOff>57150</xdr:colOff>
      <xdr:row>30</xdr:row>
      <xdr:rowOff>95250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571498</xdr:colOff>
      <xdr:row>3</xdr:row>
      <xdr:rowOff>176212</xdr:rowOff>
    </xdr:from>
    <xdr:to>
      <xdr:col>17</xdr:col>
      <xdr:colOff>552450</xdr:colOff>
      <xdr:row>19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628648</xdr:colOff>
      <xdr:row>14</xdr:row>
      <xdr:rowOff>157162</xdr:rowOff>
    </xdr:from>
    <xdr:to>
      <xdr:col>19</xdr:col>
      <xdr:colOff>609600</xdr:colOff>
      <xdr:row>33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23" workbookViewId="0">
      <selection activeCell="J28" sqref="J28"/>
    </sheetView>
  </sheetViews>
  <sheetFormatPr baseColWidth="10" defaultColWidth="8.83203125" defaultRowHeight="15" x14ac:dyDescent="0.2"/>
  <cols>
    <col min="2" max="2" width="11.5" customWidth="1"/>
  </cols>
  <sheetData>
    <row r="1" spans="1:11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1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3" spans="1:11" x14ac:dyDescent="0.2">
      <c r="A3" t="s">
        <v>2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</row>
    <row r="4" spans="1:11" x14ac:dyDescent="0.2">
      <c r="A4" s="3"/>
      <c r="B4" s="1" t="s">
        <v>4</v>
      </c>
      <c r="C4" s="1">
        <v>1.9</v>
      </c>
      <c r="D4" s="1">
        <v>3.36</v>
      </c>
      <c r="E4" s="1">
        <v>3.57</v>
      </c>
      <c r="F4" s="1">
        <v>1.23</v>
      </c>
      <c r="G4" s="1">
        <v>5.25</v>
      </c>
      <c r="H4" s="1">
        <v>10.17</v>
      </c>
      <c r="I4" s="1">
        <v>20.87</v>
      </c>
      <c r="J4" s="1">
        <v>19.13</v>
      </c>
      <c r="K4" s="1">
        <v>1</v>
      </c>
    </row>
    <row r="5" spans="1:11" x14ac:dyDescent="0.2">
      <c r="B5" s="1" t="s">
        <v>5</v>
      </c>
      <c r="C5" s="1">
        <v>7.59</v>
      </c>
      <c r="D5" s="1">
        <v>12.74</v>
      </c>
      <c r="E5" s="1">
        <v>5.25</v>
      </c>
      <c r="F5" s="1">
        <v>7.71</v>
      </c>
      <c r="G5" s="1">
        <v>9.49</v>
      </c>
      <c r="H5" s="1">
        <v>20.45</v>
      </c>
      <c r="I5" s="1">
        <v>18.97</v>
      </c>
      <c r="J5" s="1">
        <v>41.39</v>
      </c>
      <c r="K5" s="1">
        <v>1</v>
      </c>
    </row>
    <row r="6" spans="1:11" x14ac:dyDescent="0.2">
      <c r="A6" s="2"/>
      <c r="B6" s="1" t="s">
        <v>7</v>
      </c>
      <c r="C6" s="1">
        <v>2.12</v>
      </c>
      <c r="D6" s="1">
        <v>11.5</v>
      </c>
      <c r="E6" s="1">
        <v>10.95</v>
      </c>
      <c r="F6" s="1">
        <v>3.12</v>
      </c>
      <c r="G6" s="1">
        <v>1.67</v>
      </c>
      <c r="H6" s="1">
        <v>1.23</v>
      </c>
      <c r="I6" s="1">
        <v>13.06</v>
      </c>
      <c r="J6" s="1">
        <v>25.39</v>
      </c>
      <c r="K6" s="1">
        <v>1</v>
      </c>
    </row>
    <row r="7" spans="1:11" x14ac:dyDescent="0.2">
      <c r="B7" s="1" t="s">
        <v>8</v>
      </c>
      <c r="C7" s="1">
        <v>2.23</v>
      </c>
      <c r="D7" s="1">
        <v>12.28</v>
      </c>
      <c r="E7" s="1">
        <v>4.13</v>
      </c>
      <c r="F7" s="1">
        <v>1.56</v>
      </c>
      <c r="G7" s="1">
        <v>5.81</v>
      </c>
      <c r="H7" s="1">
        <v>13.28</v>
      </c>
      <c r="I7" s="1">
        <v>8.27</v>
      </c>
      <c r="J7" s="1">
        <v>40.450000000000003</v>
      </c>
      <c r="K7" s="1">
        <v>1</v>
      </c>
    </row>
    <row r="8" spans="1:11" x14ac:dyDescent="0.2">
      <c r="B8" s="1" t="s">
        <v>9</v>
      </c>
      <c r="C8" s="1">
        <v>1.1200000000000001</v>
      </c>
      <c r="D8" s="1">
        <v>1</v>
      </c>
      <c r="E8" s="1">
        <v>5.8</v>
      </c>
      <c r="F8" s="1">
        <v>1.9</v>
      </c>
      <c r="G8" s="1">
        <v>1</v>
      </c>
      <c r="H8" s="1">
        <v>6.03</v>
      </c>
      <c r="I8" s="1">
        <v>26.12</v>
      </c>
      <c r="J8" s="1">
        <v>32.549999999999997</v>
      </c>
      <c r="K8" s="1">
        <v>1</v>
      </c>
    </row>
    <row r="9" spans="1:11" x14ac:dyDescent="0.2">
      <c r="B9" s="1" t="s">
        <v>10</v>
      </c>
      <c r="C9" s="1">
        <v>0</v>
      </c>
      <c r="D9" s="1">
        <v>5.36</v>
      </c>
      <c r="E9" s="1">
        <v>5.7</v>
      </c>
      <c r="F9" s="1">
        <v>3.91</v>
      </c>
      <c r="G9" s="1">
        <v>8.15</v>
      </c>
      <c r="H9" s="1">
        <v>13.52</v>
      </c>
      <c r="I9" s="1">
        <v>22.54</v>
      </c>
      <c r="J9" s="1">
        <v>18.12</v>
      </c>
      <c r="K9" s="1">
        <v>1</v>
      </c>
    </row>
    <row r="10" spans="1:11" x14ac:dyDescent="0.2"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</row>
    <row r="11" spans="1:11" x14ac:dyDescent="0.2"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</row>
    <row r="12" spans="1:11" x14ac:dyDescent="0.2">
      <c r="A12" s="2"/>
      <c r="B12" s="1"/>
      <c r="C12" s="1"/>
      <c r="D12" s="1"/>
      <c r="E12" s="1"/>
      <c r="F12" s="1"/>
      <c r="G12" s="1"/>
      <c r="H12" s="1"/>
      <c r="I12" s="1"/>
      <c r="J12" s="1"/>
      <c r="K12" s="1">
        <v>1</v>
      </c>
    </row>
    <row r="13" spans="1:11" x14ac:dyDescent="0.2">
      <c r="B13" s="1"/>
      <c r="C13" s="1"/>
      <c r="D13" s="1"/>
      <c r="E13" s="1"/>
      <c r="F13" s="1"/>
      <c r="G13" s="1"/>
      <c r="H13" s="1"/>
      <c r="I13" s="1"/>
      <c r="J13" s="1"/>
      <c r="K13" s="1">
        <v>1</v>
      </c>
    </row>
    <row r="14" spans="1:11" x14ac:dyDescent="0.2">
      <c r="A14" t="s">
        <v>12</v>
      </c>
      <c r="C14">
        <f>AVERAGE(C4:C13)</f>
        <v>2.4933333333333336</v>
      </c>
      <c r="D14">
        <f t="shared" ref="D14:J14" si="0">AVERAGE(D4:D13)</f>
        <v>7.706666666666667</v>
      </c>
      <c r="E14">
        <f t="shared" si="0"/>
        <v>5.8999999999999995</v>
      </c>
      <c r="F14">
        <f t="shared" si="0"/>
        <v>3.2383333333333333</v>
      </c>
      <c r="G14">
        <f t="shared" si="0"/>
        <v>5.2283333333333326</v>
      </c>
      <c r="H14">
        <f t="shared" si="0"/>
        <v>10.78</v>
      </c>
      <c r="I14">
        <f t="shared" si="0"/>
        <v>18.305000000000003</v>
      </c>
      <c r="J14">
        <f t="shared" si="0"/>
        <v>29.504999999999999</v>
      </c>
      <c r="K14" s="1">
        <v>1</v>
      </c>
    </row>
    <row r="16" spans="1:11" x14ac:dyDescent="0.2">
      <c r="A16" t="s">
        <v>43</v>
      </c>
    </row>
    <row r="17" spans="1:11" x14ac:dyDescent="0.2">
      <c r="B17" s="1" t="s">
        <v>6</v>
      </c>
      <c r="C17" s="1">
        <v>1.67</v>
      </c>
      <c r="D17" s="1">
        <v>3.24</v>
      </c>
      <c r="E17" s="1">
        <v>6.25</v>
      </c>
      <c r="F17" s="1">
        <v>2.0099999999999998</v>
      </c>
      <c r="G17" s="1">
        <v>1.9</v>
      </c>
      <c r="H17" s="1">
        <v>3.69</v>
      </c>
      <c r="I17" s="1">
        <v>20.2</v>
      </c>
      <c r="J17" s="1">
        <v>18.12</v>
      </c>
      <c r="K17" s="1">
        <v>2</v>
      </c>
    </row>
    <row r="18" spans="1:11" x14ac:dyDescent="0.2">
      <c r="B18" s="1" t="s">
        <v>11</v>
      </c>
      <c r="C18" s="1">
        <v>1.1200000000000001</v>
      </c>
      <c r="D18" s="1">
        <v>14.17</v>
      </c>
      <c r="E18" s="1">
        <v>9.0500000000000007</v>
      </c>
      <c r="F18" s="1">
        <v>11.05</v>
      </c>
      <c r="G18" s="1">
        <v>11.72</v>
      </c>
      <c r="H18" s="1">
        <v>17.079999999999998</v>
      </c>
      <c r="I18" s="1">
        <v>26.79</v>
      </c>
      <c r="J18" s="1">
        <v>32.21</v>
      </c>
      <c r="K18" s="1">
        <v>2</v>
      </c>
    </row>
    <row r="19" spans="1:11" x14ac:dyDescent="0.2">
      <c r="B19" s="1" t="s">
        <v>33</v>
      </c>
      <c r="C19" s="1">
        <v>2.12</v>
      </c>
      <c r="D19" s="1">
        <v>6.82</v>
      </c>
      <c r="E19" s="1">
        <v>3.79</v>
      </c>
      <c r="F19" s="1">
        <v>1.23</v>
      </c>
      <c r="G19" s="1">
        <v>8.7200000000000006</v>
      </c>
      <c r="H19" s="1">
        <v>21.54</v>
      </c>
      <c r="I19" s="1">
        <v>24.02</v>
      </c>
      <c r="J19" s="1">
        <v>17.899999999999999</v>
      </c>
      <c r="K19" s="1">
        <v>2</v>
      </c>
    </row>
    <row r="20" spans="1:11" x14ac:dyDescent="0.2">
      <c r="B20" s="1" t="s">
        <v>37</v>
      </c>
      <c r="C20" s="1">
        <v>2.68</v>
      </c>
      <c r="D20" s="1">
        <v>5.81</v>
      </c>
      <c r="E20" s="1">
        <v>1.9</v>
      </c>
      <c r="F20" s="1">
        <v>3.35</v>
      </c>
      <c r="G20" s="1">
        <v>11.38</v>
      </c>
      <c r="H20" s="1">
        <v>9.16</v>
      </c>
      <c r="I20" s="1">
        <v>20.09</v>
      </c>
      <c r="J20" s="1">
        <v>53.47</v>
      </c>
      <c r="K20" s="1">
        <v>2</v>
      </c>
    </row>
    <row r="21" spans="1:11" x14ac:dyDescent="0.2">
      <c r="B21" t="s">
        <v>93</v>
      </c>
      <c r="C21">
        <v>0</v>
      </c>
      <c r="D21">
        <v>1</v>
      </c>
      <c r="E21">
        <v>4.3600000000000003</v>
      </c>
      <c r="F21">
        <v>14.84</v>
      </c>
      <c r="G21">
        <v>20.09</v>
      </c>
      <c r="H21">
        <v>21.23</v>
      </c>
      <c r="I21">
        <v>38.619999999999997</v>
      </c>
      <c r="J21">
        <v>41.95</v>
      </c>
      <c r="K21" s="1">
        <v>2</v>
      </c>
    </row>
    <row r="22" spans="1:11" x14ac:dyDescent="0.2">
      <c r="B22" t="s">
        <v>94</v>
      </c>
      <c r="C22">
        <v>1.56</v>
      </c>
      <c r="D22">
        <v>5.58</v>
      </c>
      <c r="E22">
        <v>8.27</v>
      </c>
      <c r="F22">
        <v>4.13</v>
      </c>
      <c r="G22">
        <v>14.4</v>
      </c>
      <c r="H22">
        <v>19.64</v>
      </c>
      <c r="I22">
        <v>12.85</v>
      </c>
      <c r="J22">
        <v>13.85</v>
      </c>
      <c r="K22" s="1">
        <v>2</v>
      </c>
    </row>
    <row r="23" spans="1:11" x14ac:dyDescent="0.2">
      <c r="B23" t="s">
        <v>95</v>
      </c>
      <c r="C23">
        <v>0.89</v>
      </c>
      <c r="D23">
        <v>7.03</v>
      </c>
      <c r="E23">
        <v>1.34</v>
      </c>
      <c r="F23">
        <v>7.93</v>
      </c>
      <c r="G23">
        <v>16.41</v>
      </c>
      <c r="H23">
        <v>30.73</v>
      </c>
      <c r="I23">
        <v>22.35</v>
      </c>
      <c r="J23">
        <v>34.86</v>
      </c>
      <c r="K23" s="1">
        <v>2</v>
      </c>
    </row>
    <row r="24" spans="1:11" x14ac:dyDescent="0.2">
      <c r="B24" s="1" t="s">
        <v>83</v>
      </c>
      <c r="C24" s="1">
        <v>0.89</v>
      </c>
      <c r="D24" s="1">
        <v>2.79</v>
      </c>
      <c r="E24" s="1">
        <v>10.83</v>
      </c>
      <c r="F24" s="1">
        <v>3.68</v>
      </c>
      <c r="G24" s="1">
        <v>0</v>
      </c>
      <c r="H24" s="1">
        <v>6.81</v>
      </c>
      <c r="I24" s="1">
        <v>6.58</v>
      </c>
      <c r="J24" s="1">
        <v>26.93</v>
      </c>
      <c r="K24" s="1">
        <v>2</v>
      </c>
    </row>
    <row r="25" spans="1:11" x14ac:dyDescent="0.2">
      <c r="A25" t="s">
        <v>12</v>
      </c>
      <c r="C25">
        <f t="shared" ref="C25:J25" si="1">AVERAGE(C17:C24)</f>
        <v>1.3662500000000002</v>
      </c>
      <c r="D25">
        <f t="shared" si="1"/>
        <v>5.8049999999999997</v>
      </c>
      <c r="E25">
        <f t="shared" si="1"/>
        <v>5.7237499999999999</v>
      </c>
      <c r="F25">
        <f t="shared" si="1"/>
        <v>6.0275000000000007</v>
      </c>
      <c r="G25">
        <f t="shared" si="1"/>
        <v>10.577500000000001</v>
      </c>
      <c r="H25">
        <f t="shared" si="1"/>
        <v>16.234999999999999</v>
      </c>
      <c r="I25">
        <f t="shared" si="1"/>
        <v>21.4375</v>
      </c>
      <c r="J25">
        <f t="shared" si="1"/>
        <v>29.911249999999995</v>
      </c>
    </row>
    <row r="27" spans="1:11" x14ac:dyDescent="0.2">
      <c r="A27" t="s">
        <v>45</v>
      </c>
      <c r="B27" s="3"/>
    </row>
    <row r="28" spans="1:11" x14ac:dyDescent="0.2">
      <c r="A28" s="2"/>
      <c r="B28" s="1" t="s">
        <v>85</v>
      </c>
      <c r="C28" s="1">
        <v>0</v>
      </c>
      <c r="D28" s="1">
        <v>10.83</v>
      </c>
      <c r="E28" s="1">
        <v>4.8</v>
      </c>
      <c r="F28" s="1">
        <v>8.83</v>
      </c>
      <c r="G28" s="1">
        <v>9.0399999999999991</v>
      </c>
      <c r="H28" s="1">
        <v>6.7</v>
      </c>
      <c r="I28" s="1">
        <v>16.850000000000001</v>
      </c>
      <c r="J28" s="1">
        <v>14.99</v>
      </c>
      <c r="K28">
        <v>3</v>
      </c>
    </row>
    <row r="29" spans="1:11" x14ac:dyDescent="0.2">
      <c r="B29" s="4"/>
      <c r="C29" s="1"/>
      <c r="D29" s="1"/>
      <c r="E29" s="1"/>
      <c r="F29" s="1"/>
      <c r="G29" s="1"/>
      <c r="H29" s="1"/>
      <c r="I29" s="1"/>
      <c r="J29" s="1"/>
      <c r="K29">
        <v>3</v>
      </c>
    </row>
    <row r="30" spans="1:11" x14ac:dyDescent="0.2">
      <c r="A30" s="2"/>
      <c r="C30" s="1"/>
      <c r="D30" s="1"/>
      <c r="E30" s="1"/>
      <c r="F30" s="1"/>
      <c r="G30" s="1"/>
      <c r="H30" s="1"/>
      <c r="I30" s="1"/>
      <c r="J30" s="1"/>
      <c r="K30">
        <v>3</v>
      </c>
    </row>
    <row r="31" spans="1:11" x14ac:dyDescent="0.2">
      <c r="C31" s="1"/>
      <c r="D31" s="1"/>
      <c r="E31" s="1"/>
      <c r="F31" s="1"/>
      <c r="G31" s="1"/>
      <c r="H31" s="1"/>
      <c r="I31" s="1"/>
      <c r="J31" s="1"/>
      <c r="K31">
        <v>3</v>
      </c>
    </row>
    <row r="32" spans="1:11" x14ac:dyDescent="0.2">
      <c r="C32" s="1"/>
      <c r="D32" s="1"/>
      <c r="E32" s="1"/>
      <c r="F32" s="1"/>
      <c r="G32" s="1"/>
      <c r="H32" s="1"/>
      <c r="I32" s="1"/>
      <c r="J32" s="1"/>
      <c r="K32">
        <v>3</v>
      </c>
    </row>
    <row r="33" spans="1:11" x14ac:dyDescent="0.2">
      <c r="C33" s="1"/>
      <c r="D33" s="1"/>
      <c r="E33" s="1"/>
      <c r="F33" s="1"/>
      <c r="G33" s="1"/>
      <c r="H33" s="1"/>
      <c r="I33" s="1"/>
      <c r="J33" s="1"/>
      <c r="K33">
        <v>3</v>
      </c>
    </row>
    <row r="34" spans="1:11" x14ac:dyDescent="0.2">
      <c r="C34" s="1"/>
      <c r="D34" s="1"/>
      <c r="E34" s="1"/>
      <c r="F34" s="1"/>
      <c r="G34" s="1"/>
      <c r="H34" s="1"/>
      <c r="I34" s="1"/>
      <c r="J34" s="1"/>
      <c r="K34">
        <v>3</v>
      </c>
    </row>
    <row r="35" spans="1:11" x14ac:dyDescent="0.2">
      <c r="B35" s="1"/>
      <c r="C35" s="1"/>
      <c r="D35" s="1"/>
      <c r="E35" s="1"/>
      <c r="F35" s="1"/>
      <c r="G35" s="1"/>
      <c r="H35" s="1"/>
      <c r="I35" s="1"/>
      <c r="J35" s="1"/>
      <c r="K35">
        <v>3</v>
      </c>
    </row>
    <row r="36" spans="1:11" x14ac:dyDescent="0.2">
      <c r="B36" s="1"/>
      <c r="C36" s="1"/>
      <c r="D36" s="1"/>
      <c r="E36" s="1"/>
      <c r="F36" s="1"/>
      <c r="G36" s="1"/>
      <c r="H36" s="1"/>
      <c r="I36" s="1"/>
      <c r="J36" s="1"/>
    </row>
    <row r="40" spans="1:11" x14ac:dyDescent="0.2">
      <c r="A40" t="s">
        <v>12</v>
      </c>
      <c r="C40">
        <f>AVERAGE(C28:C36)</f>
        <v>0</v>
      </c>
      <c r="D40">
        <f t="shared" ref="D40:J40" si="2">AVERAGE(D28:D36)</f>
        <v>10.83</v>
      </c>
      <c r="E40">
        <f t="shared" si="2"/>
        <v>4.8</v>
      </c>
      <c r="F40">
        <f t="shared" si="2"/>
        <v>8.83</v>
      </c>
      <c r="G40">
        <f t="shared" si="2"/>
        <v>9.0399999999999991</v>
      </c>
      <c r="H40">
        <f t="shared" si="2"/>
        <v>6.7</v>
      </c>
      <c r="I40">
        <f t="shared" si="2"/>
        <v>16.850000000000001</v>
      </c>
      <c r="J40">
        <f t="shared" si="2"/>
        <v>14.99</v>
      </c>
    </row>
    <row r="48" spans="1:11" x14ac:dyDescent="0.2">
      <c r="A48" t="s">
        <v>47</v>
      </c>
    </row>
    <row r="49" spans="1:11" x14ac:dyDescent="0.2">
      <c r="B49" s="4" t="s">
        <v>58</v>
      </c>
      <c r="C49" s="1">
        <v>0</v>
      </c>
      <c r="D49" s="1">
        <v>7.37</v>
      </c>
      <c r="E49" s="1">
        <v>7.48</v>
      </c>
      <c r="F49" s="1">
        <v>7.15</v>
      </c>
      <c r="G49" s="1">
        <v>1.1200000000000001</v>
      </c>
      <c r="H49" s="1">
        <v>19.22</v>
      </c>
      <c r="I49" s="1">
        <v>28.57</v>
      </c>
      <c r="J49" s="1">
        <v>31.43</v>
      </c>
      <c r="K49" s="1">
        <v>4</v>
      </c>
    </row>
    <row r="50" spans="1:11" x14ac:dyDescent="0.2">
      <c r="B50" s="4" t="s">
        <v>59</v>
      </c>
      <c r="C50" s="1">
        <v>0</v>
      </c>
      <c r="D50" s="1">
        <v>0</v>
      </c>
      <c r="E50" s="1">
        <v>2.79</v>
      </c>
      <c r="F50" s="1">
        <v>0.89</v>
      </c>
      <c r="G50" s="1">
        <v>5.36</v>
      </c>
      <c r="H50" s="1">
        <v>14.84</v>
      </c>
      <c r="I50" s="1">
        <v>15.29</v>
      </c>
      <c r="J50" s="1">
        <v>16.59</v>
      </c>
      <c r="K50" s="1">
        <v>4</v>
      </c>
    </row>
    <row r="51" spans="1:11" x14ac:dyDescent="0.2">
      <c r="B51" s="4" t="s">
        <v>60</v>
      </c>
      <c r="C51" s="1">
        <v>2.57</v>
      </c>
      <c r="D51" s="1">
        <v>8.94</v>
      </c>
      <c r="E51" s="1">
        <v>16.41</v>
      </c>
      <c r="F51" s="1">
        <v>7.04</v>
      </c>
      <c r="G51" s="1">
        <v>3.79</v>
      </c>
      <c r="H51" s="1">
        <v>17.75</v>
      </c>
      <c r="I51" s="1">
        <v>20.22</v>
      </c>
      <c r="J51" s="1">
        <v>15.08</v>
      </c>
      <c r="K51" s="1">
        <v>4</v>
      </c>
    </row>
    <row r="52" spans="1:11" x14ac:dyDescent="0.2">
      <c r="B52" s="4" t="s">
        <v>61</v>
      </c>
      <c r="C52" s="1">
        <v>1.1200000000000001</v>
      </c>
      <c r="D52" s="1">
        <v>8.94</v>
      </c>
      <c r="E52" s="1">
        <v>6.93</v>
      </c>
      <c r="F52" s="1">
        <v>3.58</v>
      </c>
      <c r="G52" s="1">
        <v>0</v>
      </c>
      <c r="H52" s="1">
        <v>7.25</v>
      </c>
      <c r="I52" s="1">
        <v>25.59</v>
      </c>
      <c r="J52" s="1">
        <v>20.89</v>
      </c>
      <c r="K52" s="1">
        <v>4</v>
      </c>
    </row>
    <row r="53" spans="1:11" x14ac:dyDescent="0.2">
      <c r="B53" s="1" t="s">
        <v>84</v>
      </c>
      <c r="C53" s="1">
        <v>0</v>
      </c>
      <c r="D53" s="1">
        <v>6.25</v>
      </c>
      <c r="E53" s="1">
        <v>1.9</v>
      </c>
      <c r="F53" s="1">
        <v>3.12</v>
      </c>
      <c r="G53" s="1">
        <v>4.24</v>
      </c>
      <c r="H53" s="1">
        <v>6.82</v>
      </c>
      <c r="I53" s="1">
        <v>7.37</v>
      </c>
      <c r="J53" s="1">
        <v>16.87</v>
      </c>
      <c r="K53" s="1">
        <v>4</v>
      </c>
    </row>
    <row r="56" spans="1:11" x14ac:dyDescent="0.2">
      <c r="B56" t="s">
        <v>44</v>
      </c>
      <c r="C56">
        <f t="shared" ref="C56:J56" si="3">AVERAGE(C49:C54)</f>
        <v>0.73799999999999999</v>
      </c>
      <c r="D56">
        <f t="shared" si="3"/>
        <v>6.3</v>
      </c>
      <c r="E56">
        <f t="shared" si="3"/>
        <v>7.1019999999999994</v>
      </c>
      <c r="F56">
        <f t="shared" si="3"/>
        <v>4.3560000000000008</v>
      </c>
      <c r="G56">
        <f t="shared" si="3"/>
        <v>2.9020000000000001</v>
      </c>
      <c r="H56">
        <f t="shared" si="3"/>
        <v>13.175999999999998</v>
      </c>
      <c r="I56">
        <f t="shared" si="3"/>
        <v>19.408000000000001</v>
      </c>
      <c r="J56">
        <f t="shared" si="3"/>
        <v>20.172000000000001</v>
      </c>
    </row>
    <row r="59" spans="1:11" x14ac:dyDescent="0.2">
      <c r="A59" t="s">
        <v>48</v>
      </c>
    </row>
    <row r="60" spans="1:11" x14ac:dyDescent="0.2">
      <c r="B60" t="s">
        <v>53</v>
      </c>
      <c r="C60" s="1">
        <v>2.68</v>
      </c>
      <c r="D60" s="1">
        <v>0</v>
      </c>
      <c r="E60" s="1">
        <v>6.14</v>
      </c>
      <c r="F60" s="1">
        <v>1.34</v>
      </c>
      <c r="G60" s="1">
        <v>1.57</v>
      </c>
      <c r="H60" s="1">
        <v>2.57</v>
      </c>
      <c r="I60" s="1">
        <v>5.26</v>
      </c>
      <c r="J60" s="1">
        <v>38.26</v>
      </c>
      <c r="K60">
        <v>5</v>
      </c>
    </row>
    <row r="61" spans="1:11" x14ac:dyDescent="0.2">
      <c r="B61" t="s">
        <v>54</v>
      </c>
      <c r="C61" s="1">
        <v>0</v>
      </c>
      <c r="D61" s="1">
        <v>3.01</v>
      </c>
      <c r="E61" s="1">
        <v>2.68</v>
      </c>
      <c r="F61" s="1">
        <v>9.3699999999999992</v>
      </c>
      <c r="G61" s="1">
        <v>11.05</v>
      </c>
      <c r="H61" s="1">
        <v>7.26</v>
      </c>
      <c r="I61" s="1">
        <v>25.56</v>
      </c>
      <c r="J61" s="1">
        <v>48.55</v>
      </c>
      <c r="K61">
        <v>5</v>
      </c>
    </row>
    <row r="62" spans="1:11" x14ac:dyDescent="0.2">
      <c r="B62" t="s">
        <v>55</v>
      </c>
      <c r="C62" s="1">
        <v>1.9</v>
      </c>
      <c r="D62" s="1">
        <v>5.59</v>
      </c>
      <c r="E62" s="1">
        <v>4.8</v>
      </c>
      <c r="F62" s="1">
        <v>1.1200000000000001</v>
      </c>
      <c r="G62" s="1">
        <v>4.46</v>
      </c>
      <c r="H62" s="1">
        <v>7.37</v>
      </c>
      <c r="I62" s="1">
        <v>9.27</v>
      </c>
      <c r="J62" s="1">
        <v>33.89</v>
      </c>
      <c r="K62">
        <v>5</v>
      </c>
    </row>
    <row r="63" spans="1:11" x14ac:dyDescent="0.2">
      <c r="B63" t="s">
        <v>56</v>
      </c>
      <c r="C63" s="1">
        <v>2.46</v>
      </c>
      <c r="D63" s="1">
        <v>0</v>
      </c>
      <c r="E63" s="1">
        <v>3.58</v>
      </c>
      <c r="F63" s="1">
        <v>0</v>
      </c>
      <c r="G63" s="1">
        <v>5.8</v>
      </c>
      <c r="H63" s="1">
        <v>3.46</v>
      </c>
      <c r="I63" s="1">
        <v>27.01</v>
      </c>
      <c r="J63" s="1">
        <v>32.74</v>
      </c>
      <c r="K63">
        <v>5</v>
      </c>
    </row>
    <row r="64" spans="1:11" x14ac:dyDescent="0.2">
      <c r="B64" t="s">
        <v>57</v>
      </c>
      <c r="C64" s="1">
        <v>0</v>
      </c>
      <c r="D64" s="1">
        <v>1.79</v>
      </c>
      <c r="E64" s="1">
        <v>5.36</v>
      </c>
      <c r="F64" s="1">
        <v>6.03</v>
      </c>
      <c r="G64" s="1">
        <v>2.91</v>
      </c>
      <c r="H64" s="1">
        <v>15.42</v>
      </c>
      <c r="I64" s="1">
        <v>7.37</v>
      </c>
      <c r="J64" s="1">
        <v>20.89</v>
      </c>
      <c r="K64">
        <v>5</v>
      </c>
    </row>
    <row r="65" spans="2:11" x14ac:dyDescent="0.2">
      <c r="B65" s="1" t="s">
        <v>86</v>
      </c>
      <c r="C65" s="1">
        <v>0</v>
      </c>
      <c r="D65" s="1">
        <v>3.24</v>
      </c>
      <c r="E65" s="1">
        <v>0</v>
      </c>
      <c r="F65" s="1">
        <v>2.23</v>
      </c>
      <c r="G65" s="1">
        <v>1</v>
      </c>
      <c r="H65" s="1">
        <v>5.25</v>
      </c>
      <c r="I65" s="1">
        <v>7.25</v>
      </c>
      <c r="J65" s="1">
        <v>23.83</v>
      </c>
      <c r="K65">
        <v>5</v>
      </c>
    </row>
    <row r="66" spans="2:11" x14ac:dyDescent="0.2">
      <c r="K66">
        <v>5</v>
      </c>
    </row>
    <row r="69" spans="2:11" x14ac:dyDescent="0.2">
      <c r="B69" t="s">
        <v>44</v>
      </c>
      <c r="C69">
        <f t="shared" ref="C69:J69" si="4">AVERAGE(C60:C65)</f>
        <v>1.1733333333333333</v>
      </c>
      <c r="D69">
        <f t="shared" si="4"/>
        <v>2.2716666666666669</v>
      </c>
      <c r="E69">
        <f t="shared" si="4"/>
        <v>3.7600000000000002</v>
      </c>
      <c r="F69">
        <f t="shared" si="4"/>
        <v>3.3483333333333332</v>
      </c>
      <c r="G69">
        <f t="shared" si="4"/>
        <v>4.4650000000000007</v>
      </c>
      <c r="H69">
        <f t="shared" si="4"/>
        <v>6.8883333333333328</v>
      </c>
      <c r="I69">
        <f t="shared" si="4"/>
        <v>13.620000000000003</v>
      </c>
      <c r="J69">
        <f t="shared" si="4"/>
        <v>33.026666666666664</v>
      </c>
    </row>
    <row r="71" spans="2:11" x14ac:dyDescent="0.2">
      <c r="I71" t="s">
        <v>96</v>
      </c>
      <c r="J71">
        <f>TTEST(J49:J54,J60:J66,2,2)</f>
        <v>3.700579927329313E-2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24" workbookViewId="0">
      <selection activeCell="K28" sqref="K28"/>
    </sheetView>
  </sheetViews>
  <sheetFormatPr baseColWidth="10" defaultColWidth="8.83203125" defaultRowHeight="15" x14ac:dyDescent="0.2"/>
  <cols>
    <col min="2" max="2" width="14.83203125" customWidth="1"/>
  </cols>
  <sheetData>
    <row r="1" spans="1:13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3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  <c r="K2" t="s">
        <v>25</v>
      </c>
    </row>
    <row r="3" spans="1:13" x14ac:dyDescent="0.2">
      <c r="A3" t="s">
        <v>2</v>
      </c>
    </row>
    <row r="4" spans="1:13" x14ac:dyDescent="0.2">
      <c r="B4" s="1" t="s">
        <v>13</v>
      </c>
      <c r="C4" s="1">
        <v>41.07</v>
      </c>
      <c r="D4" s="1">
        <v>26.26</v>
      </c>
      <c r="E4" s="1">
        <v>19.2</v>
      </c>
      <c r="F4" s="1">
        <v>33.18</v>
      </c>
      <c r="G4" s="1">
        <v>34.71</v>
      </c>
      <c r="H4" s="1">
        <v>27.6</v>
      </c>
      <c r="I4" s="1">
        <v>26</v>
      </c>
      <c r="J4" s="1">
        <v>12.64</v>
      </c>
      <c r="K4">
        <f>AVERAGE(C4:F4)</f>
        <v>29.927500000000002</v>
      </c>
      <c r="L4" s="1">
        <v>1</v>
      </c>
      <c r="M4" s="1"/>
    </row>
    <row r="5" spans="1:13" x14ac:dyDescent="0.2">
      <c r="B5" s="1" t="s">
        <v>14</v>
      </c>
      <c r="C5" s="1">
        <v>13.74</v>
      </c>
      <c r="D5" s="1">
        <v>19.079999999999998</v>
      </c>
      <c r="E5" s="1">
        <v>24.36</v>
      </c>
      <c r="F5" s="1">
        <v>31.36</v>
      </c>
      <c r="G5" s="1">
        <v>28.49</v>
      </c>
      <c r="H5" s="1">
        <v>25.89</v>
      </c>
      <c r="I5" s="1">
        <v>32.479999999999997</v>
      </c>
      <c r="J5" s="1">
        <v>20.34</v>
      </c>
      <c r="K5">
        <f t="shared" ref="K5:K9" si="0">AVERAGE(C5:F5)</f>
        <v>22.134999999999998</v>
      </c>
      <c r="L5" s="1">
        <v>1</v>
      </c>
      <c r="M5" s="1"/>
    </row>
    <row r="6" spans="1:13" x14ac:dyDescent="0.2">
      <c r="A6" s="2"/>
      <c r="B6" s="1" t="s">
        <v>16</v>
      </c>
      <c r="C6" s="1">
        <v>19.98</v>
      </c>
      <c r="D6" s="1">
        <v>37.39</v>
      </c>
      <c r="E6" s="1">
        <v>39.11</v>
      </c>
      <c r="F6" s="1">
        <v>3.91</v>
      </c>
      <c r="G6" s="1">
        <v>3.02</v>
      </c>
      <c r="H6" s="1">
        <v>3.91</v>
      </c>
      <c r="I6" s="1">
        <v>3.35</v>
      </c>
      <c r="J6" s="1">
        <v>0.89</v>
      </c>
      <c r="K6">
        <f t="shared" si="0"/>
        <v>25.0975</v>
      </c>
      <c r="L6" s="1">
        <v>1</v>
      </c>
      <c r="M6" s="1"/>
    </row>
    <row r="7" spans="1:13" x14ac:dyDescent="0.2">
      <c r="B7" s="1" t="s">
        <v>17</v>
      </c>
      <c r="C7" s="1">
        <v>8.0399999999999991</v>
      </c>
      <c r="D7" s="1">
        <v>12.83</v>
      </c>
      <c r="E7" s="1">
        <v>25.25</v>
      </c>
      <c r="F7" s="1">
        <v>21.32</v>
      </c>
      <c r="G7" s="1">
        <v>19.11</v>
      </c>
      <c r="H7" s="1">
        <v>28.12</v>
      </c>
      <c r="I7" s="1">
        <v>24.58</v>
      </c>
      <c r="J7" s="1">
        <v>34.97</v>
      </c>
      <c r="K7">
        <f t="shared" si="0"/>
        <v>16.86</v>
      </c>
      <c r="L7" s="1">
        <v>1</v>
      </c>
      <c r="M7" s="1"/>
    </row>
    <row r="8" spans="1:13" x14ac:dyDescent="0.2">
      <c r="B8" s="1" t="s">
        <v>26</v>
      </c>
      <c r="C8" s="1">
        <v>15.18</v>
      </c>
      <c r="D8" s="1">
        <v>26.12</v>
      </c>
      <c r="E8" s="1">
        <v>21.79</v>
      </c>
      <c r="F8" s="1">
        <v>24.8</v>
      </c>
      <c r="G8" s="1">
        <v>15.74</v>
      </c>
      <c r="H8" s="1">
        <v>26.12</v>
      </c>
      <c r="I8" s="1">
        <v>16.760000000000002</v>
      </c>
      <c r="J8" s="1">
        <v>7.49</v>
      </c>
      <c r="K8">
        <f t="shared" si="0"/>
        <v>21.9725</v>
      </c>
      <c r="L8" s="1">
        <v>1</v>
      </c>
      <c r="M8" s="1"/>
    </row>
    <row r="9" spans="1:13" x14ac:dyDescent="0.2">
      <c r="B9" s="1" t="s">
        <v>27</v>
      </c>
      <c r="C9" s="1">
        <v>11.61</v>
      </c>
      <c r="D9" s="1">
        <v>28.79</v>
      </c>
      <c r="E9" s="1">
        <v>21.9</v>
      </c>
      <c r="F9" s="1">
        <v>35.94</v>
      </c>
      <c r="G9" s="1">
        <v>15.98</v>
      </c>
      <c r="H9" s="1">
        <v>17.63</v>
      </c>
      <c r="I9" s="1">
        <v>21.34</v>
      </c>
      <c r="J9" s="1">
        <v>27.82</v>
      </c>
      <c r="K9">
        <f t="shared" si="0"/>
        <v>24.56</v>
      </c>
      <c r="L9" s="1">
        <v>1</v>
      </c>
      <c r="M9" s="1"/>
    </row>
    <row r="10" spans="1:13" x14ac:dyDescent="0.2">
      <c r="B10" s="1"/>
      <c r="C10" s="1"/>
      <c r="D10" s="1"/>
      <c r="E10" s="1"/>
      <c r="F10" s="1"/>
      <c r="G10" s="1"/>
      <c r="H10" s="1"/>
      <c r="I10" s="1"/>
      <c r="J10" s="1"/>
      <c r="L10" s="1">
        <v>1</v>
      </c>
      <c r="M10" s="1"/>
    </row>
    <row r="11" spans="1:13" x14ac:dyDescent="0.2">
      <c r="B11" s="1"/>
      <c r="C11" s="1"/>
      <c r="D11" s="1"/>
      <c r="E11" s="1"/>
      <c r="F11" s="1"/>
      <c r="G11" s="1"/>
      <c r="H11" s="1"/>
      <c r="I11" s="1"/>
      <c r="J11" s="1"/>
      <c r="L11" s="1">
        <v>1</v>
      </c>
      <c r="M11" s="1"/>
    </row>
    <row r="12" spans="1:13" x14ac:dyDescent="0.2">
      <c r="A12" s="2"/>
      <c r="B12" s="1"/>
      <c r="C12" s="1"/>
      <c r="D12" s="1"/>
      <c r="E12" s="1"/>
      <c r="F12" s="1"/>
      <c r="G12" s="1"/>
      <c r="H12" s="1"/>
      <c r="I12" s="1"/>
      <c r="J12" s="1"/>
      <c r="L12" s="1">
        <v>1</v>
      </c>
      <c r="M12" s="1"/>
    </row>
    <row r="13" spans="1:13" x14ac:dyDescent="0.2">
      <c r="B13" s="1"/>
      <c r="C13" s="1"/>
      <c r="D13" s="1"/>
      <c r="E13" s="1"/>
      <c r="F13" s="1"/>
      <c r="G13" s="1"/>
      <c r="H13" s="1"/>
      <c r="I13" s="1"/>
      <c r="J13" s="1"/>
      <c r="L13" s="1">
        <v>1</v>
      </c>
      <c r="M13" s="1"/>
    </row>
    <row r="14" spans="1:13" x14ac:dyDescent="0.2">
      <c r="A14" t="s">
        <v>12</v>
      </c>
      <c r="C14">
        <f>AVERAGE(C4:C13)</f>
        <v>18.270000000000003</v>
      </c>
      <c r="D14">
        <f t="shared" ref="D14:J14" si="1">AVERAGE(D4:D13)</f>
        <v>25.078333333333333</v>
      </c>
      <c r="E14">
        <f t="shared" si="1"/>
        <v>25.268333333333334</v>
      </c>
      <c r="F14">
        <f t="shared" si="1"/>
        <v>25.084999999999997</v>
      </c>
      <c r="G14">
        <f t="shared" si="1"/>
        <v>19.508333333333333</v>
      </c>
      <c r="H14">
        <f t="shared" si="1"/>
        <v>21.545000000000002</v>
      </c>
      <c r="I14">
        <f t="shared" si="1"/>
        <v>20.751666666666669</v>
      </c>
      <c r="J14">
        <f t="shared" si="1"/>
        <v>17.358333333333334</v>
      </c>
      <c r="K14">
        <f>AVERAGE(K4:K13)</f>
        <v>23.425416666666663</v>
      </c>
    </row>
    <row r="16" spans="1:13" x14ac:dyDescent="0.2">
      <c r="A16" t="s">
        <v>46</v>
      </c>
    </row>
    <row r="17" spans="1:13" x14ac:dyDescent="0.2">
      <c r="B17" s="4" t="s">
        <v>15</v>
      </c>
      <c r="C17" s="1">
        <v>28.83</v>
      </c>
      <c r="D17" s="1">
        <v>50.89</v>
      </c>
      <c r="E17" s="1">
        <v>20.45</v>
      </c>
      <c r="F17" s="1">
        <v>5.0199999999999996</v>
      </c>
      <c r="G17" s="1">
        <v>23.44</v>
      </c>
      <c r="H17" s="1">
        <v>27.15</v>
      </c>
      <c r="I17" s="1">
        <v>42.86</v>
      </c>
      <c r="J17" s="1">
        <v>36.020000000000003</v>
      </c>
      <c r="K17">
        <f t="shared" ref="K17:K24" si="2">AVERAGE(C17:F17)</f>
        <v>26.297499999999999</v>
      </c>
      <c r="L17" s="1">
        <v>2</v>
      </c>
      <c r="M17" s="1"/>
    </row>
    <row r="18" spans="1:13" x14ac:dyDescent="0.2">
      <c r="B18" s="4" t="s">
        <v>28</v>
      </c>
      <c r="C18" s="1">
        <v>28.49</v>
      </c>
      <c r="D18" s="1">
        <v>44.2</v>
      </c>
      <c r="E18" s="1">
        <v>30.06</v>
      </c>
      <c r="F18" s="1">
        <v>47.21</v>
      </c>
      <c r="G18" s="1">
        <v>28.83</v>
      </c>
      <c r="H18" s="1">
        <v>18.75</v>
      </c>
      <c r="I18" s="1">
        <v>23.55</v>
      </c>
      <c r="J18" s="1">
        <v>22.71</v>
      </c>
      <c r="K18">
        <f t="shared" si="2"/>
        <v>37.49</v>
      </c>
      <c r="L18" s="1">
        <v>2</v>
      </c>
      <c r="M18" s="1"/>
    </row>
    <row r="19" spans="1:13" x14ac:dyDescent="0.2">
      <c r="B19" s="4" t="s">
        <v>34</v>
      </c>
      <c r="C19" s="1">
        <v>18.64</v>
      </c>
      <c r="D19" s="1">
        <v>33.85</v>
      </c>
      <c r="E19" s="1">
        <v>26.59</v>
      </c>
      <c r="F19" s="1">
        <v>19.87</v>
      </c>
      <c r="G19" s="1">
        <v>21.12</v>
      </c>
      <c r="H19" s="1">
        <v>15.07</v>
      </c>
      <c r="I19" s="1">
        <v>22.77</v>
      </c>
      <c r="J19" s="1">
        <v>8.9499999999999993</v>
      </c>
      <c r="K19">
        <f t="shared" si="2"/>
        <v>24.737500000000001</v>
      </c>
      <c r="L19" s="1">
        <v>2</v>
      </c>
      <c r="M19" s="1"/>
    </row>
    <row r="20" spans="1:13" x14ac:dyDescent="0.2">
      <c r="B20" s="1" t="s">
        <v>38</v>
      </c>
      <c r="C20" s="1">
        <v>10.83</v>
      </c>
      <c r="D20" s="1">
        <v>29.94</v>
      </c>
      <c r="E20" s="1">
        <v>39.22</v>
      </c>
      <c r="F20" s="1">
        <v>16.850000000000001</v>
      </c>
      <c r="G20" s="1">
        <v>27.68</v>
      </c>
      <c r="H20" s="1">
        <v>34.68</v>
      </c>
      <c r="I20" s="1">
        <v>24.25</v>
      </c>
      <c r="J20" s="1">
        <v>61.41</v>
      </c>
      <c r="K20">
        <f t="shared" si="2"/>
        <v>24.21</v>
      </c>
      <c r="L20" s="1">
        <v>2</v>
      </c>
      <c r="M20" s="1"/>
    </row>
    <row r="21" spans="1:13" x14ac:dyDescent="0.2">
      <c r="B21" t="s">
        <v>93</v>
      </c>
      <c r="C21">
        <v>21.32</v>
      </c>
      <c r="D21">
        <v>41.12</v>
      </c>
      <c r="E21">
        <v>41.12</v>
      </c>
      <c r="F21">
        <v>48.77</v>
      </c>
      <c r="G21">
        <v>48.6</v>
      </c>
      <c r="H21">
        <v>29.58</v>
      </c>
      <c r="I21">
        <v>42.3</v>
      </c>
      <c r="J21" s="1"/>
      <c r="K21">
        <f t="shared" si="2"/>
        <v>38.082500000000003</v>
      </c>
      <c r="L21" s="1">
        <v>2</v>
      </c>
    </row>
    <row r="22" spans="1:13" x14ac:dyDescent="0.2">
      <c r="B22" t="s">
        <v>94</v>
      </c>
      <c r="C22">
        <v>11.17</v>
      </c>
      <c r="D22">
        <v>52.01</v>
      </c>
      <c r="E22">
        <v>25.67</v>
      </c>
      <c r="F22">
        <v>23.02</v>
      </c>
      <c r="G22">
        <v>44.42</v>
      </c>
      <c r="H22">
        <v>34.97</v>
      </c>
      <c r="I22">
        <v>20.2</v>
      </c>
      <c r="J22" s="1"/>
      <c r="K22">
        <f t="shared" si="2"/>
        <v>27.967499999999998</v>
      </c>
      <c r="L22" s="1">
        <v>2</v>
      </c>
    </row>
    <row r="23" spans="1:13" x14ac:dyDescent="0.2">
      <c r="B23" t="s">
        <v>95</v>
      </c>
      <c r="C23">
        <v>4.24</v>
      </c>
      <c r="D23">
        <v>31.92</v>
      </c>
      <c r="E23">
        <v>36.869999999999997</v>
      </c>
      <c r="F23">
        <v>64.62</v>
      </c>
      <c r="G23">
        <v>17.09</v>
      </c>
      <c r="H23">
        <v>17.52</v>
      </c>
      <c r="I23">
        <v>15.08</v>
      </c>
      <c r="J23" s="1"/>
      <c r="K23">
        <f t="shared" si="2"/>
        <v>34.412500000000001</v>
      </c>
      <c r="L23" s="1">
        <v>2</v>
      </c>
    </row>
    <row r="24" spans="1:13" x14ac:dyDescent="0.2">
      <c r="B24" s="1" t="s">
        <v>81</v>
      </c>
      <c r="C24" s="1">
        <v>6.81</v>
      </c>
      <c r="D24" s="1">
        <v>22.79</v>
      </c>
      <c r="E24" s="1">
        <v>30.13</v>
      </c>
      <c r="F24" s="1">
        <v>56.54</v>
      </c>
      <c r="G24" s="1">
        <v>57.48</v>
      </c>
      <c r="H24" s="1">
        <v>38.44</v>
      </c>
      <c r="I24" s="1">
        <v>18.3</v>
      </c>
      <c r="J24" s="1">
        <v>11.3</v>
      </c>
      <c r="K24">
        <f t="shared" si="2"/>
        <v>29.067499999999999</v>
      </c>
      <c r="L24" s="1">
        <v>2</v>
      </c>
    </row>
    <row r="25" spans="1:13" x14ac:dyDescent="0.2">
      <c r="A25" t="s">
        <v>12</v>
      </c>
      <c r="B25" s="3"/>
      <c r="C25">
        <f>AVERAGE(C17:C24)</f>
        <v>16.291249999999998</v>
      </c>
      <c r="D25">
        <f>AVERAGE(D17:D24)</f>
        <v>38.340000000000003</v>
      </c>
      <c r="E25">
        <f>AVERAGE(E17:E24)</f>
        <v>31.263750000000002</v>
      </c>
      <c r="F25">
        <f>AVERAGE(F17:F24)</f>
        <v>35.237500000000004</v>
      </c>
      <c r="G25">
        <f>AVERAGE(G17:G24)</f>
        <v>33.582499999999996</v>
      </c>
      <c r="H25">
        <f>AVERAGE(H17:H24)</f>
        <v>27.02</v>
      </c>
      <c r="I25">
        <f>AVERAGE(I17:I24)</f>
        <v>26.16375</v>
      </c>
      <c r="J25">
        <f>AVERAGE(J17:J24)</f>
        <v>28.078000000000003</v>
      </c>
      <c r="K25">
        <f>AVERAGE(K17:K24)</f>
        <v>30.283125000000002</v>
      </c>
    </row>
    <row r="26" spans="1:13" x14ac:dyDescent="0.2">
      <c r="B26" s="3"/>
    </row>
    <row r="27" spans="1:13" x14ac:dyDescent="0.2">
      <c r="A27" t="s">
        <v>45</v>
      </c>
      <c r="B27" s="3"/>
    </row>
    <row r="28" spans="1:13" x14ac:dyDescent="0.2">
      <c r="A28" s="2"/>
      <c r="B28" s="1" t="s">
        <v>89</v>
      </c>
      <c r="C28" s="1">
        <v>10.6</v>
      </c>
      <c r="D28" s="1">
        <v>7.71</v>
      </c>
      <c r="E28" s="1">
        <v>10.6</v>
      </c>
      <c r="F28" s="1">
        <v>10.39</v>
      </c>
      <c r="G28" s="1">
        <v>15.4</v>
      </c>
      <c r="H28" s="1">
        <v>7.71</v>
      </c>
      <c r="I28" s="1">
        <v>7.7</v>
      </c>
      <c r="J28" s="1">
        <v>20.92</v>
      </c>
      <c r="K28">
        <f>AVERAGE(C28:F28)</f>
        <v>9.8249999999999993</v>
      </c>
      <c r="L28" s="1">
        <v>3</v>
      </c>
      <c r="M28" s="1"/>
    </row>
    <row r="29" spans="1:13" x14ac:dyDescent="0.2">
      <c r="C29" s="1"/>
      <c r="D29" s="1"/>
      <c r="E29" s="1"/>
      <c r="F29" s="1"/>
      <c r="G29" s="1"/>
      <c r="H29" s="1"/>
      <c r="I29" s="1"/>
      <c r="J29" s="1"/>
      <c r="L29" s="1">
        <v>3</v>
      </c>
      <c r="M29" s="1"/>
    </row>
    <row r="30" spans="1:13" x14ac:dyDescent="0.2">
      <c r="A30" s="2"/>
      <c r="C30" s="1"/>
      <c r="D30" s="1"/>
      <c r="E30" s="1"/>
      <c r="F30" s="1"/>
      <c r="G30" s="1"/>
      <c r="H30" s="1"/>
      <c r="I30" s="1"/>
      <c r="J30" s="1"/>
      <c r="K30" t="e">
        <f t="shared" ref="K30:K36" si="3">AVERAGE(C30:F30)</f>
        <v>#DIV/0!</v>
      </c>
      <c r="L30" s="1">
        <v>3</v>
      </c>
      <c r="M30" s="1"/>
    </row>
    <row r="31" spans="1:13" x14ac:dyDescent="0.2">
      <c r="C31" s="1"/>
      <c r="D31" s="1"/>
      <c r="E31" s="1"/>
      <c r="F31" s="1"/>
      <c r="G31" s="1"/>
      <c r="H31" s="1"/>
      <c r="I31" s="1"/>
      <c r="J31" s="1"/>
      <c r="K31" t="e">
        <f t="shared" si="3"/>
        <v>#DIV/0!</v>
      </c>
      <c r="L31" s="1">
        <v>3</v>
      </c>
      <c r="M31" s="1"/>
    </row>
    <row r="32" spans="1:13" x14ac:dyDescent="0.2">
      <c r="C32" s="1"/>
      <c r="D32" s="1"/>
      <c r="E32" s="1"/>
      <c r="F32" s="1"/>
      <c r="G32" s="1"/>
      <c r="H32" s="1"/>
      <c r="I32" s="1"/>
      <c r="J32" s="1"/>
      <c r="K32" t="e">
        <f t="shared" si="3"/>
        <v>#DIV/0!</v>
      </c>
      <c r="L32" s="1">
        <v>3</v>
      </c>
      <c r="M32" s="1"/>
    </row>
    <row r="33" spans="1:13" x14ac:dyDescent="0.2">
      <c r="C33" s="1"/>
      <c r="D33" s="1"/>
      <c r="E33" s="1"/>
      <c r="F33" s="1"/>
      <c r="G33" s="1"/>
      <c r="H33" s="1"/>
      <c r="I33" s="1"/>
      <c r="J33" s="1"/>
      <c r="K33" t="e">
        <f t="shared" si="3"/>
        <v>#DIV/0!</v>
      </c>
      <c r="L33" s="1">
        <v>3</v>
      </c>
      <c r="M33" s="1"/>
    </row>
    <row r="34" spans="1:13" x14ac:dyDescent="0.2">
      <c r="C34" s="1"/>
      <c r="D34" s="1"/>
      <c r="E34" s="1"/>
      <c r="F34" s="1"/>
      <c r="G34" s="1"/>
      <c r="H34" s="1"/>
      <c r="I34" s="1"/>
      <c r="J34" s="1"/>
      <c r="K34" t="e">
        <f t="shared" si="3"/>
        <v>#DIV/0!</v>
      </c>
      <c r="L34" s="1">
        <v>3</v>
      </c>
    </row>
    <row r="35" spans="1:13" x14ac:dyDescent="0.2">
      <c r="B35" s="1"/>
      <c r="C35" s="1"/>
      <c r="D35" s="1"/>
      <c r="E35" s="1"/>
      <c r="F35" s="1"/>
      <c r="G35" s="1"/>
      <c r="H35" s="1"/>
      <c r="I35" s="1"/>
      <c r="J35" s="1"/>
      <c r="K35" t="e">
        <f t="shared" si="3"/>
        <v>#DIV/0!</v>
      </c>
      <c r="L35" s="1">
        <v>3</v>
      </c>
    </row>
    <row r="36" spans="1:13" x14ac:dyDescent="0.2">
      <c r="B36" s="1"/>
      <c r="C36" s="1"/>
      <c r="D36" s="1"/>
      <c r="E36" s="1"/>
      <c r="F36" s="1"/>
      <c r="G36" s="1"/>
      <c r="H36" s="1"/>
      <c r="I36" s="1"/>
      <c r="J36" s="1"/>
      <c r="K36" t="e">
        <f t="shared" si="3"/>
        <v>#DIV/0!</v>
      </c>
      <c r="L36" s="1">
        <v>3</v>
      </c>
    </row>
    <row r="37" spans="1:13" x14ac:dyDescent="0.2">
      <c r="L37" s="1">
        <v>3</v>
      </c>
    </row>
    <row r="40" spans="1:13" x14ac:dyDescent="0.2">
      <c r="A40" t="s">
        <v>12</v>
      </c>
      <c r="C40">
        <f>AVERAGE(C28:C39)</f>
        <v>10.6</v>
      </c>
      <c r="D40">
        <f t="shared" ref="D40:J40" si="4">AVERAGE(D28:D39)</f>
        <v>7.71</v>
      </c>
      <c r="E40">
        <f t="shared" si="4"/>
        <v>10.6</v>
      </c>
      <c r="F40">
        <f t="shared" si="4"/>
        <v>10.39</v>
      </c>
      <c r="G40">
        <f t="shared" si="4"/>
        <v>15.4</v>
      </c>
      <c r="H40">
        <f t="shared" si="4"/>
        <v>7.71</v>
      </c>
      <c r="I40">
        <f t="shared" si="4"/>
        <v>7.7</v>
      </c>
      <c r="J40">
        <f t="shared" si="4"/>
        <v>20.92</v>
      </c>
      <c r="K40" t="e">
        <f t="shared" ref="K40" si="5">AVERAGE(K28:K39)</f>
        <v>#DIV/0!</v>
      </c>
    </row>
    <row r="48" spans="1:13" x14ac:dyDescent="0.2">
      <c r="A48" t="s">
        <v>47</v>
      </c>
    </row>
    <row r="49" spans="1:12" x14ac:dyDescent="0.2">
      <c r="B49" s="4" t="s">
        <v>49</v>
      </c>
      <c r="C49" s="1">
        <v>11.05</v>
      </c>
      <c r="D49" s="1">
        <v>17.3</v>
      </c>
      <c r="E49" s="1">
        <v>16.07</v>
      </c>
      <c r="F49" s="1">
        <v>3.46</v>
      </c>
      <c r="G49" s="1">
        <v>22.35</v>
      </c>
      <c r="H49" s="1">
        <v>10.94</v>
      </c>
      <c r="I49" s="1">
        <v>17.54</v>
      </c>
      <c r="J49" s="1">
        <v>14.53</v>
      </c>
      <c r="K49">
        <f t="shared" ref="K49:K65" si="6">AVERAGE(C49:F49)</f>
        <v>11.97</v>
      </c>
      <c r="L49">
        <v>4</v>
      </c>
    </row>
    <row r="50" spans="1:12" x14ac:dyDescent="0.2">
      <c r="B50" s="4" t="s">
        <v>50</v>
      </c>
      <c r="C50" s="1">
        <v>18.86</v>
      </c>
      <c r="D50" s="1">
        <v>31.03</v>
      </c>
      <c r="E50" s="1">
        <v>51.28</v>
      </c>
      <c r="F50" s="1">
        <v>63.5</v>
      </c>
      <c r="G50" s="1">
        <v>17.88</v>
      </c>
      <c r="H50" s="1">
        <v>38.950000000000003</v>
      </c>
      <c r="I50" s="1">
        <v>22.79</v>
      </c>
      <c r="J50" s="1">
        <v>28.27</v>
      </c>
      <c r="K50">
        <f t="shared" si="6"/>
        <v>41.167500000000004</v>
      </c>
      <c r="L50">
        <v>4</v>
      </c>
    </row>
    <row r="51" spans="1:12" x14ac:dyDescent="0.2">
      <c r="B51" s="4" t="s">
        <v>51</v>
      </c>
      <c r="C51" s="1">
        <v>5.58</v>
      </c>
      <c r="D51" s="1">
        <v>19.11</v>
      </c>
      <c r="E51" s="1">
        <v>41.07</v>
      </c>
      <c r="F51" s="1">
        <v>21.34</v>
      </c>
      <c r="G51" s="1">
        <v>8.48</v>
      </c>
      <c r="H51" s="1">
        <v>19.55</v>
      </c>
      <c r="I51" s="1">
        <v>9.26</v>
      </c>
      <c r="J51" s="1">
        <v>11.06</v>
      </c>
      <c r="K51">
        <f t="shared" si="6"/>
        <v>21.774999999999999</v>
      </c>
      <c r="L51">
        <v>4</v>
      </c>
    </row>
    <row r="52" spans="1:12" x14ac:dyDescent="0.2">
      <c r="B52" s="4" t="s">
        <v>52</v>
      </c>
      <c r="C52" s="1">
        <v>1.01</v>
      </c>
      <c r="D52" s="1">
        <v>9.82</v>
      </c>
      <c r="E52" s="1">
        <v>11.28</v>
      </c>
      <c r="F52" s="1">
        <v>9.82</v>
      </c>
      <c r="G52" s="1">
        <v>1.9</v>
      </c>
      <c r="H52" s="1">
        <v>5.36</v>
      </c>
      <c r="I52" s="1">
        <v>7.15</v>
      </c>
      <c r="J52" s="1">
        <v>4.25</v>
      </c>
      <c r="K52">
        <f t="shared" si="6"/>
        <v>7.9824999999999999</v>
      </c>
      <c r="L52">
        <v>4</v>
      </c>
    </row>
    <row r="53" spans="1:12" x14ac:dyDescent="0.2">
      <c r="B53" s="1" t="s">
        <v>82</v>
      </c>
      <c r="C53" s="1">
        <v>0.89</v>
      </c>
      <c r="D53" s="1">
        <v>3.35</v>
      </c>
      <c r="E53" s="1">
        <v>24.8</v>
      </c>
      <c r="F53" s="1">
        <v>11.94</v>
      </c>
      <c r="G53" s="1">
        <v>16.649999999999999</v>
      </c>
      <c r="H53" s="1">
        <v>25.45</v>
      </c>
      <c r="I53" s="1">
        <v>14.53</v>
      </c>
      <c r="J53" s="1">
        <v>10.28</v>
      </c>
      <c r="K53">
        <f>AVERAGE(C53:F53)</f>
        <v>10.244999999999999</v>
      </c>
      <c r="L53">
        <v>4</v>
      </c>
    </row>
    <row r="54" spans="1:12" x14ac:dyDescent="0.2">
      <c r="L54">
        <v>4</v>
      </c>
    </row>
    <row r="56" spans="1:12" x14ac:dyDescent="0.2">
      <c r="B56" t="s">
        <v>44</v>
      </c>
      <c r="C56">
        <f t="shared" ref="C56:J56" si="7">AVERAGE(C49:C54)</f>
        <v>7.4779999999999998</v>
      </c>
      <c r="D56">
        <f t="shared" si="7"/>
        <v>16.121999999999996</v>
      </c>
      <c r="E56">
        <f t="shared" si="7"/>
        <v>28.9</v>
      </c>
      <c r="F56">
        <f t="shared" si="7"/>
        <v>22.012</v>
      </c>
      <c r="G56">
        <f t="shared" si="7"/>
        <v>13.452000000000002</v>
      </c>
      <c r="H56">
        <f t="shared" si="7"/>
        <v>20.05</v>
      </c>
      <c r="I56">
        <f t="shared" si="7"/>
        <v>14.254</v>
      </c>
      <c r="J56">
        <f t="shared" si="7"/>
        <v>13.678000000000001</v>
      </c>
      <c r="K56">
        <f>AVERAGE(C56:F56)</f>
        <v>18.628</v>
      </c>
    </row>
    <row r="59" spans="1:12" x14ac:dyDescent="0.2">
      <c r="A59" t="s">
        <v>48</v>
      </c>
    </row>
    <row r="60" spans="1:12" x14ac:dyDescent="0.2">
      <c r="B60" t="s">
        <v>62</v>
      </c>
      <c r="C60" s="1">
        <v>2.57</v>
      </c>
      <c r="D60" s="1">
        <v>10.27</v>
      </c>
      <c r="E60" s="1">
        <v>41.07</v>
      </c>
      <c r="F60" s="1">
        <v>31.51</v>
      </c>
      <c r="G60" s="1">
        <v>6.47</v>
      </c>
      <c r="H60" s="1">
        <v>4.3600000000000003</v>
      </c>
      <c r="I60" s="1">
        <v>3.35</v>
      </c>
      <c r="J60" s="1">
        <v>14.41</v>
      </c>
      <c r="K60">
        <f t="shared" si="6"/>
        <v>21.355</v>
      </c>
      <c r="L60">
        <v>5</v>
      </c>
    </row>
    <row r="61" spans="1:12" x14ac:dyDescent="0.2">
      <c r="A61" s="2"/>
      <c r="B61" t="s">
        <v>63</v>
      </c>
      <c r="C61" s="1">
        <v>27.79</v>
      </c>
      <c r="D61" s="1">
        <v>51.28</v>
      </c>
      <c r="E61" s="1">
        <v>62.83</v>
      </c>
      <c r="F61" s="1">
        <v>59.55</v>
      </c>
      <c r="G61" s="1">
        <v>66.52</v>
      </c>
      <c r="H61" s="1">
        <v>79.02</v>
      </c>
      <c r="I61" s="1">
        <v>84.8</v>
      </c>
      <c r="J61" s="1">
        <v>51.4</v>
      </c>
      <c r="K61">
        <f t="shared" si="6"/>
        <v>50.362499999999997</v>
      </c>
      <c r="L61">
        <v>5</v>
      </c>
    </row>
    <row r="62" spans="1:12" x14ac:dyDescent="0.2">
      <c r="B62" t="s">
        <v>64</v>
      </c>
      <c r="C62" s="1">
        <v>0</v>
      </c>
      <c r="D62" s="1">
        <v>15.4</v>
      </c>
      <c r="E62" s="1">
        <v>11.4</v>
      </c>
      <c r="F62" s="1">
        <v>9.3699999999999992</v>
      </c>
      <c r="G62" s="1">
        <v>22.35</v>
      </c>
      <c r="H62" s="1">
        <v>24</v>
      </c>
      <c r="I62" s="1">
        <v>13.07</v>
      </c>
      <c r="J62" s="1">
        <v>17.43</v>
      </c>
      <c r="K62">
        <f t="shared" si="6"/>
        <v>9.0425000000000004</v>
      </c>
      <c r="L62">
        <v>5</v>
      </c>
    </row>
    <row r="63" spans="1:12" x14ac:dyDescent="0.2">
      <c r="B63" s="1" t="s">
        <v>73</v>
      </c>
      <c r="C63" s="1">
        <v>0.56000000000000005</v>
      </c>
      <c r="D63" s="1">
        <v>15.07</v>
      </c>
      <c r="E63" s="1">
        <v>14.19</v>
      </c>
      <c r="F63" s="1">
        <v>12.05</v>
      </c>
      <c r="G63" s="1">
        <v>6.59</v>
      </c>
      <c r="H63" s="1">
        <v>6.7</v>
      </c>
      <c r="I63" s="1">
        <v>8.3699999999999992</v>
      </c>
      <c r="J63" s="1">
        <v>20.11</v>
      </c>
      <c r="K63">
        <f>AVERAGE(C63:F63)</f>
        <v>10.467500000000001</v>
      </c>
      <c r="L63">
        <v>5</v>
      </c>
    </row>
    <row r="64" spans="1:12" x14ac:dyDescent="0.2">
      <c r="B64" s="1" t="s">
        <v>74</v>
      </c>
      <c r="C64" s="1">
        <v>9.3699999999999992</v>
      </c>
      <c r="D64" s="1">
        <v>7.92</v>
      </c>
      <c r="E64" s="1">
        <v>16.54</v>
      </c>
      <c r="F64" s="1">
        <v>19.22</v>
      </c>
      <c r="G64" s="1">
        <v>8.59</v>
      </c>
      <c r="H64" s="1">
        <v>14.19</v>
      </c>
      <c r="I64" s="1">
        <v>14.06</v>
      </c>
      <c r="J64" s="1">
        <v>9.7200000000000006</v>
      </c>
      <c r="K64">
        <f t="shared" si="6"/>
        <v>13.262499999999999</v>
      </c>
      <c r="L64">
        <v>5</v>
      </c>
    </row>
    <row r="65" spans="2:12" x14ac:dyDescent="0.2">
      <c r="B65" s="1" t="s">
        <v>90</v>
      </c>
      <c r="C65" s="1">
        <v>2.34</v>
      </c>
      <c r="D65" s="1">
        <v>19.66</v>
      </c>
      <c r="E65" s="1">
        <v>33.04</v>
      </c>
      <c r="F65" s="1">
        <v>30.61</v>
      </c>
      <c r="G65" s="1">
        <v>27.68</v>
      </c>
      <c r="H65" s="1">
        <v>14.3</v>
      </c>
      <c r="I65" s="1">
        <v>12.17</v>
      </c>
      <c r="J65" s="1">
        <v>7.27</v>
      </c>
      <c r="K65">
        <f t="shared" si="6"/>
        <v>21.412500000000001</v>
      </c>
      <c r="L65">
        <v>5</v>
      </c>
    </row>
    <row r="66" spans="2:12" x14ac:dyDescent="0.2">
      <c r="L66">
        <v>5</v>
      </c>
    </row>
    <row r="67" spans="2:12" x14ac:dyDescent="0.2">
      <c r="B67" t="s">
        <v>65</v>
      </c>
      <c r="C67">
        <f t="shared" ref="C67:J67" si="8">AVERAGE(C60:C66)</f>
        <v>7.1049999999999995</v>
      </c>
      <c r="D67">
        <f t="shared" si="8"/>
        <v>19.933333333333334</v>
      </c>
      <c r="E67">
        <f t="shared" si="8"/>
        <v>29.844999999999999</v>
      </c>
      <c r="F67">
        <f t="shared" si="8"/>
        <v>27.051666666666666</v>
      </c>
      <c r="G67">
        <f t="shared" si="8"/>
        <v>23.033333333333335</v>
      </c>
      <c r="H67">
        <f t="shared" si="8"/>
        <v>23.76166666666667</v>
      </c>
      <c r="I67">
        <f t="shared" si="8"/>
        <v>22.636666666666667</v>
      </c>
      <c r="J67">
        <f t="shared" si="8"/>
        <v>20.056666666666668</v>
      </c>
      <c r="K67">
        <f>AVERAGE(K60:K66)</f>
        <v>20.983750000000001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topLeftCell="A34" workbookViewId="0">
      <selection activeCell="F26" sqref="F26"/>
    </sheetView>
  </sheetViews>
  <sheetFormatPr baseColWidth="10" defaultColWidth="8.83203125" defaultRowHeight="15" x14ac:dyDescent="0.2"/>
  <cols>
    <col min="2" max="2" width="12.33203125" customWidth="1"/>
  </cols>
  <sheetData>
    <row r="1" spans="1:10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0" x14ac:dyDescent="0.2">
      <c r="A4" t="s">
        <v>2</v>
      </c>
      <c r="B4" s="1" t="s">
        <v>18</v>
      </c>
      <c r="C4" s="1">
        <v>3.91</v>
      </c>
      <c r="D4" s="1">
        <v>1.68</v>
      </c>
      <c r="E4" s="1">
        <v>0.89</v>
      </c>
      <c r="F4" s="1">
        <v>24.47</v>
      </c>
      <c r="G4" s="1">
        <v>5.25</v>
      </c>
      <c r="H4" s="1">
        <v>18.79</v>
      </c>
      <c r="I4" s="1"/>
      <c r="J4" s="1"/>
    </row>
    <row r="5" spans="1:10" x14ac:dyDescent="0.2">
      <c r="B5" s="1" t="s">
        <v>19</v>
      </c>
      <c r="C5" s="1">
        <v>0</v>
      </c>
      <c r="D5" s="1">
        <v>0</v>
      </c>
      <c r="E5" s="1">
        <v>0</v>
      </c>
      <c r="F5" s="1">
        <v>23.24</v>
      </c>
      <c r="G5" s="1">
        <v>0</v>
      </c>
      <c r="H5" s="1">
        <v>6.49</v>
      </c>
      <c r="I5" s="1"/>
      <c r="J5" s="1"/>
    </row>
    <row r="6" spans="1:10" x14ac:dyDescent="0.2">
      <c r="A6" s="2"/>
      <c r="B6" s="1" t="s">
        <v>22</v>
      </c>
      <c r="C6" s="1">
        <v>6.48</v>
      </c>
      <c r="D6" s="1">
        <v>6.25</v>
      </c>
      <c r="E6" s="1">
        <v>0.89</v>
      </c>
      <c r="F6" s="1">
        <v>12.72</v>
      </c>
      <c r="G6" s="1">
        <v>2.57</v>
      </c>
      <c r="H6" s="1">
        <v>18.75</v>
      </c>
      <c r="I6" s="1">
        <v>0</v>
      </c>
      <c r="J6" s="1">
        <v>22.35</v>
      </c>
    </row>
    <row r="7" spans="1:10" x14ac:dyDescent="0.2">
      <c r="B7" s="1" t="s">
        <v>23</v>
      </c>
      <c r="C7" s="1">
        <v>0</v>
      </c>
      <c r="D7" s="1">
        <v>0</v>
      </c>
      <c r="E7" s="1">
        <v>5.0199999999999996</v>
      </c>
      <c r="F7" s="1">
        <v>3.13</v>
      </c>
      <c r="G7" s="1">
        <v>3.69</v>
      </c>
      <c r="H7" s="1">
        <v>7.03</v>
      </c>
      <c r="I7" s="1">
        <v>11.05</v>
      </c>
      <c r="J7" s="1">
        <v>5.93</v>
      </c>
    </row>
    <row r="8" spans="1:10" x14ac:dyDescent="0.2">
      <c r="B8" s="1" t="s">
        <v>29</v>
      </c>
      <c r="C8" s="1">
        <v>0</v>
      </c>
      <c r="D8" s="1">
        <v>0</v>
      </c>
      <c r="E8" s="1">
        <v>1.34</v>
      </c>
      <c r="F8" s="1">
        <v>9.49</v>
      </c>
      <c r="G8" s="1">
        <v>4.3499999999999996</v>
      </c>
      <c r="H8" s="1">
        <v>14.75</v>
      </c>
      <c r="I8" s="1">
        <v>12.72</v>
      </c>
      <c r="J8" s="1">
        <v>0</v>
      </c>
    </row>
    <row r="9" spans="1:10" x14ac:dyDescent="0.2">
      <c r="B9" s="1" t="s">
        <v>30</v>
      </c>
      <c r="C9" s="1">
        <v>0</v>
      </c>
      <c r="D9" s="1">
        <v>1</v>
      </c>
      <c r="E9" s="1">
        <v>14.08</v>
      </c>
      <c r="F9" s="1">
        <v>4.24</v>
      </c>
      <c r="G9" s="1">
        <v>8.0399999999999991</v>
      </c>
      <c r="H9" s="1">
        <v>7.48</v>
      </c>
      <c r="I9" s="1">
        <v>1.1200000000000001</v>
      </c>
      <c r="J9" s="1">
        <v>22.23</v>
      </c>
    </row>
    <row r="10" spans="1:10" x14ac:dyDescent="0.2"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t="s">
        <v>12</v>
      </c>
      <c r="C14">
        <f>AVERAGE(C4:C13)</f>
        <v>1.7316666666666667</v>
      </c>
      <c r="D14">
        <f t="shared" ref="D14:J14" si="0">AVERAGE(D4:D13)</f>
        <v>1.4883333333333333</v>
      </c>
      <c r="E14">
        <f t="shared" si="0"/>
        <v>3.7033333333333331</v>
      </c>
      <c r="F14">
        <f t="shared" si="0"/>
        <v>12.881666666666666</v>
      </c>
      <c r="G14">
        <f t="shared" si="0"/>
        <v>3.9833333333333329</v>
      </c>
      <c r="H14">
        <f t="shared" si="0"/>
        <v>12.215000000000002</v>
      </c>
      <c r="I14">
        <f>AVERAGE(I4:I13)</f>
        <v>6.222500000000001</v>
      </c>
      <c r="J14">
        <f t="shared" si="0"/>
        <v>12.627500000000001</v>
      </c>
    </row>
    <row r="16" spans="1:10" x14ac:dyDescent="0.2">
      <c r="A16" t="s">
        <v>66</v>
      </c>
    </row>
    <row r="17" spans="1:10" x14ac:dyDescent="0.2">
      <c r="A17" t="s">
        <v>3</v>
      </c>
      <c r="B17" s="1" t="s">
        <v>20</v>
      </c>
      <c r="C17" s="1">
        <v>1.56</v>
      </c>
      <c r="D17" s="1">
        <v>0</v>
      </c>
      <c r="E17" s="1">
        <v>1</v>
      </c>
      <c r="F17" s="1">
        <v>8.16</v>
      </c>
      <c r="G17" s="1">
        <v>1</v>
      </c>
      <c r="H17" s="1">
        <v>2.57</v>
      </c>
      <c r="I17" s="1"/>
      <c r="J17" s="1"/>
    </row>
    <row r="18" spans="1:10" x14ac:dyDescent="0.2">
      <c r="B18" s="1" t="s">
        <v>31</v>
      </c>
      <c r="C18" s="1">
        <v>0.89</v>
      </c>
      <c r="D18" s="1">
        <v>8.7100000000000009</v>
      </c>
      <c r="E18" s="1">
        <v>1.1200000000000001</v>
      </c>
      <c r="F18" s="1">
        <v>9.3699999999999992</v>
      </c>
      <c r="G18" s="1">
        <v>5.7</v>
      </c>
      <c r="H18" s="1">
        <v>3.12</v>
      </c>
      <c r="I18" s="1">
        <v>1</v>
      </c>
      <c r="J18" s="1">
        <v>21.9</v>
      </c>
    </row>
    <row r="19" spans="1:10" x14ac:dyDescent="0.2">
      <c r="B19" s="1" t="s">
        <v>36</v>
      </c>
      <c r="C19" s="1">
        <v>2.23</v>
      </c>
      <c r="D19" s="1">
        <v>14.73</v>
      </c>
      <c r="E19" s="1">
        <v>4.3600000000000003</v>
      </c>
      <c r="F19" s="1">
        <v>23.46</v>
      </c>
      <c r="G19" s="1">
        <v>0</v>
      </c>
      <c r="H19" s="1">
        <v>11.38</v>
      </c>
      <c r="I19" s="1">
        <v>7.04</v>
      </c>
      <c r="J19" s="1">
        <v>1.45</v>
      </c>
    </row>
    <row r="20" spans="1:10" x14ac:dyDescent="0.2">
      <c r="B20" s="1" t="s">
        <v>40</v>
      </c>
      <c r="C20" s="1">
        <v>9.6</v>
      </c>
      <c r="D20" s="1">
        <v>0</v>
      </c>
      <c r="E20" s="1">
        <v>5.58</v>
      </c>
      <c r="F20" s="1">
        <v>33.479999999999997</v>
      </c>
      <c r="G20" s="1">
        <v>7.71</v>
      </c>
      <c r="H20" s="1">
        <v>27.71</v>
      </c>
      <c r="I20" s="1">
        <v>2.79</v>
      </c>
      <c r="J20" s="1">
        <v>10.29</v>
      </c>
    </row>
    <row r="21" spans="1:10" x14ac:dyDescent="0.2">
      <c r="B21" s="1" t="s">
        <v>88</v>
      </c>
      <c r="C21" s="1">
        <v>0</v>
      </c>
      <c r="D21" s="1">
        <v>0</v>
      </c>
      <c r="E21" s="1">
        <v>0</v>
      </c>
      <c r="F21" s="1">
        <v>25.47</v>
      </c>
      <c r="G21" s="1">
        <v>0.89</v>
      </c>
      <c r="H21" s="1">
        <v>11.62</v>
      </c>
      <c r="I21" s="1">
        <v>6.33</v>
      </c>
      <c r="J21" s="1">
        <v>6.33</v>
      </c>
    </row>
    <row r="22" spans="1:10" x14ac:dyDescent="0.2">
      <c r="A22" t="s">
        <v>12</v>
      </c>
      <c r="C22">
        <f>AVERAGE(C17:C21)</f>
        <v>2.8559999999999999</v>
      </c>
      <c r="D22">
        <f>AVERAGE(D17:D21)</f>
        <v>4.6880000000000006</v>
      </c>
      <c r="E22">
        <f>AVERAGE(E17:E21)</f>
        <v>2.4119999999999999</v>
      </c>
      <c r="F22">
        <f>AVERAGE(F17:F21)</f>
        <v>19.988</v>
      </c>
      <c r="G22">
        <f>AVERAGE(G17:G21)</f>
        <v>3.06</v>
      </c>
      <c r="H22">
        <f>AVERAGE(H17:H21)</f>
        <v>11.28</v>
      </c>
      <c r="I22">
        <f>AVERAGE(I17:I21)</f>
        <v>4.2899999999999991</v>
      </c>
      <c r="J22">
        <f>AVERAGE(J17:J21)</f>
        <v>9.9924999999999997</v>
      </c>
    </row>
    <row r="25" spans="1:10" x14ac:dyDescent="0.2">
      <c r="A25" t="s">
        <v>45</v>
      </c>
      <c r="B25" s="4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2"/>
      <c r="B26" s="1" t="s">
        <v>91</v>
      </c>
      <c r="C26" s="1">
        <v>2.16</v>
      </c>
      <c r="D26" s="1">
        <v>9.39</v>
      </c>
      <c r="E26" s="1">
        <v>0.11</v>
      </c>
      <c r="F26" s="1">
        <v>10.38</v>
      </c>
      <c r="G26" s="1">
        <v>19.309999999999999</v>
      </c>
      <c r="H26" s="1">
        <v>4.58</v>
      </c>
      <c r="I26" s="1">
        <v>7.72</v>
      </c>
      <c r="J26" s="1">
        <v>7.72</v>
      </c>
    </row>
    <row r="27" spans="1:10" x14ac:dyDescent="0.2"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2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B34" s="1"/>
      <c r="C34" s="1"/>
      <c r="D34" s="1"/>
      <c r="E34" s="1"/>
      <c r="F34" s="1"/>
      <c r="G34" s="1"/>
      <c r="H34" s="1"/>
      <c r="I34" s="1"/>
      <c r="J34" s="1"/>
    </row>
    <row r="37" spans="1:10" x14ac:dyDescent="0.2">
      <c r="A37" t="s">
        <v>12</v>
      </c>
      <c r="C37">
        <f>AVERAGE(C26:C34)</f>
        <v>2.16</v>
      </c>
      <c r="D37">
        <f t="shared" ref="D37:J37" si="1">AVERAGE(D26:D34)</f>
        <v>9.39</v>
      </c>
      <c r="E37">
        <f t="shared" si="1"/>
        <v>0.11</v>
      </c>
      <c r="F37">
        <f t="shared" si="1"/>
        <v>10.38</v>
      </c>
      <c r="G37">
        <f t="shared" si="1"/>
        <v>19.309999999999999</v>
      </c>
      <c r="H37">
        <f t="shared" si="1"/>
        <v>4.58</v>
      </c>
      <c r="I37">
        <f t="shared" si="1"/>
        <v>7.72</v>
      </c>
      <c r="J37">
        <f t="shared" si="1"/>
        <v>7.72</v>
      </c>
    </row>
    <row r="40" spans="1:10" x14ac:dyDescent="0.2">
      <c r="A40" t="s">
        <v>67</v>
      </c>
    </row>
    <row r="41" spans="1:10" x14ac:dyDescent="0.2">
      <c r="B41" s="4" t="s">
        <v>68</v>
      </c>
      <c r="C41" s="1">
        <v>0</v>
      </c>
      <c r="D41" s="1">
        <v>0</v>
      </c>
      <c r="E41" s="1">
        <v>0</v>
      </c>
      <c r="F41" s="1">
        <v>26.73</v>
      </c>
      <c r="G41" s="1">
        <v>0</v>
      </c>
      <c r="H41" s="1">
        <v>16.649999999999999</v>
      </c>
      <c r="I41" s="1">
        <v>7.23</v>
      </c>
      <c r="J41" s="1">
        <v>7.23</v>
      </c>
    </row>
    <row r="42" spans="1:10" x14ac:dyDescent="0.2">
      <c r="B42" s="4" t="s">
        <v>69</v>
      </c>
      <c r="C42" s="1">
        <v>0</v>
      </c>
      <c r="D42" s="1">
        <v>0</v>
      </c>
      <c r="E42" s="1">
        <v>0</v>
      </c>
      <c r="F42" s="1">
        <v>43.91</v>
      </c>
      <c r="G42" s="1">
        <v>0</v>
      </c>
      <c r="H42" s="1">
        <v>13.98</v>
      </c>
      <c r="I42" s="1">
        <v>9.66</v>
      </c>
      <c r="J42" s="1">
        <v>9.66</v>
      </c>
    </row>
    <row r="43" spans="1:10" x14ac:dyDescent="0.2">
      <c r="B43" s="4" t="s">
        <v>70</v>
      </c>
      <c r="C43" s="1">
        <v>0</v>
      </c>
      <c r="D43" s="1">
        <v>3.57</v>
      </c>
      <c r="E43" s="1">
        <v>0</v>
      </c>
      <c r="F43" s="1">
        <v>4.13</v>
      </c>
      <c r="G43" s="1">
        <v>2.68</v>
      </c>
      <c r="H43" s="1">
        <v>10.18</v>
      </c>
      <c r="I43" s="1">
        <v>3.42</v>
      </c>
      <c r="J43" s="1">
        <v>3.42</v>
      </c>
    </row>
    <row r="44" spans="1:10" x14ac:dyDescent="0.2">
      <c r="B44" s="4" t="s">
        <v>71</v>
      </c>
      <c r="C44" s="1">
        <v>1.01</v>
      </c>
      <c r="D44" s="1">
        <v>7.37</v>
      </c>
      <c r="E44" s="1">
        <v>0.89</v>
      </c>
      <c r="F44" s="1">
        <v>12.29</v>
      </c>
      <c r="G44" s="1">
        <v>1.79</v>
      </c>
      <c r="H44" s="1">
        <v>11.96</v>
      </c>
      <c r="I44" s="1">
        <v>5.88</v>
      </c>
      <c r="J44" s="1">
        <v>5.88</v>
      </c>
    </row>
    <row r="45" spans="1:10" x14ac:dyDescent="0.2">
      <c r="B45" s="1" t="s">
        <v>87</v>
      </c>
      <c r="C45" s="1">
        <v>0</v>
      </c>
      <c r="D45" s="1">
        <v>0</v>
      </c>
      <c r="E45" s="1">
        <v>0</v>
      </c>
      <c r="F45" s="1">
        <v>34.6</v>
      </c>
      <c r="G45" s="1">
        <v>0</v>
      </c>
      <c r="H45" s="1">
        <v>17.79</v>
      </c>
      <c r="I45" s="1">
        <v>8.73</v>
      </c>
      <c r="J45" s="1">
        <v>8.73</v>
      </c>
    </row>
    <row r="48" spans="1:10" x14ac:dyDescent="0.2">
      <c r="B48" t="s">
        <v>44</v>
      </c>
      <c r="C48">
        <f t="shared" ref="C48:J48" si="2">AVERAGE(C41:C46)</f>
        <v>0.20200000000000001</v>
      </c>
      <c r="D48">
        <f t="shared" si="2"/>
        <v>2.1879999999999997</v>
      </c>
      <c r="E48">
        <f t="shared" si="2"/>
        <v>0.17799999999999999</v>
      </c>
      <c r="F48">
        <f t="shared" si="2"/>
        <v>24.332000000000001</v>
      </c>
      <c r="G48">
        <f t="shared" si="2"/>
        <v>0.89400000000000013</v>
      </c>
      <c r="H48">
        <f t="shared" si="2"/>
        <v>14.112</v>
      </c>
      <c r="I48">
        <f t="shared" si="2"/>
        <v>6.984</v>
      </c>
      <c r="J48">
        <f t="shared" si="2"/>
        <v>6.984</v>
      </c>
    </row>
    <row r="51" spans="1:10" x14ac:dyDescent="0.2">
      <c r="A51" t="s">
        <v>48</v>
      </c>
    </row>
    <row r="52" spans="1:10" x14ac:dyDescent="0.2">
      <c r="B52" t="s">
        <v>72</v>
      </c>
      <c r="C52" s="1">
        <v>2.0099999999999998</v>
      </c>
      <c r="D52" s="1">
        <v>13.5</v>
      </c>
      <c r="E52" s="1">
        <v>3.24</v>
      </c>
      <c r="F52" s="1">
        <v>9.26</v>
      </c>
      <c r="G52" s="1">
        <v>4.0199999999999996</v>
      </c>
      <c r="H52" s="1">
        <v>0</v>
      </c>
      <c r="I52" s="1">
        <v>5.34</v>
      </c>
      <c r="J52" s="1">
        <v>5.34</v>
      </c>
    </row>
    <row r="53" spans="1:10" x14ac:dyDescent="0.2">
      <c r="B53" s="1" t="s">
        <v>77</v>
      </c>
      <c r="C53" s="1">
        <v>0</v>
      </c>
      <c r="D53" s="1">
        <v>0</v>
      </c>
      <c r="E53" s="1">
        <v>0</v>
      </c>
      <c r="F53" s="1">
        <v>56.58</v>
      </c>
      <c r="G53" s="1">
        <v>3.24</v>
      </c>
      <c r="H53" s="1">
        <v>35.08</v>
      </c>
      <c r="I53" s="1">
        <v>15.82</v>
      </c>
      <c r="J53" s="1">
        <v>15.82</v>
      </c>
    </row>
    <row r="54" spans="1:10" x14ac:dyDescent="0.2">
      <c r="B54" s="1" t="s">
        <v>78</v>
      </c>
      <c r="C54" s="1">
        <v>0</v>
      </c>
      <c r="D54" s="1">
        <v>0</v>
      </c>
      <c r="E54" s="1">
        <v>0</v>
      </c>
      <c r="F54" s="1">
        <v>0.89</v>
      </c>
      <c r="G54" s="1">
        <v>0</v>
      </c>
      <c r="H54" s="1">
        <v>1.34</v>
      </c>
      <c r="I54" s="1">
        <v>0.37</v>
      </c>
      <c r="J54" s="1">
        <v>0.37</v>
      </c>
    </row>
    <row r="55" spans="1:10" x14ac:dyDescent="0.2">
      <c r="B55" s="1" t="s">
        <v>75</v>
      </c>
      <c r="C55" s="1">
        <v>0</v>
      </c>
      <c r="D55" s="1">
        <v>0</v>
      </c>
      <c r="E55" s="1">
        <v>0</v>
      </c>
      <c r="F55" s="1">
        <v>11.28</v>
      </c>
      <c r="G55" s="1">
        <v>0.89</v>
      </c>
      <c r="H55" s="1">
        <v>10.06</v>
      </c>
      <c r="I55" s="1">
        <v>3.7</v>
      </c>
      <c r="J55" s="1">
        <v>3.7</v>
      </c>
    </row>
    <row r="56" spans="1:10" x14ac:dyDescent="0.2">
      <c r="B56" s="1" t="s">
        <v>76</v>
      </c>
      <c r="C56" s="1">
        <v>0</v>
      </c>
      <c r="D56" s="1">
        <v>0</v>
      </c>
      <c r="E56" s="1">
        <v>0.33</v>
      </c>
      <c r="F56" s="1">
        <v>9.61</v>
      </c>
      <c r="G56" s="1">
        <v>1.9</v>
      </c>
      <c r="H56" s="1">
        <v>29.31</v>
      </c>
      <c r="I56" s="1">
        <v>6.87</v>
      </c>
      <c r="J56" s="1">
        <v>6.87</v>
      </c>
    </row>
    <row r="57" spans="1:10" x14ac:dyDescent="0.2">
      <c r="B57" s="1" t="s">
        <v>92</v>
      </c>
      <c r="C57" s="1">
        <v>0</v>
      </c>
      <c r="D57" s="1">
        <v>1</v>
      </c>
      <c r="E57" s="1">
        <v>0</v>
      </c>
      <c r="F57" s="1">
        <v>14.96</v>
      </c>
      <c r="G57" s="1">
        <v>1.34</v>
      </c>
      <c r="H57" s="1">
        <v>9.94</v>
      </c>
      <c r="I57" s="1">
        <v>4.54</v>
      </c>
      <c r="J57" s="1">
        <v>4.54</v>
      </c>
    </row>
    <row r="60" spans="1:10" x14ac:dyDescent="0.2">
      <c r="B60" t="s">
        <v>44</v>
      </c>
      <c r="C60">
        <f t="shared" ref="C60:J60" si="3">AVERAGE(C52:C58)</f>
        <v>0.33499999999999996</v>
      </c>
      <c r="D60">
        <f t="shared" si="3"/>
        <v>2.4166666666666665</v>
      </c>
      <c r="E60">
        <f t="shared" si="3"/>
        <v>0.59500000000000008</v>
      </c>
      <c r="F60">
        <f t="shared" si="3"/>
        <v>17.096666666666668</v>
      </c>
      <c r="G60">
        <f t="shared" si="3"/>
        <v>1.8983333333333334</v>
      </c>
      <c r="H60">
        <f t="shared" si="3"/>
        <v>14.288333333333334</v>
      </c>
      <c r="I60">
        <f t="shared" si="3"/>
        <v>6.1066666666666665</v>
      </c>
      <c r="J60">
        <f t="shared" si="3"/>
        <v>6.1066666666666665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opLeftCell="A15" workbookViewId="0">
      <selection activeCell="B65" sqref="B65:R65"/>
    </sheetView>
  </sheetViews>
  <sheetFormatPr baseColWidth="10" defaultColWidth="8.83203125" defaultRowHeight="15" x14ac:dyDescent="0.2"/>
  <cols>
    <col min="2" max="2" width="12.33203125" customWidth="1"/>
  </cols>
  <sheetData>
    <row r="1" spans="1:18" x14ac:dyDescent="0.2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2">
      <c r="A2" s="1" t="s">
        <v>1</v>
      </c>
      <c r="C2" s="1">
        <v>0</v>
      </c>
      <c r="D2" s="1">
        <v>30</v>
      </c>
      <c r="E2" s="1">
        <v>60</v>
      </c>
      <c r="F2" s="1">
        <v>90</v>
      </c>
      <c r="G2" s="1">
        <v>120</v>
      </c>
      <c r="H2" s="1">
        <v>150</v>
      </c>
      <c r="I2" s="1">
        <v>180</v>
      </c>
      <c r="J2" s="1">
        <v>210</v>
      </c>
      <c r="K2" s="1">
        <v>240</v>
      </c>
      <c r="L2" s="1">
        <v>270</v>
      </c>
      <c r="M2" s="1">
        <v>300</v>
      </c>
      <c r="N2" s="1">
        <v>330</v>
      </c>
      <c r="O2" s="1">
        <v>360</v>
      </c>
      <c r="P2" s="1">
        <v>390</v>
      </c>
      <c r="Q2" s="1">
        <v>420</v>
      </c>
      <c r="R2" s="1">
        <v>450</v>
      </c>
    </row>
    <row r="3" spans="1:18" x14ac:dyDescent="0.2">
      <c r="A3" s="1" t="s">
        <v>24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</row>
    <row r="4" spans="1:18" x14ac:dyDescent="0.2">
      <c r="A4" t="s">
        <v>2</v>
      </c>
      <c r="B4" s="1" t="s">
        <v>18</v>
      </c>
      <c r="C4" s="1">
        <v>0</v>
      </c>
      <c r="D4" s="1">
        <v>0</v>
      </c>
      <c r="E4" s="1">
        <v>2.46</v>
      </c>
      <c r="F4" s="1">
        <v>0</v>
      </c>
      <c r="G4" s="1">
        <v>0</v>
      </c>
      <c r="H4" s="1">
        <v>0</v>
      </c>
      <c r="I4" s="1">
        <v>31.32</v>
      </c>
      <c r="J4" s="1">
        <v>12.5</v>
      </c>
      <c r="K4" s="1">
        <v>0</v>
      </c>
      <c r="L4" s="1">
        <v>0</v>
      </c>
      <c r="M4" s="1">
        <v>0</v>
      </c>
      <c r="N4" s="1"/>
      <c r="O4" s="1"/>
      <c r="P4" s="1"/>
      <c r="Q4" s="1"/>
      <c r="R4" s="1"/>
    </row>
    <row r="5" spans="1:18" x14ac:dyDescent="0.2">
      <c r="B5" s="1" t="s">
        <v>19</v>
      </c>
      <c r="C5" s="1">
        <v>3.12</v>
      </c>
      <c r="D5" s="1">
        <v>0</v>
      </c>
      <c r="E5" s="1">
        <v>0</v>
      </c>
      <c r="F5" s="1">
        <v>0</v>
      </c>
      <c r="G5" s="1">
        <v>0</v>
      </c>
      <c r="H5" s="1">
        <v>1.79</v>
      </c>
      <c r="I5" s="1">
        <v>42.51</v>
      </c>
      <c r="J5" s="1">
        <v>13.39</v>
      </c>
      <c r="K5" s="1">
        <v>0</v>
      </c>
      <c r="L5" s="1">
        <v>2.0099999999999998</v>
      </c>
      <c r="M5" s="1">
        <v>0</v>
      </c>
      <c r="N5" s="1"/>
      <c r="O5" s="1"/>
      <c r="P5" s="1"/>
      <c r="Q5" s="1"/>
      <c r="R5" s="1"/>
    </row>
    <row r="6" spans="1:18" x14ac:dyDescent="0.2">
      <c r="A6" s="2"/>
      <c r="B6" s="1" t="s">
        <v>22</v>
      </c>
      <c r="C6" s="1">
        <v>5.58</v>
      </c>
      <c r="D6" s="1">
        <v>0</v>
      </c>
      <c r="E6" s="1">
        <v>0</v>
      </c>
      <c r="F6" s="1">
        <v>10.039999999999999</v>
      </c>
      <c r="G6" s="1">
        <v>0</v>
      </c>
      <c r="H6" s="1">
        <v>0</v>
      </c>
      <c r="I6" s="1">
        <v>6.47</v>
      </c>
      <c r="J6" s="1">
        <v>9.3699999999999992</v>
      </c>
      <c r="K6" s="1">
        <v>0</v>
      </c>
      <c r="L6" s="1">
        <v>0</v>
      </c>
      <c r="M6" s="1">
        <v>2.9</v>
      </c>
      <c r="N6" s="1">
        <v>29.46</v>
      </c>
      <c r="O6" s="1">
        <v>0</v>
      </c>
      <c r="P6" s="1">
        <v>0</v>
      </c>
      <c r="Q6" s="1">
        <v>27.01</v>
      </c>
      <c r="R6" s="1">
        <v>11.19</v>
      </c>
    </row>
    <row r="7" spans="1:18" x14ac:dyDescent="0.2">
      <c r="B7" s="1" t="s">
        <v>23</v>
      </c>
      <c r="C7" s="1">
        <v>0</v>
      </c>
      <c r="D7" s="1">
        <v>0</v>
      </c>
      <c r="E7" s="1">
        <v>3.79</v>
      </c>
      <c r="F7" s="1">
        <v>0</v>
      </c>
      <c r="G7" s="1">
        <v>11.83</v>
      </c>
      <c r="H7" s="1">
        <v>5.58</v>
      </c>
      <c r="I7" s="1">
        <v>6.49</v>
      </c>
      <c r="J7" s="1">
        <v>4.91</v>
      </c>
      <c r="K7" s="1">
        <v>3.12</v>
      </c>
      <c r="L7" s="1">
        <v>5.59</v>
      </c>
      <c r="M7" s="1">
        <v>11.38</v>
      </c>
      <c r="N7" s="1">
        <v>11.16</v>
      </c>
      <c r="O7" s="1">
        <v>22.54</v>
      </c>
      <c r="P7" s="1">
        <v>8.48</v>
      </c>
      <c r="Q7" s="1">
        <v>4.47</v>
      </c>
      <c r="R7" s="1">
        <v>9.84</v>
      </c>
    </row>
    <row r="8" spans="1:18" x14ac:dyDescent="0.2">
      <c r="B8" s="1" t="s">
        <v>29</v>
      </c>
      <c r="C8" s="1">
        <v>0</v>
      </c>
      <c r="D8" s="1">
        <v>0</v>
      </c>
      <c r="E8" s="1">
        <v>0</v>
      </c>
      <c r="F8" s="1">
        <v>0</v>
      </c>
      <c r="G8" s="1">
        <v>2.23</v>
      </c>
      <c r="H8" s="1">
        <v>0</v>
      </c>
      <c r="I8" s="1">
        <v>6.47</v>
      </c>
      <c r="J8" s="1">
        <v>4.0199999999999996</v>
      </c>
      <c r="K8" s="1">
        <v>1.79</v>
      </c>
      <c r="L8" s="1">
        <v>4.46</v>
      </c>
      <c r="M8" s="1">
        <v>0</v>
      </c>
      <c r="N8" s="1">
        <v>23.88</v>
      </c>
      <c r="O8" s="1">
        <v>22.77</v>
      </c>
      <c r="P8" s="1">
        <v>1.79</v>
      </c>
      <c r="Q8" s="1">
        <v>0</v>
      </c>
      <c r="R8" s="1">
        <v>0</v>
      </c>
    </row>
    <row r="9" spans="1:18" x14ac:dyDescent="0.2">
      <c r="B9" s="1" t="s">
        <v>30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20.98</v>
      </c>
      <c r="I9" s="1">
        <v>4.24</v>
      </c>
      <c r="J9" s="1">
        <v>0</v>
      </c>
      <c r="K9" s="1">
        <v>2.0099999999999998</v>
      </c>
      <c r="L9" s="1">
        <v>8.7200000000000006</v>
      </c>
      <c r="M9" s="1">
        <v>6.92</v>
      </c>
      <c r="N9" s="1">
        <v>6.25</v>
      </c>
      <c r="O9" s="1">
        <v>0</v>
      </c>
      <c r="P9" s="1">
        <v>0</v>
      </c>
      <c r="Q9" s="1">
        <v>2.46</v>
      </c>
      <c r="R9" s="1">
        <v>33.78</v>
      </c>
    </row>
    <row r="10" spans="1:18" x14ac:dyDescent="0.2">
      <c r="B10" s="1"/>
      <c r="C10" s="1">
        <v>0</v>
      </c>
      <c r="D10" s="1">
        <v>0</v>
      </c>
      <c r="E10" s="1">
        <v>8.0399999999999991</v>
      </c>
      <c r="F10" s="1">
        <v>2.46</v>
      </c>
      <c r="G10" s="1">
        <v>0</v>
      </c>
      <c r="H10" s="1">
        <v>0</v>
      </c>
      <c r="I10" s="1">
        <v>39.729999999999997</v>
      </c>
      <c r="J10" s="1">
        <v>27.68</v>
      </c>
      <c r="K10" s="1">
        <v>3.58</v>
      </c>
      <c r="L10" s="1">
        <v>0</v>
      </c>
      <c r="M10" s="1">
        <v>9.6</v>
      </c>
      <c r="N10" s="1">
        <v>40.85</v>
      </c>
      <c r="O10" s="1">
        <v>26.62</v>
      </c>
      <c r="P10" s="1">
        <v>1.79</v>
      </c>
      <c r="Q10" s="1">
        <v>7.81</v>
      </c>
      <c r="R10" s="1">
        <v>6.94</v>
      </c>
    </row>
    <row r="11" spans="1:18" x14ac:dyDescent="0.2">
      <c r="B11" s="1"/>
      <c r="C11" s="1">
        <v>0</v>
      </c>
      <c r="D11" s="1">
        <v>2.0099999999999998</v>
      </c>
      <c r="E11" s="1">
        <v>8.2799999999999994</v>
      </c>
      <c r="F11" s="1">
        <v>0</v>
      </c>
      <c r="G11" s="1">
        <v>0</v>
      </c>
      <c r="H11" s="1">
        <v>1.79</v>
      </c>
      <c r="I11" s="1">
        <v>64.88</v>
      </c>
      <c r="J11" s="1">
        <v>25.45</v>
      </c>
      <c r="K11" s="1">
        <v>25.67</v>
      </c>
      <c r="L11" s="1">
        <v>2.91</v>
      </c>
      <c r="M11" s="1">
        <v>2.0099999999999998</v>
      </c>
      <c r="N11" s="1">
        <v>33.04</v>
      </c>
      <c r="O11" s="1">
        <v>5.13</v>
      </c>
      <c r="P11" s="1">
        <v>1.79</v>
      </c>
      <c r="Q11" s="1">
        <v>2.2400000000000002</v>
      </c>
      <c r="R11" s="1">
        <v>11.19</v>
      </c>
    </row>
    <row r="12" spans="1:18" x14ac:dyDescent="0.2">
      <c r="A12" s="2"/>
      <c r="B12" s="1"/>
      <c r="C12" s="1">
        <v>0</v>
      </c>
      <c r="D12" s="1">
        <v>2.0099999999999998</v>
      </c>
      <c r="E12" s="1">
        <v>0</v>
      </c>
      <c r="F12" s="1">
        <v>0</v>
      </c>
      <c r="G12" s="1">
        <v>2.9</v>
      </c>
      <c r="H12" s="1">
        <v>2.0099999999999998</v>
      </c>
      <c r="I12" s="1">
        <v>61.97</v>
      </c>
      <c r="J12" s="1">
        <v>54.24</v>
      </c>
      <c r="K12" s="1">
        <v>3.12</v>
      </c>
      <c r="L12" s="1">
        <v>2.2400000000000002</v>
      </c>
      <c r="M12" s="1">
        <v>3.79</v>
      </c>
      <c r="N12" s="1">
        <v>63.84</v>
      </c>
      <c r="O12" s="1">
        <v>33.479999999999997</v>
      </c>
      <c r="P12" s="1">
        <v>6.26</v>
      </c>
      <c r="Q12" s="1">
        <v>2.0099999999999998</v>
      </c>
      <c r="R12" s="1">
        <v>3.36</v>
      </c>
    </row>
    <row r="13" spans="1:18" x14ac:dyDescent="0.2">
      <c r="B13" s="1"/>
      <c r="C13" s="1">
        <v>0</v>
      </c>
      <c r="D13" s="1">
        <v>4.25</v>
      </c>
      <c r="E13" s="1">
        <v>0</v>
      </c>
      <c r="F13" s="1">
        <v>0</v>
      </c>
      <c r="G13" s="1">
        <v>4.92</v>
      </c>
      <c r="H13" s="1">
        <v>2.0099999999999998</v>
      </c>
      <c r="I13" s="1">
        <v>15.62</v>
      </c>
      <c r="J13" s="1">
        <v>41.29</v>
      </c>
      <c r="K13" s="1">
        <v>9.17</v>
      </c>
      <c r="L13" s="1">
        <v>39.51</v>
      </c>
      <c r="M13" s="1">
        <v>0</v>
      </c>
      <c r="N13" s="1">
        <v>57.37</v>
      </c>
      <c r="O13" s="1">
        <v>10.71</v>
      </c>
      <c r="P13" s="1">
        <v>3.36</v>
      </c>
      <c r="Q13" s="1">
        <v>0</v>
      </c>
      <c r="R13" s="1">
        <v>0</v>
      </c>
    </row>
    <row r="14" spans="1:18" x14ac:dyDescent="0.2">
      <c r="A14" t="s">
        <v>12</v>
      </c>
      <c r="C14">
        <f>AVERAGE(C4:C13)</f>
        <v>0.86999999999999988</v>
      </c>
      <c r="D14">
        <f t="shared" ref="D14:R14" si="0">AVERAGE(D4:D13)</f>
        <v>0.82699999999999996</v>
      </c>
      <c r="E14">
        <f t="shared" si="0"/>
        <v>2.2570000000000001</v>
      </c>
      <c r="F14">
        <f t="shared" si="0"/>
        <v>1.25</v>
      </c>
      <c r="G14">
        <f t="shared" si="0"/>
        <v>2.1880000000000002</v>
      </c>
      <c r="H14">
        <f t="shared" si="0"/>
        <v>3.4159999999999995</v>
      </c>
      <c r="I14">
        <f>AVERAGE(I4:I13)</f>
        <v>27.97</v>
      </c>
      <c r="J14">
        <f t="shared" si="0"/>
        <v>19.285</v>
      </c>
      <c r="K14">
        <f t="shared" si="0"/>
        <v>4.8460000000000001</v>
      </c>
      <c r="L14">
        <f t="shared" si="0"/>
        <v>6.5439999999999996</v>
      </c>
      <c r="M14">
        <f t="shared" si="0"/>
        <v>3.66</v>
      </c>
      <c r="N14">
        <f t="shared" si="0"/>
        <v>33.231249999999996</v>
      </c>
      <c r="O14">
        <f t="shared" si="0"/>
        <v>15.15625</v>
      </c>
      <c r="P14">
        <f t="shared" si="0"/>
        <v>2.9337499999999999</v>
      </c>
      <c r="Q14">
        <f t="shared" si="0"/>
        <v>5.75</v>
      </c>
      <c r="R14">
        <f t="shared" si="0"/>
        <v>9.5374999999999996</v>
      </c>
    </row>
    <row r="16" spans="1:18" x14ac:dyDescent="0.2">
      <c r="A16" t="s">
        <v>46</v>
      </c>
    </row>
    <row r="17" spans="1:18" x14ac:dyDescent="0.2">
      <c r="A17" t="s">
        <v>3</v>
      </c>
      <c r="B17" s="1" t="s">
        <v>20</v>
      </c>
      <c r="C17" s="1">
        <v>5.13</v>
      </c>
      <c r="D17" s="1">
        <v>0</v>
      </c>
      <c r="E17" s="1">
        <v>0</v>
      </c>
      <c r="F17" s="1">
        <v>0</v>
      </c>
      <c r="G17" s="1">
        <v>14.06</v>
      </c>
      <c r="H17" s="1">
        <v>1.79</v>
      </c>
      <c r="I17" s="1">
        <v>11.19</v>
      </c>
      <c r="J17" s="1">
        <v>18.53</v>
      </c>
      <c r="K17" s="1">
        <v>6.03</v>
      </c>
      <c r="L17" s="1">
        <v>9.3699999999999992</v>
      </c>
      <c r="M17" s="1">
        <v>16.329999999999998</v>
      </c>
      <c r="N17" s="1"/>
      <c r="O17" s="1"/>
      <c r="P17" s="1"/>
      <c r="Q17" s="1"/>
      <c r="R17" s="1"/>
    </row>
    <row r="18" spans="1:18" x14ac:dyDescent="0.2">
      <c r="A18" s="2"/>
      <c r="B18" s="1" t="s">
        <v>21</v>
      </c>
      <c r="C18" s="1">
        <v>5.12</v>
      </c>
      <c r="D18" s="1">
        <v>12.08</v>
      </c>
      <c r="E18" s="1">
        <v>2.68</v>
      </c>
      <c r="F18" s="1">
        <v>0</v>
      </c>
      <c r="G18" s="1">
        <v>0</v>
      </c>
      <c r="H18" s="1">
        <v>7.83</v>
      </c>
      <c r="I18" s="1">
        <v>5.58</v>
      </c>
      <c r="J18" s="1">
        <v>4.91</v>
      </c>
      <c r="K18" s="1">
        <v>4.6900000000000004</v>
      </c>
      <c r="L18" s="1">
        <v>2.68</v>
      </c>
      <c r="M18" s="1">
        <v>31.47</v>
      </c>
      <c r="N18" s="1"/>
      <c r="O18" s="1"/>
      <c r="P18" s="1"/>
      <c r="Q18" s="1"/>
      <c r="R18" s="1"/>
    </row>
    <row r="19" spans="1:18" x14ac:dyDescent="0.2">
      <c r="B19" s="1" t="s">
        <v>31</v>
      </c>
      <c r="C19" s="1">
        <v>1.79</v>
      </c>
      <c r="D19" s="1">
        <v>1.79</v>
      </c>
      <c r="E19" s="1">
        <v>2.23</v>
      </c>
      <c r="F19" s="1">
        <v>22.54</v>
      </c>
      <c r="G19" s="1">
        <v>5.13</v>
      </c>
      <c r="H19" s="1">
        <v>7.16</v>
      </c>
      <c r="I19" s="1">
        <v>23.88</v>
      </c>
      <c r="J19" s="1">
        <v>8.7100000000000009</v>
      </c>
      <c r="K19" s="1">
        <v>8.7100000000000009</v>
      </c>
      <c r="L19" s="1">
        <v>16.55</v>
      </c>
      <c r="M19" s="1">
        <v>0</v>
      </c>
      <c r="N19" s="1">
        <v>13.62</v>
      </c>
      <c r="O19" s="1">
        <v>3.79</v>
      </c>
      <c r="P19" s="1">
        <v>9.82</v>
      </c>
      <c r="Q19" s="1">
        <v>32.590000000000003</v>
      </c>
      <c r="R19" s="1">
        <v>36.69</v>
      </c>
    </row>
    <row r="20" spans="1:18" x14ac:dyDescent="0.2">
      <c r="B20" s="1" t="s">
        <v>32</v>
      </c>
      <c r="C20" s="1">
        <v>3.12</v>
      </c>
      <c r="D20" s="1">
        <v>18.79</v>
      </c>
      <c r="E20" s="1">
        <v>0</v>
      </c>
      <c r="F20" s="1">
        <v>2.23</v>
      </c>
      <c r="G20" s="1">
        <v>0</v>
      </c>
      <c r="H20" s="1">
        <v>2.46</v>
      </c>
      <c r="I20" s="1">
        <v>16.29</v>
      </c>
      <c r="J20" s="1">
        <v>47.1</v>
      </c>
      <c r="K20" s="1">
        <v>22.1</v>
      </c>
      <c r="L20" s="1">
        <v>2.2400000000000002</v>
      </c>
      <c r="M20" s="1">
        <v>17.63</v>
      </c>
      <c r="N20" s="1">
        <v>22.32</v>
      </c>
      <c r="O20" s="1">
        <v>8.93</v>
      </c>
      <c r="P20" s="1">
        <v>4.47</v>
      </c>
      <c r="Q20" s="1">
        <v>16.29</v>
      </c>
      <c r="R20" s="1">
        <v>15.66</v>
      </c>
    </row>
    <row r="21" spans="1:18" x14ac:dyDescent="0.2">
      <c r="B21" s="1" t="s">
        <v>35</v>
      </c>
      <c r="C21" s="1">
        <v>10.94</v>
      </c>
      <c r="D21" s="1">
        <v>11.38</v>
      </c>
      <c r="E21" s="1">
        <v>0</v>
      </c>
      <c r="F21" s="1">
        <v>0</v>
      </c>
      <c r="G21" s="1">
        <v>2.91</v>
      </c>
      <c r="H21" s="1">
        <v>0</v>
      </c>
      <c r="I21" s="1">
        <v>20.54</v>
      </c>
      <c r="J21" s="1">
        <v>4.24</v>
      </c>
      <c r="K21" s="1">
        <v>4.47</v>
      </c>
      <c r="L21" s="1">
        <v>1.79</v>
      </c>
      <c r="M21" s="1">
        <v>0</v>
      </c>
      <c r="N21" s="1">
        <v>12.95</v>
      </c>
      <c r="O21" s="1">
        <v>12.75</v>
      </c>
      <c r="P21" s="1">
        <v>0</v>
      </c>
      <c r="Q21" s="1">
        <v>15.18</v>
      </c>
      <c r="R21" s="1">
        <v>5.15</v>
      </c>
    </row>
    <row r="22" spans="1:18" x14ac:dyDescent="0.2">
      <c r="B22" s="1" t="s">
        <v>36</v>
      </c>
      <c r="C22" s="1">
        <v>2.0099999999999998</v>
      </c>
      <c r="D22" s="1">
        <v>2.68</v>
      </c>
      <c r="E22" s="1">
        <v>25.45</v>
      </c>
      <c r="F22" s="1">
        <v>4.24</v>
      </c>
      <c r="G22" s="1">
        <v>8.9499999999999993</v>
      </c>
      <c r="H22" s="1">
        <v>0</v>
      </c>
      <c r="I22" s="1">
        <v>33.71</v>
      </c>
      <c r="J22" s="1">
        <v>15.21</v>
      </c>
      <c r="K22" s="1">
        <v>1.79</v>
      </c>
      <c r="L22" s="1">
        <v>0</v>
      </c>
      <c r="M22" s="1">
        <v>0</v>
      </c>
      <c r="N22" s="1">
        <v>25.22</v>
      </c>
      <c r="O22" s="1">
        <v>14.09</v>
      </c>
      <c r="P22" s="1">
        <v>0</v>
      </c>
      <c r="Q22" s="1">
        <v>0</v>
      </c>
      <c r="R22" s="1">
        <v>3.13</v>
      </c>
    </row>
    <row r="23" spans="1:18" x14ac:dyDescent="0.2">
      <c r="A23" s="2"/>
      <c r="B23" s="1" t="s">
        <v>39</v>
      </c>
      <c r="C23" s="1">
        <v>2.0099999999999998</v>
      </c>
      <c r="D23" s="1">
        <v>0</v>
      </c>
      <c r="E23" s="1">
        <v>0</v>
      </c>
      <c r="F23" s="1">
        <v>2.9</v>
      </c>
      <c r="G23" s="1">
        <v>8.26</v>
      </c>
      <c r="H23" s="1">
        <v>11.19</v>
      </c>
      <c r="I23" s="1">
        <v>62.95</v>
      </c>
      <c r="J23" s="1">
        <v>22.54</v>
      </c>
      <c r="K23" s="1">
        <v>19.87</v>
      </c>
      <c r="L23" s="1">
        <v>0.22</v>
      </c>
      <c r="M23" s="1">
        <v>13.17</v>
      </c>
      <c r="N23" s="1">
        <v>59.37</v>
      </c>
      <c r="O23" s="1">
        <v>20.09</v>
      </c>
      <c r="P23" s="1">
        <v>32.89</v>
      </c>
      <c r="Q23" s="1">
        <v>17.190000000000001</v>
      </c>
      <c r="R23" s="1">
        <v>0</v>
      </c>
    </row>
    <row r="24" spans="1:18" x14ac:dyDescent="0.2">
      <c r="B24" s="1" t="s">
        <v>40</v>
      </c>
      <c r="C24" s="1">
        <v>19.2</v>
      </c>
      <c r="D24" s="1">
        <v>0</v>
      </c>
      <c r="E24" s="1">
        <v>0</v>
      </c>
      <c r="F24" s="1">
        <v>0</v>
      </c>
      <c r="G24" s="1">
        <v>5.13</v>
      </c>
      <c r="H24" s="1">
        <v>6.03</v>
      </c>
      <c r="I24" s="1">
        <v>39.29</v>
      </c>
      <c r="J24" s="1">
        <v>27.68</v>
      </c>
      <c r="K24" s="1">
        <v>7.38</v>
      </c>
      <c r="L24" s="1">
        <v>8.0399999999999991</v>
      </c>
      <c r="M24" s="1">
        <v>44.64</v>
      </c>
      <c r="N24" s="1">
        <v>10.74</v>
      </c>
      <c r="O24" s="1">
        <v>0</v>
      </c>
      <c r="P24" s="1">
        <v>5.58</v>
      </c>
      <c r="Q24" s="1">
        <v>1.79</v>
      </c>
      <c r="R24" s="1">
        <v>18.829999999999998</v>
      </c>
    </row>
    <row r="25" spans="1:18" x14ac:dyDescent="0.2">
      <c r="B25" s="1" t="s">
        <v>41</v>
      </c>
      <c r="C25" s="1">
        <v>3.8</v>
      </c>
      <c r="D25" s="1">
        <v>11.16</v>
      </c>
      <c r="E25" s="1">
        <v>0</v>
      </c>
      <c r="F25" s="1">
        <v>0</v>
      </c>
      <c r="G25" s="1">
        <v>3.13</v>
      </c>
      <c r="H25" s="1">
        <v>2.0099999999999998</v>
      </c>
      <c r="I25" s="1">
        <v>47.99</v>
      </c>
      <c r="J25" s="1">
        <v>7.37</v>
      </c>
      <c r="K25" s="1">
        <v>1.79</v>
      </c>
      <c r="L25" s="1">
        <v>0</v>
      </c>
      <c r="M25" s="1">
        <v>0</v>
      </c>
      <c r="N25" s="1">
        <v>23.88</v>
      </c>
      <c r="O25" s="1">
        <v>0</v>
      </c>
      <c r="P25" s="1">
        <v>2.0099999999999998</v>
      </c>
      <c r="Q25" s="1">
        <v>25</v>
      </c>
      <c r="R25" s="1">
        <v>0</v>
      </c>
    </row>
    <row r="26" spans="1:18" x14ac:dyDescent="0.2">
      <c r="B26" s="1" t="s">
        <v>42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44.64</v>
      </c>
      <c r="J26" s="1">
        <v>28.12</v>
      </c>
      <c r="K26" s="1">
        <v>4.6900000000000004</v>
      </c>
      <c r="L26" s="1">
        <v>9.15</v>
      </c>
      <c r="M26" s="1">
        <v>9.6199999999999992</v>
      </c>
      <c r="N26" s="1">
        <v>47.32</v>
      </c>
      <c r="O26" s="1">
        <v>12.95</v>
      </c>
      <c r="P26" s="1">
        <v>10.71</v>
      </c>
      <c r="Q26" s="1">
        <v>15.21</v>
      </c>
      <c r="R26" s="1">
        <v>0</v>
      </c>
    </row>
    <row r="27" spans="1:18" x14ac:dyDescent="0.2">
      <c r="B27" s="1" t="s">
        <v>88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34.15</v>
      </c>
      <c r="J27" s="1">
        <v>16.78</v>
      </c>
      <c r="K27" s="1">
        <v>0</v>
      </c>
      <c r="L27" s="1">
        <v>1.79</v>
      </c>
      <c r="M27" s="1">
        <v>0</v>
      </c>
      <c r="N27" s="1">
        <v>23.27</v>
      </c>
      <c r="O27" s="1">
        <v>6.33</v>
      </c>
      <c r="P27" s="1">
        <v>6.33</v>
      </c>
      <c r="Q27" s="1">
        <v>6.33</v>
      </c>
      <c r="R27" s="1">
        <v>6.33</v>
      </c>
    </row>
    <row r="28" spans="1:18" x14ac:dyDescent="0.2">
      <c r="A28" t="s">
        <v>12</v>
      </c>
      <c r="C28">
        <f t="shared" ref="C28:R28" si="1">AVERAGE(C17:C27)</f>
        <v>4.8290909090909082</v>
      </c>
      <c r="D28">
        <f t="shared" si="1"/>
        <v>5.2618181818181817</v>
      </c>
      <c r="E28">
        <f t="shared" si="1"/>
        <v>2.76</v>
      </c>
      <c r="F28">
        <f t="shared" si="1"/>
        <v>2.9009090909090904</v>
      </c>
      <c r="G28">
        <f t="shared" si="1"/>
        <v>4.3245454545454551</v>
      </c>
      <c r="H28">
        <f t="shared" si="1"/>
        <v>3.4972727272727271</v>
      </c>
      <c r="I28">
        <f t="shared" si="1"/>
        <v>30.928181818181812</v>
      </c>
      <c r="J28">
        <f t="shared" si="1"/>
        <v>18.29</v>
      </c>
      <c r="K28">
        <f t="shared" si="1"/>
        <v>7.4109090909090902</v>
      </c>
      <c r="L28">
        <f t="shared" si="1"/>
        <v>4.7118181818181819</v>
      </c>
      <c r="M28">
        <f t="shared" si="1"/>
        <v>12.078181818181816</v>
      </c>
      <c r="N28">
        <f t="shared" si="1"/>
        <v>26.521111111111111</v>
      </c>
      <c r="O28">
        <f t="shared" si="1"/>
        <v>8.7700000000000014</v>
      </c>
      <c r="P28">
        <f t="shared" si="1"/>
        <v>7.9788888888888874</v>
      </c>
      <c r="Q28">
        <f t="shared" si="1"/>
        <v>14.39777777777778</v>
      </c>
      <c r="R28">
        <f t="shared" si="1"/>
        <v>9.5322222222222219</v>
      </c>
    </row>
    <row r="31" spans="1:18" x14ac:dyDescent="0.2">
      <c r="A31" t="s">
        <v>45</v>
      </c>
      <c r="B31" s="4"/>
      <c r="C31" s="1"/>
      <c r="D31" s="1"/>
      <c r="E31" s="1"/>
      <c r="F31" s="1"/>
      <c r="G31" s="1"/>
      <c r="H31" s="1"/>
      <c r="I31" s="1"/>
      <c r="J31" s="1"/>
    </row>
    <row r="32" spans="1:18" x14ac:dyDescent="0.2">
      <c r="A32" s="2"/>
      <c r="B32" s="1" t="s">
        <v>91</v>
      </c>
      <c r="C32" s="1">
        <v>0</v>
      </c>
      <c r="D32" s="1">
        <v>4.0199999999999996</v>
      </c>
      <c r="E32" s="1">
        <v>4.03</v>
      </c>
      <c r="F32" s="1">
        <v>14.73</v>
      </c>
      <c r="G32" s="1">
        <v>0</v>
      </c>
      <c r="H32" s="1">
        <v>0.22</v>
      </c>
      <c r="I32" s="1">
        <v>18.3</v>
      </c>
      <c r="J32" s="1">
        <v>2.46</v>
      </c>
      <c r="K32" s="1">
        <v>12.5</v>
      </c>
      <c r="L32" s="1">
        <v>26.12</v>
      </c>
      <c r="M32" s="1">
        <v>4.91</v>
      </c>
      <c r="N32" s="1">
        <v>4.25</v>
      </c>
      <c r="O32" s="1">
        <v>7.72</v>
      </c>
      <c r="P32" s="1">
        <v>7.72</v>
      </c>
      <c r="Q32" s="1">
        <v>7.72</v>
      </c>
      <c r="R32" s="1">
        <v>7.72</v>
      </c>
    </row>
    <row r="33" spans="1:18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1:18" x14ac:dyDescent="0.2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8" x14ac:dyDescent="0.2">
      <c r="B35" s="1"/>
      <c r="C35" s="1"/>
      <c r="D35" s="1"/>
      <c r="E35" s="1"/>
      <c r="F35" s="1"/>
      <c r="G35" s="1"/>
      <c r="H35" s="1"/>
      <c r="I35" s="1"/>
      <c r="J35" s="1"/>
    </row>
    <row r="36" spans="1:18" x14ac:dyDescent="0.2">
      <c r="B36" s="1"/>
      <c r="C36" s="1"/>
      <c r="D36" s="1"/>
      <c r="E36" s="1"/>
      <c r="F36" s="1"/>
      <c r="G36" s="1"/>
      <c r="H36" s="1"/>
      <c r="I36" s="1"/>
      <c r="J36" s="1"/>
    </row>
    <row r="37" spans="1:18" x14ac:dyDescent="0.2">
      <c r="B37" s="1"/>
      <c r="C37" s="1"/>
      <c r="D37" s="1"/>
      <c r="E37" s="1"/>
      <c r="F37" s="1"/>
      <c r="G37" s="1"/>
      <c r="H37" s="1"/>
      <c r="I37" s="1"/>
      <c r="J37" s="1"/>
    </row>
    <row r="38" spans="1:18" x14ac:dyDescent="0.2">
      <c r="B38" s="1"/>
      <c r="C38" s="1"/>
      <c r="D38" s="1"/>
      <c r="E38" s="1"/>
      <c r="F38" s="1"/>
      <c r="G38" s="1"/>
      <c r="H38" s="1"/>
      <c r="I38" s="1"/>
      <c r="J38" s="1"/>
    </row>
    <row r="39" spans="1:18" x14ac:dyDescent="0.2">
      <c r="B39" s="1"/>
      <c r="C39" s="1"/>
      <c r="D39" s="1"/>
      <c r="E39" s="1"/>
      <c r="F39" s="1"/>
      <c r="G39" s="1"/>
      <c r="H39" s="1"/>
      <c r="I39" s="1"/>
      <c r="J39" s="1"/>
    </row>
    <row r="40" spans="1:18" x14ac:dyDescent="0.2">
      <c r="B40" s="1"/>
      <c r="C40" s="1"/>
      <c r="D40" s="1"/>
      <c r="E40" s="1"/>
      <c r="F40" s="1"/>
      <c r="G40" s="1"/>
      <c r="H40" s="1"/>
      <c r="I40" s="1"/>
      <c r="J40" s="1"/>
    </row>
    <row r="43" spans="1:18" x14ac:dyDescent="0.2">
      <c r="A43" t="s">
        <v>12</v>
      </c>
      <c r="C43">
        <f t="shared" ref="C43:R43" si="2">AVERAGE(C31:C42)</f>
        <v>0</v>
      </c>
      <c r="D43">
        <f t="shared" si="2"/>
        <v>4.0199999999999996</v>
      </c>
      <c r="E43">
        <f t="shared" si="2"/>
        <v>4.03</v>
      </c>
      <c r="F43">
        <f t="shared" si="2"/>
        <v>14.73</v>
      </c>
      <c r="G43">
        <f t="shared" si="2"/>
        <v>0</v>
      </c>
      <c r="H43">
        <f t="shared" si="2"/>
        <v>0.22</v>
      </c>
      <c r="I43">
        <f t="shared" si="2"/>
        <v>18.3</v>
      </c>
      <c r="J43">
        <f t="shared" si="2"/>
        <v>2.46</v>
      </c>
      <c r="K43">
        <f t="shared" si="2"/>
        <v>12.5</v>
      </c>
      <c r="L43">
        <f t="shared" si="2"/>
        <v>26.12</v>
      </c>
      <c r="M43">
        <f t="shared" si="2"/>
        <v>4.91</v>
      </c>
      <c r="N43">
        <f t="shared" si="2"/>
        <v>4.25</v>
      </c>
      <c r="O43">
        <f t="shared" si="2"/>
        <v>7.72</v>
      </c>
      <c r="P43">
        <f t="shared" si="2"/>
        <v>7.72</v>
      </c>
      <c r="Q43">
        <f t="shared" si="2"/>
        <v>7.72</v>
      </c>
      <c r="R43">
        <f t="shared" si="2"/>
        <v>7.72</v>
      </c>
    </row>
    <row r="46" spans="1:18" x14ac:dyDescent="0.2">
      <c r="A46" t="s">
        <v>67</v>
      </c>
    </row>
    <row r="47" spans="1:18" x14ac:dyDescent="0.2">
      <c r="B47" s="4" t="s">
        <v>68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51.35</v>
      </c>
      <c r="J47" s="1">
        <v>2.23</v>
      </c>
      <c r="K47" s="1">
        <v>0</v>
      </c>
      <c r="L47" s="1">
        <v>0</v>
      </c>
      <c r="M47" s="1">
        <v>0</v>
      </c>
      <c r="N47" s="1">
        <v>33.33</v>
      </c>
      <c r="O47" s="1">
        <v>7.23</v>
      </c>
      <c r="P47" s="1">
        <v>7.23</v>
      </c>
      <c r="Q47" s="1">
        <v>7.23</v>
      </c>
      <c r="R47" s="1">
        <v>7.23</v>
      </c>
    </row>
    <row r="48" spans="1:18" x14ac:dyDescent="0.2">
      <c r="B48" s="4" t="s">
        <v>69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66.67</v>
      </c>
      <c r="J48" s="1">
        <v>21.21</v>
      </c>
      <c r="K48" s="1">
        <v>0</v>
      </c>
      <c r="L48" s="1">
        <v>0</v>
      </c>
      <c r="M48" s="1">
        <v>0</v>
      </c>
      <c r="N48" s="1">
        <v>27.96</v>
      </c>
      <c r="O48" s="1">
        <v>9.66</v>
      </c>
      <c r="P48" s="1">
        <v>9.66</v>
      </c>
      <c r="Q48" s="1">
        <v>9.66</v>
      </c>
      <c r="R48" s="1">
        <v>9.66</v>
      </c>
    </row>
    <row r="49" spans="1:18" x14ac:dyDescent="0.2">
      <c r="B49" s="4" t="s">
        <v>70</v>
      </c>
      <c r="C49" s="1">
        <v>0</v>
      </c>
      <c r="D49" s="1">
        <v>0</v>
      </c>
      <c r="E49" s="1">
        <v>7.14</v>
      </c>
      <c r="F49" s="1">
        <v>0</v>
      </c>
      <c r="G49" s="1">
        <v>0</v>
      </c>
      <c r="H49" s="1">
        <v>0</v>
      </c>
      <c r="I49" s="1">
        <v>8.26</v>
      </c>
      <c r="J49" s="1">
        <v>0</v>
      </c>
      <c r="K49" s="1">
        <v>3.57</v>
      </c>
      <c r="L49" s="1">
        <v>1.79</v>
      </c>
      <c r="M49" s="1">
        <v>4.0199999999999996</v>
      </c>
      <c r="N49" s="1">
        <v>16.37</v>
      </c>
      <c r="O49" s="1">
        <v>3.42</v>
      </c>
      <c r="P49" s="1">
        <v>3.42</v>
      </c>
      <c r="Q49" s="1">
        <v>3.42</v>
      </c>
      <c r="R49" s="1">
        <v>3.42</v>
      </c>
    </row>
    <row r="50" spans="1:18" x14ac:dyDescent="0.2">
      <c r="B50" s="4" t="s">
        <v>71</v>
      </c>
      <c r="C50" s="1">
        <v>0</v>
      </c>
      <c r="D50" s="1">
        <v>2.0099999999999998</v>
      </c>
      <c r="E50" s="1">
        <v>0</v>
      </c>
      <c r="F50" s="1">
        <v>14.73</v>
      </c>
      <c r="G50" s="1">
        <v>0</v>
      </c>
      <c r="H50" s="1">
        <v>1.79</v>
      </c>
      <c r="I50" s="1">
        <v>22.6</v>
      </c>
      <c r="J50" s="1">
        <v>2.0099999999999998</v>
      </c>
      <c r="K50" s="1">
        <v>3.57</v>
      </c>
      <c r="L50" s="1">
        <v>0</v>
      </c>
      <c r="M50" s="1">
        <v>9.3699999999999992</v>
      </c>
      <c r="N50" s="1">
        <v>14.54</v>
      </c>
      <c r="O50" s="1">
        <v>5.88</v>
      </c>
      <c r="P50" s="1">
        <v>5.88</v>
      </c>
      <c r="Q50" s="1">
        <v>5.88</v>
      </c>
      <c r="R50" s="1">
        <v>5.88</v>
      </c>
    </row>
    <row r="51" spans="1:18" x14ac:dyDescent="0.2">
      <c r="B51" s="1" t="s">
        <v>79</v>
      </c>
      <c r="C51" s="1">
        <v>0</v>
      </c>
      <c r="D51" s="1">
        <v>0</v>
      </c>
      <c r="E51" s="1">
        <v>3.57</v>
      </c>
      <c r="F51" s="1">
        <v>2.0099999999999998</v>
      </c>
      <c r="G51" s="1">
        <v>16.96</v>
      </c>
      <c r="H51" s="1">
        <v>7.83</v>
      </c>
      <c r="I51" s="1">
        <v>13.17</v>
      </c>
      <c r="J51" s="1">
        <v>9.3699999999999992</v>
      </c>
      <c r="K51" s="1">
        <v>6.47</v>
      </c>
      <c r="L51" s="1">
        <v>1.79</v>
      </c>
      <c r="M51" s="1">
        <v>6.47</v>
      </c>
      <c r="N51" s="1">
        <v>27.29</v>
      </c>
      <c r="O51" s="1">
        <v>7.91</v>
      </c>
      <c r="P51" s="1">
        <v>7.91</v>
      </c>
      <c r="Q51" s="1">
        <v>7.91</v>
      </c>
      <c r="R51" s="1">
        <v>7.91</v>
      </c>
    </row>
    <row r="55" spans="1:18" x14ac:dyDescent="0.2">
      <c r="B55" t="s">
        <v>12</v>
      </c>
      <c r="C55">
        <f>AVERAGE(C47:C53)</f>
        <v>0</v>
      </c>
      <c r="D55">
        <f t="shared" ref="D55:R55" si="3">AVERAGE(D47:D53)</f>
        <v>0.40199999999999997</v>
      </c>
      <c r="E55">
        <f t="shared" si="3"/>
        <v>2.1419999999999999</v>
      </c>
      <c r="F55">
        <f t="shared" si="3"/>
        <v>3.3480000000000003</v>
      </c>
      <c r="G55">
        <f t="shared" si="3"/>
        <v>3.3920000000000003</v>
      </c>
      <c r="H55">
        <f t="shared" si="3"/>
        <v>1.9240000000000002</v>
      </c>
      <c r="I55">
        <f t="shared" si="3"/>
        <v>32.410000000000004</v>
      </c>
      <c r="J55">
        <f t="shared" si="3"/>
        <v>6.9640000000000004</v>
      </c>
      <c r="K55">
        <f t="shared" si="3"/>
        <v>2.722</v>
      </c>
      <c r="L55">
        <f t="shared" si="3"/>
        <v>0.71599999999999997</v>
      </c>
      <c r="M55">
        <f t="shared" si="3"/>
        <v>3.972</v>
      </c>
      <c r="N55">
        <f t="shared" si="3"/>
        <v>23.897999999999996</v>
      </c>
      <c r="O55">
        <f t="shared" si="3"/>
        <v>6.82</v>
      </c>
      <c r="P55">
        <f t="shared" si="3"/>
        <v>6.82</v>
      </c>
      <c r="Q55">
        <f t="shared" si="3"/>
        <v>6.82</v>
      </c>
      <c r="R55">
        <f t="shared" si="3"/>
        <v>6.82</v>
      </c>
    </row>
    <row r="58" spans="1:18" x14ac:dyDescent="0.2">
      <c r="A58" t="s">
        <v>48</v>
      </c>
    </row>
    <row r="59" spans="1:18" x14ac:dyDescent="0.2">
      <c r="B59" s="1" t="s">
        <v>80</v>
      </c>
      <c r="C59" s="1">
        <v>0</v>
      </c>
      <c r="D59" s="1">
        <v>2.0099999999999998</v>
      </c>
      <c r="E59" s="1">
        <v>14.51</v>
      </c>
      <c r="F59" s="1">
        <v>11.61</v>
      </c>
      <c r="G59" s="1">
        <v>0</v>
      </c>
      <c r="H59" s="1">
        <v>4.25</v>
      </c>
      <c r="I59" s="1">
        <v>18.3</v>
      </c>
      <c r="J59" s="1">
        <v>0</v>
      </c>
      <c r="K59" s="1">
        <v>4.24</v>
      </c>
      <c r="L59" s="1">
        <v>2.0099999999999998</v>
      </c>
      <c r="M59" s="1">
        <v>0</v>
      </c>
      <c r="N59" s="1">
        <v>0</v>
      </c>
      <c r="O59" s="1">
        <v>4.75</v>
      </c>
      <c r="P59" s="1">
        <v>4.75</v>
      </c>
      <c r="Q59" s="1">
        <v>4.75</v>
      </c>
      <c r="R59" s="1">
        <v>4.75</v>
      </c>
    </row>
    <row r="60" spans="1:18" x14ac:dyDescent="0.2">
      <c r="B60" s="1" t="s">
        <v>77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88.39</v>
      </c>
      <c r="J60" s="1">
        <v>24.78</v>
      </c>
      <c r="K60" s="1">
        <v>6.47</v>
      </c>
      <c r="L60" s="1">
        <v>0</v>
      </c>
      <c r="M60" s="1">
        <v>0</v>
      </c>
      <c r="N60" s="1">
        <v>70.25</v>
      </c>
      <c r="O60" s="1">
        <v>15.82</v>
      </c>
      <c r="P60" s="1">
        <v>15.82</v>
      </c>
      <c r="Q60" s="1">
        <v>15.82</v>
      </c>
      <c r="R60" s="1">
        <v>15.82</v>
      </c>
    </row>
    <row r="61" spans="1:18" x14ac:dyDescent="0.2">
      <c r="B61" s="1" t="s">
        <v>78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1.79</v>
      </c>
      <c r="J61" s="1">
        <v>0</v>
      </c>
      <c r="K61" s="1">
        <v>0</v>
      </c>
      <c r="L61" s="1">
        <v>0</v>
      </c>
      <c r="M61" s="1">
        <v>0</v>
      </c>
      <c r="N61" s="1">
        <v>2.68</v>
      </c>
      <c r="O61" s="1">
        <v>0.37</v>
      </c>
      <c r="P61" s="1">
        <v>0.37</v>
      </c>
      <c r="Q61" s="1">
        <v>0.37</v>
      </c>
      <c r="R61" s="1">
        <v>0.37</v>
      </c>
    </row>
    <row r="62" spans="1:18" x14ac:dyDescent="0.2">
      <c r="B62" s="1" t="s">
        <v>75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20.54</v>
      </c>
      <c r="J62" s="1">
        <v>2.0099999999999998</v>
      </c>
      <c r="K62" s="1">
        <v>0</v>
      </c>
      <c r="L62" s="1">
        <v>1.79</v>
      </c>
      <c r="M62" s="1">
        <v>2.9</v>
      </c>
      <c r="N62" s="1">
        <v>17.23</v>
      </c>
      <c r="O62" s="1">
        <v>3.7</v>
      </c>
      <c r="P62" s="1">
        <v>3.7</v>
      </c>
      <c r="Q62" s="1">
        <v>3.7</v>
      </c>
      <c r="R62" s="1">
        <v>3.7</v>
      </c>
    </row>
    <row r="63" spans="1:18" x14ac:dyDescent="0.2">
      <c r="B63" s="1" t="s">
        <v>76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0.67</v>
      </c>
      <c r="I63" s="1">
        <v>16.96</v>
      </c>
      <c r="J63" s="1">
        <v>2.2400000000000002</v>
      </c>
      <c r="K63" s="1">
        <v>0</v>
      </c>
      <c r="L63" s="1">
        <v>3.79</v>
      </c>
      <c r="M63" s="1">
        <v>2.0099999999999998</v>
      </c>
      <c r="N63" s="1">
        <v>56.73</v>
      </c>
      <c r="O63" s="1">
        <v>6.87</v>
      </c>
      <c r="P63" s="1">
        <v>6.87</v>
      </c>
      <c r="Q63" s="1">
        <v>6.87</v>
      </c>
      <c r="R63" s="1">
        <v>6.87</v>
      </c>
    </row>
    <row r="64" spans="1:18" x14ac:dyDescent="0.2">
      <c r="B64" s="1" t="s">
        <v>87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57.37</v>
      </c>
      <c r="J64" s="1">
        <v>11.83</v>
      </c>
      <c r="K64" s="1">
        <v>0</v>
      </c>
      <c r="L64" s="1">
        <v>0</v>
      </c>
      <c r="M64" s="1">
        <v>0</v>
      </c>
      <c r="N64" s="1">
        <v>35.65</v>
      </c>
      <c r="O64" s="1">
        <v>8.73</v>
      </c>
      <c r="P64" s="1">
        <v>8.73</v>
      </c>
      <c r="Q64" s="1">
        <v>8.73</v>
      </c>
      <c r="R64" s="1">
        <v>8.73</v>
      </c>
    </row>
    <row r="65" spans="2:18" x14ac:dyDescent="0.2">
      <c r="B65" s="1" t="s">
        <v>92</v>
      </c>
      <c r="C65" s="1">
        <v>0</v>
      </c>
      <c r="D65" s="1">
        <v>0</v>
      </c>
      <c r="E65" s="1">
        <v>2.0099999999999998</v>
      </c>
      <c r="F65" s="1">
        <v>0</v>
      </c>
      <c r="G65" s="1">
        <v>0</v>
      </c>
      <c r="H65" s="1">
        <v>0</v>
      </c>
      <c r="I65" s="1">
        <v>21.43</v>
      </c>
      <c r="J65" s="1">
        <v>8.48</v>
      </c>
      <c r="K65" s="1">
        <v>0</v>
      </c>
      <c r="L65" s="1">
        <v>2.68</v>
      </c>
      <c r="M65" s="1">
        <v>6.03</v>
      </c>
      <c r="N65" s="1">
        <v>13.87</v>
      </c>
      <c r="O65" s="1">
        <v>4.54</v>
      </c>
      <c r="P65" s="1">
        <v>4.54</v>
      </c>
      <c r="Q65" s="1">
        <v>4.54</v>
      </c>
      <c r="R65" s="1">
        <v>4.54</v>
      </c>
    </row>
    <row r="67" spans="2:18" x14ac:dyDescent="0.2">
      <c r="B67" t="s">
        <v>12</v>
      </c>
      <c r="C67">
        <f t="shared" ref="C67:R67" si="4">AVERAGE(C59:C65)</f>
        <v>0</v>
      </c>
      <c r="D67">
        <f t="shared" si="4"/>
        <v>0.28714285714285709</v>
      </c>
      <c r="E67">
        <f t="shared" si="4"/>
        <v>2.36</v>
      </c>
      <c r="F67">
        <f t="shared" si="4"/>
        <v>1.6585714285714286</v>
      </c>
      <c r="G67">
        <f t="shared" si="4"/>
        <v>0</v>
      </c>
      <c r="H67">
        <f t="shared" si="4"/>
        <v>0.70285714285714285</v>
      </c>
      <c r="I67">
        <f t="shared" si="4"/>
        <v>32.111428571428576</v>
      </c>
      <c r="J67">
        <f t="shared" si="4"/>
        <v>7.0485714285714289</v>
      </c>
      <c r="K67">
        <f t="shared" si="4"/>
        <v>1.53</v>
      </c>
      <c r="L67">
        <f t="shared" si="4"/>
        <v>1.4671428571428571</v>
      </c>
      <c r="M67">
        <f t="shared" si="4"/>
        <v>1.5628571428571429</v>
      </c>
      <c r="N67">
        <f t="shared" si="4"/>
        <v>28.058571428571433</v>
      </c>
      <c r="O67">
        <f t="shared" si="4"/>
        <v>6.3971428571428577</v>
      </c>
      <c r="P67">
        <f t="shared" si="4"/>
        <v>6.3971428571428577</v>
      </c>
      <c r="Q67">
        <f t="shared" si="4"/>
        <v>6.3971428571428577</v>
      </c>
      <c r="R67">
        <f t="shared" si="4"/>
        <v>6.3971428571428577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Conditioning</vt:lpstr>
      <vt:lpstr>Context</vt:lpstr>
      <vt:lpstr>Tone</vt:lpstr>
      <vt:lpstr>Tone 30s2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2017-03-27T00:15:09Z</dcterms:modified>
</cp:coreProperties>
</file>