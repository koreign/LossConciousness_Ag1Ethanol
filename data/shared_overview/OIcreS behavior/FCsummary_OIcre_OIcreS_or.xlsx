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Conditioning" sheetId="1" r:id="rId1"/>
    <sheet name="Context" sheetId="2" r:id="rId2"/>
    <sheet name="Tone" sheetId="3" r:id="rId3"/>
    <sheet name="Tone 30s2" sheetId="5" r:id="rId4"/>
  </sheets>
  <calcPr calcId="152511"/>
</workbook>
</file>

<file path=xl/calcChain.xml><?xml version="1.0" encoding="utf-8"?>
<calcChain xmlns="http://schemas.openxmlformats.org/spreadsheetml/2006/main">
  <c r="D43" i="3" l="1"/>
  <c r="E43" i="3"/>
  <c r="F43" i="3"/>
  <c r="G43" i="3"/>
  <c r="H43" i="3"/>
  <c r="I43" i="3"/>
  <c r="J43" i="3"/>
  <c r="C43" i="3"/>
  <c r="K65" i="2" l="1"/>
  <c r="K32" i="2"/>
  <c r="K33" i="2"/>
  <c r="K34" i="2"/>
  <c r="K35" i="2"/>
  <c r="K36" i="2"/>
  <c r="K37" i="2"/>
  <c r="K38" i="2"/>
  <c r="K39" i="2"/>
  <c r="K69" i="2"/>
  <c r="D43" i="2" l="1"/>
  <c r="E43" i="2"/>
  <c r="F43" i="2"/>
  <c r="G43" i="2"/>
  <c r="H43" i="2"/>
  <c r="I43" i="2"/>
  <c r="J43" i="2"/>
  <c r="C43" i="2"/>
  <c r="J60" i="1"/>
  <c r="D43" i="1"/>
  <c r="E43" i="1"/>
  <c r="F43" i="1"/>
  <c r="G43" i="1"/>
  <c r="H43" i="1"/>
  <c r="I43" i="1"/>
  <c r="J43" i="1"/>
  <c r="C43" i="1"/>
  <c r="K57" i="2"/>
  <c r="K31" i="2"/>
  <c r="K27" i="2"/>
  <c r="K67" i="2" l="1"/>
  <c r="K68" i="2"/>
  <c r="J73" i="1"/>
  <c r="C73" i="1"/>
  <c r="D60" i="1"/>
  <c r="E60" i="1"/>
  <c r="F60" i="1"/>
  <c r="G60" i="1"/>
  <c r="H60" i="1"/>
  <c r="I60" i="1"/>
  <c r="C60" i="1"/>
  <c r="K56" i="2"/>
  <c r="K66" i="2" l="1"/>
  <c r="K53" i="2"/>
  <c r="K64" i="2" l="1"/>
  <c r="K71" i="2" s="1"/>
  <c r="K67" i="5" l="1"/>
  <c r="L67" i="5"/>
  <c r="M67" i="5"/>
  <c r="N67" i="5"/>
  <c r="O67" i="5"/>
  <c r="P67" i="5"/>
  <c r="Q67" i="5"/>
  <c r="R67" i="5"/>
  <c r="K55" i="5"/>
  <c r="L55" i="5"/>
  <c r="M55" i="5"/>
  <c r="N55" i="5"/>
  <c r="O55" i="5"/>
  <c r="P55" i="5"/>
  <c r="Q55" i="5"/>
  <c r="R55" i="5"/>
  <c r="K43" i="5"/>
  <c r="L43" i="5"/>
  <c r="M43" i="5"/>
  <c r="N43" i="5"/>
  <c r="O43" i="5"/>
  <c r="P43" i="5"/>
  <c r="Q43" i="5"/>
  <c r="R43" i="5"/>
  <c r="K28" i="5"/>
  <c r="L28" i="5"/>
  <c r="M28" i="5"/>
  <c r="N28" i="5"/>
  <c r="O28" i="5"/>
  <c r="P28" i="5"/>
  <c r="Q28" i="5"/>
  <c r="R28" i="5"/>
  <c r="K14" i="5"/>
  <c r="L14" i="5"/>
  <c r="M14" i="5"/>
  <c r="N14" i="5"/>
  <c r="O14" i="5"/>
  <c r="P14" i="5"/>
  <c r="Q14" i="5"/>
  <c r="R14" i="5"/>
  <c r="J67" i="5"/>
  <c r="I67" i="5"/>
  <c r="H67" i="5"/>
  <c r="G67" i="5"/>
  <c r="F67" i="5"/>
  <c r="E67" i="5"/>
  <c r="D67" i="5"/>
  <c r="C67" i="5"/>
  <c r="J55" i="5"/>
  <c r="I55" i="5"/>
  <c r="H55" i="5"/>
  <c r="G55" i="5"/>
  <c r="F55" i="5"/>
  <c r="E55" i="5"/>
  <c r="D55" i="5"/>
  <c r="C55" i="5"/>
  <c r="J43" i="5"/>
  <c r="I43" i="5"/>
  <c r="H43" i="5"/>
  <c r="G43" i="5"/>
  <c r="F43" i="5"/>
  <c r="E43" i="5"/>
  <c r="D43" i="5"/>
  <c r="C43" i="5"/>
  <c r="J28" i="5"/>
  <c r="I28" i="5"/>
  <c r="H28" i="5"/>
  <c r="G28" i="5"/>
  <c r="F28" i="5"/>
  <c r="E28" i="5"/>
  <c r="D28" i="5"/>
  <c r="C28" i="5"/>
  <c r="J14" i="5"/>
  <c r="I14" i="5"/>
  <c r="H14" i="5"/>
  <c r="G14" i="5"/>
  <c r="F14" i="5"/>
  <c r="E14" i="5"/>
  <c r="D14" i="5"/>
  <c r="C14" i="5"/>
  <c r="K18" i="2" l="1"/>
  <c r="K20" i="2"/>
  <c r="K21" i="2"/>
  <c r="J67" i="3" l="1"/>
  <c r="I67" i="3"/>
  <c r="H67" i="3"/>
  <c r="G67" i="3"/>
  <c r="F67" i="3"/>
  <c r="E67" i="3"/>
  <c r="D67" i="3"/>
  <c r="C67" i="3"/>
  <c r="D71" i="2"/>
  <c r="E71" i="2"/>
  <c r="F71" i="2"/>
  <c r="G71" i="2"/>
  <c r="H71" i="2"/>
  <c r="I71" i="2"/>
  <c r="J71" i="2"/>
  <c r="C71" i="2"/>
  <c r="D73" i="1"/>
  <c r="E73" i="1"/>
  <c r="F73" i="1"/>
  <c r="G73" i="1"/>
  <c r="H73" i="1"/>
  <c r="I73" i="1"/>
  <c r="D55" i="3" l="1"/>
  <c r="E55" i="3"/>
  <c r="F55" i="3"/>
  <c r="G55" i="3"/>
  <c r="H55" i="3"/>
  <c r="I55" i="3"/>
  <c r="J55" i="3"/>
  <c r="C55" i="3"/>
  <c r="K54" i="2" l="1"/>
  <c r="K55" i="2"/>
  <c r="K52" i="2"/>
  <c r="D60" i="2"/>
  <c r="E60" i="2"/>
  <c r="F60" i="2"/>
  <c r="G60" i="2"/>
  <c r="H60" i="2"/>
  <c r="I60" i="2"/>
  <c r="J60" i="2"/>
  <c r="C60" i="2"/>
  <c r="K60" i="2" s="1"/>
  <c r="K6" i="2" l="1"/>
  <c r="K19" i="2"/>
  <c r="K23" i="2"/>
  <c r="K24" i="2" l="1"/>
  <c r="K22" i="2" l="1"/>
  <c r="K17" i="2"/>
  <c r="K5" i="2"/>
  <c r="K7" i="2"/>
  <c r="K8" i="2"/>
  <c r="K9" i="2"/>
  <c r="K4" i="2"/>
  <c r="K43" i="2" l="1"/>
  <c r="I28" i="3"/>
  <c r="J28" i="3"/>
  <c r="I14" i="3"/>
  <c r="J14" i="3"/>
  <c r="K28" i="2" l="1"/>
  <c r="K14" i="2"/>
  <c r="H28" i="3"/>
  <c r="G28" i="3"/>
  <c r="F28" i="3"/>
  <c r="E28" i="3"/>
  <c r="D28" i="3"/>
  <c r="C28" i="3"/>
  <c r="H14" i="3"/>
  <c r="G14" i="3"/>
  <c r="F14" i="3"/>
  <c r="E14" i="3"/>
  <c r="D14" i="3"/>
  <c r="C14" i="3"/>
  <c r="J28" i="2"/>
  <c r="I28" i="2"/>
  <c r="H28" i="2"/>
  <c r="G28" i="2"/>
  <c r="F28" i="2"/>
  <c r="E28" i="2"/>
  <c r="D28" i="2"/>
  <c r="C28" i="2"/>
  <c r="J14" i="2"/>
  <c r="I14" i="2"/>
  <c r="H14" i="2"/>
  <c r="G14" i="2"/>
  <c r="F14" i="2"/>
  <c r="E14" i="2"/>
  <c r="D14" i="2"/>
  <c r="C14" i="2"/>
  <c r="D28" i="1"/>
  <c r="E28" i="1"/>
  <c r="F28" i="1"/>
  <c r="G28" i="1"/>
  <c r="H28" i="1"/>
  <c r="I28" i="1"/>
  <c r="J28" i="1"/>
  <c r="C28" i="1"/>
  <c r="D14" i="1"/>
  <c r="E14" i="1"/>
  <c r="F14" i="1"/>
  <c r="G14" i="1"/>
  <c r="H14" i="1"/>
  <c r="I14" i="1"/>
  <c r="J14" i="1"/>
  <c r="C14" i="1"/>
</calcChain>
</file>

<file path=xl/sharedStrings.xml><?xml version="1.0" encoding="utf-8"?>
<sst xmlns="http://schemas.openxmlformats.org/spreadsheetml/2006/main" count="170" uniqueCount="106">
  <si>
    <t>% freeze</t>
  </si>
  <si>
    <t>Onset</t>
  </si>
  <si>
    <t>NO</t>
    <phoneticPr fontId="1" type="noConversion"/>
  </si>
  <si>
    <t>CH</t>
    <phoneticPr fontId="1" type="noConversion"/>
  </si>
  <si>
    <t>OIcreNO1</t>
  </si>
  <si>
    <t>OIcreNO2</t>
  </si>
  <si>
    <t>OIcreCH1</t>
  </si>
  <si>
    <t>OIcreCH2</t>
  </si>
  <si>
    <t>OIcreNO3</t>
  </si>
  <si>
    <t>OIcreNO4</t>
  </si>
  <si>
    <t>OIcreNO5</t>
  </si>
  <si>
    <t>OIcreNO6</t>
  </si>
  <si>
    <t>OIcreCH3</t>
  </si>
  <si>
    <t>OIcreCH4</t>
  </si>
  <si>
    <t>mean</t>
    <phoneticPr fontId="1" type="noConversion"/>
  </si>
  <si>
    <t>OIcreNO1c</t>
  </si>
  <si>
    <t>OIcreNO2c</t>
  </si>
  <si>
    <t>OIcreCH1c</t>
  </si>
  <si>
    <t>OIcreCH2c</t>
  </si>
  <si>
    <t>OIcreNO3c</t>
  </si>
  <si>
    <t>OIcreNO4c</t>
  </si>
  <si>
    <t>OIcreNO1t</t>
  </si>
  <si>
    <t>OIcreNO2t</t>
  </si>
  <si>
    <t>OIcreCH1t</t>
  </si>
  <si>
    <t>OIcreCH2t</t>
  </si>
  <si>
    <t>OIcreNO3t</t>
  </si>
  <si>
    <t>OIcreNO4t</t>
  </si>
  <si>
    <t>Duration</t>
  </si>
  <si>
    <t>4min</t>
    <phoneticPr fontId="1" type="noConversion"/>
  </si>
  <si>
    <t>OIcreNO5c</t>
  </si>
  <si>
    <t>OIcreNO6c</t>
  </si>
  <si>
    <t>OIcreARC3c</t>
  </si>
  <si>
    <t>OIcreARC4c</t>
  </si>
  <si>
    <t>OIcreNO5t</t>
  </si>
  <si>
    <t>OIcreNO6t</t>
  </si>
  <si>
    <t>OIcreCH3t</t>
  </si>
  <si>
    <t>OIcreCH4t</t>
  </si>
  <si>
    <t>OIcreCH5</t>
  </si>
  <si>
    <t>OIcreCH6</t>
  </si>
  <si>
    <t>OIcreCH5c</t>
  </si>
  <si>
    <t>OIcreCH6c</t>
  </si>
  <si>
    <t>OIcreCH5t</t>
  </si>
  <si>
    <t>OIcreCH6t</t>
  </si>
  <si>
    <t>OIcreCH7</t>
  </si>
  <si>
    <t>OIcreCH8</t>
  </si>
  <si>
    <t>OIcreCH7c</t>
  </si>
  <si>
    <t>OIcreCH8c</t>
  </si>
  <si>
    <t>OIcreCH7t</t>
  </si>
  <si>
    <t>OIcreCH8t</t>
  </si>
  <si>
    <t>OIcreCH9</t>
  </si>
  <si>
    <t>OIcreCH10</t>
  </si>
  <si>
    <t>OIcreCH9tt</t>
  </si>
  <si>
    <t>OIcreCH10tt</t>
  </si>
  <si>
    <t>IN-CH</t>
    <phoneticPr fontId="1" type="noConversion"/>
  </si>
  <si>
    <t>mean</t>
    <phoneticPr fontId="1" type="noConversion"/>
  </si>
  <si>
    <t>IN-GFP-Spindle</t>
    <phoneticPr fontId="1" type="noConversion"/>
  </si>
  <si>
    <t>IN-CH-Spindle</t>
    <phoneticPr fontId="1" type="noConversion"/>
  </si>
  <si>
    <t>IN-GFP-20hz</t>
    <phoneticPr fontId="1" type="noConversion"/>
  </si>
  <si>
    <t>IN-CH-20Hz</t>
    <phoneticPr fontId="1" type="noConversion"/>
  </si>
  <si>
    <t>OIcreS1c</t>
    <phoneticPr fontId="1" type="noConversion"/>
  </si>
  <si>
    <t>OIcreS2c</t>
    <phoneticPr fontId="1" type="noConversion"/>
  </si>
  <si>
    <t>OIcreS3c</t>
  </si>
  <si>
    <t>OIcreS4c</t>
  </si>
  <si>
    <t>OIcreS5c</t>
  </si>
  <si>
    <t>OIcreS6</t>
    <phoneticPr fontId="1" type="noConversion"/>
  </si>
  <si>
    <t>OIcreS7</t>
  </si>
  <si>
    <t>OIcreS8</t>
  </si>
  <si>
    <t>OIcreS9</t>
  </si>
  <si>
    <t>OIcreS10</t>
  </si>
  <si>
    <t>OIcreS1</t>
    <phoneticPr fontId="1" type="noConversion"/>
  </si>
  <si>
    <t>OIcreS2</t>
    <phoneticPr fontId="1" type="noConversion"/>
  </si>
  <si>
    <t>OIcreS3</t>
    <phoneticPr fontId="1" type="noConversion"/>
  </si>
  <si>
    <t>OIcreS4</t>
    <phoneticPr fontId="1" type="noConversion"/>
  </si>
  <si>
    <t>OIcreS5</t>
    <phoneticPr fontId="1" type="noConversion"/>
  </si>
  <si>
    <t>OIcreS6c</t>
    <phoneticPr fontId="1" type="noConversion"/>
  </si>
  <si>
    <t>OIcreS7c</t>
    <phoneticPr fontId="1" type="noConversion"/>
  </si>
  <si>
    <t>OIcreS8c</t>
    <phoneticPr fontId="1" type="noConversion"/>
  </si>
  <si>
    <t>mean</t>
    <phoneticPr fontId="1" type="noConversion"/>
  </si>
  <si>
    <t>IN-CH-Spindle</t>
    <phoneticPr fontId="1" type="noConversion"/>
  </si>
  <si>
    <t>IN-GFP-20Hz</t>
    <phoneticPr fontId="1" type="noConversion"/>
  </si>
  <si>
    <t>OIcreS1t</t>
    <phoneticPr fontId="1" type="noConversion"/>
  </si>
  <si>
    <t>OIcreS2t</t>
    <phoneticPr fontId="1" type="noConversion"/>
  </si>
  <si>
    <t>OIcreS3t</t>
    <phoneticPr fontId="1" type="noConversion"/>
  </si>
  <si>
    <t>OIcreS4t</t>
    <phoneticPr fontId="1" type="noConversion"/>
  </si>
  <si>
    <t>OIcreS5t</t>
    <phoneticPr fontId="1" type="noConversion"/>
  </si>
  <si>
    <t>OIcreS6t</t>
    <phoneticPr fontId="1" type="noConversion"/>
  </si>
  <si>
    <t>OIcreS9c</t>
  </si>
  <si>
    <t>OIcreS10c</t>
  </si>
  <si>
    <t>OIcreS9t</t>
  </si>
  <si>
    <t>OIcreS10t</t>
  </si>
  <si>
    <t>OIcreS7t</t>
  </si>
  <si>
    <t>OIcreS8t</t>
  </si>
  <si>
    <t>OicreS5t</t>
  </si>
  <si>
    <t>OicreS6t</t>
  </si>
  <si>
    <t>OIcreS11c</t>
  </si>
  <si>
    <t>OIcreS12c</t>
  </si>
  <si>
    <t>OIcreS11</t>
  </si>
  <si>
    <t>OIcreS12</t>
  </si>
  <si>
    <t>OIcreS13</t>
  </si>
  <si>
    <t>OIcreS14</t>
  </si>
  <si>
    <t>OIcreS12t</t>
  </si>
  <si>
    <t>OIcreS11tt</t>
  </si>
  <si>
    <t>OIcreS13c</t>
  </si>
  <si>
    <t>OIcreS14c</t>
  </si>
  <si>
    <t>OIcreS13t</t>
  </si>
  <si>
    <t>OIcreS14t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</si>
</sst>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Freezing (%) - Conditioning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Conditioning!$C$14:$J$14</c:f>
              <c:numCache>
                <c:formatCode>General</c:formatCode>
                <c:ptCount val="8"/>
                <c:pt idx="0">
                  <c:v>2.4933333333333336</c:v>
                </c:pt>
                <c:pt idx="1">
                  <c:v>7.706666666666667</c:v>
                </c:pt>
                <c:pt idx="2">
                  <c:v>5.8999999999999995</c:v>
                </c:pt>
                <c:pt idx="3">
                  <c:v>3.2383333333333333</c:v>
                </c:pt>
                <c:pt idx="4">
                  <c:v>5.2283333333333326</c:v>
                </c:pt>
                <c:pt idx="5">
                  <c:v>10.78</c:v>
                </c:pt>
                <c:pt idx="6">
                  <c:v>18.305000000000003</c:v>
                </c:pt>
                <c:pt idx="7">
                  <c:v>29.504999999999999</c:v>
                </c:pt>
              </c:numCache>
            </c:numRef>
          </c:val>
          <c:smooth val="0"/>
        </c:ser>
        <c:ser>
          <c:idx val="1"/>
          <c:order val="1"/>
          <c:tx>
            <c:v>IN-CH-Spindle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Conditioning!$C$28:$J$28</c:f>
              <c:numCache>
                <c:formatCode>General</c:formatCode>
                <c:ptCount val="8"/>
                <c:pt idx="0">
                  <c:v>2.6281818181818184</c:v>
                </c:pt>
                <c:pt idx="1">
                  <c:v>4.1618181818181821</c:v>
                </c:pt>
                <c:pt idx="2">
                  <c:v>5.2481818181818181</c:v>
                </c:pt>
                <c:pt idx="3">
                  <c:v>4.71</c:v>
                </c:pt>
                <c:pt idx="4">
                  <c:v>5.5127272727272727</c:v>
                </c:pt>
                <c:pt idx="5">
                  <c:v>9.7854545454545452</c:v>
                </c:pt>
                <c:pt idx="6">
                  <c:v>14.146363636363638</c:v>
                </c:pt>
                <c:pt idx="7">
                  <c:v>26.601818181818182</c:v>
                </c:pt>
              </c:numCache>
            </c:numRef>
          </c:val>
          <c:smooth val="0"/>
        </c:ser>
        <c:ser>
          <c:idx val="2"/>
          <c:order val="2"/>
          <c:tx>
            <c:v>IN-GFP-Spindle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Conditioning!$C$43:$J$43</c:f>
              <c:numCache>
                <c:formatCode>General</c:formatCode>
                <c:ptCount val="8"/>
                <c:pt idx="0">
                  <c:v>0</c:v>
                </c:pt>
                <c:pt idx="1">
                  <c:v>10.83</c:v>
                </c:pt>
                <c:pt idx="2">
                  <c:v>4.8</c:v>
                </c:pt>
                <c:pt idx="3">
                  <c:v>8.83</c:v>
                </c:pt>
                <c:pt idx="4">
                  <c:v>9.0399999999999991</c:v>
                </c:pt>
                <c:pt idx="5">
                  <c:v>6.7</c:v>
                </c:pt>
                <c:pt idx="6">
                  <c:v>16.850000000000001</c:v>
                </c:pt>
                <c:pt idx="7">
                  <c:v>14.99</c:v>
                </c:pt>
              </c:numCache>
            </c:numRef>
          </c:val>
          <c:smooth val="0"/>
        </c:ser>
        <c:ser>
          <c:idx val="3"/>
          <c:order val="3"/>
          <c:tx>
            <c:v>IN-GFP-20hz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Conditioning!$C$60:$J$60</c:f>
              <c:numCache>
                <c:formatCode>General</c:formatCode>
                <c:ptCount val="8"/>
                <c:pt idx="0">
                  <c:v>1.3783333333333332</c:v>
                </c:pt>
                <c:pt idx="1">
                  <c:v>7.4633333333333338</c:v>
                </c:pt>
                <c:pt idx="2">
                  <c:v>7.1833333333333336</c:v>
                </c:pt>
                <c:pt idx="3">
                  <c:v>5.9383333333333335</c:v>
                </c:pt>
                <c:pt idx="4">
                  <c:v>2.6233333333333335</c:v>
                </c:pt>
                <c:pt idx="5">
                  <c:v>14.108333333333334</c:v>
                </c:pt>
                <c:pt idx="6">
                  <c:v>16.900000000000002</c:v>
                </c:pt>
                <c:pt idx="7">
                  <c:v>18.245000000000001</c:v>
                </c:pt>
              </c:numCache>
            </c:numRef>
          </c:val>
          <c:smooth val="0"/>
        </c:ser>
        <c:ser>
          <c:idx val="4"/>
          <c:order val="4"/>
          <c:tx>
            <c:v>IN-CH-20hz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Conditioning!$C$73:$J$73</c:f>
              <c:numCache>
                <c:formatCode>General</c:formatCode>
                <c:ptCount val="8"/>
                <c:pt idx="0">
                  <c:v>1.1733333333333333</c:v>
                </c:pt>
                <c:pt idx="1">
                  <c:v>2.2716666666666669</c:v>
                </c:pt>
                <c:pt idx="2">
                  <c:v>3.7600000000000002</c:v>
                </c:pt>
                <c:pt idx="3">
                  <c:v>3.3483333333333332</c:v>
                </c:pt>
                <c:pt idx="4">
                  <c:v>4.4650000000000007</c:v>
                </c:pt>
                <c:pt idx="5">
                  <c:v>6.8883333333333328</c:v>
                </c:pt>
                <c:pt idx="6">
                  <c:v>13.620000000000003</c:v>
                </c:pt>
                <c:pt idx="7">
                  <c:v>33.026666666666664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79696"/>
        <c:axId val="104380256"/>
      </c:lineChart>
      <c:catAx>
        <c:axId val="10437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80256"/>
        <c:crosses val="autoZero"/>
        <c:auto val="1"/>
        <c:lblAlgn val="ctr"/>
        <c:lblOffset val="100"/>
        <c:noMultiLvlLbl val="0"/>
      </c:catAx>
      <c:valAx>
        <c:axId val="104380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37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Conditioning!$J$14</c:f>
              <c:numCache>
                <c:formatCode>General</c:formatCode>
                <c:ptCount val="1"/>
                <c:pt idx="0">
                  <c:v>29.504999999999999</c:v>
                </c:pt>
              </c:numCache>
            </c:numRef>
          </c:val>
        </c:ser>
        <c:ser>
          <c:idx val="1"/>
          <c:order val="1"/>
          <c:tx>
            <c:v>IN-CH-SPindle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Conditioning!$J$28</c:f>
              <c:numCache>
                <c:formatCode>General</c:formatCode>
                <c:ptCount val="1"/>
                <c:pt idx="0">
                  <c:v>26.601818181818182</c:v>
                </c:pt>
              </c:numCache>
            </c:numRef>
          </c:val>
        </c:ser>
        <c:ser>
          <c:idx val="2"/>
          <c:order val="2"/>
          <c:tx>
            <c:v>IN-CH-GFP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Conditioning!$J$43</c:f>
              <c:numCache>
                <c:formatCode>General</c:formatCode>
                <c:ptCount val="1"/>
                <c:pt idx="0">
                  <c:v>14.99</c:v>
                </c:pt>
              </c:numCache>
            </c:numRef>
          </c:val>
        </c:ser>
        <c:ser>
          <c:idx val="3"/>
          <c:order val="3"/>
          <c:tx>
            <c:v>IN-GFP-20hz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Conditioning!$J$60</c:f>
              <c:numCache>
                <c:formatCode>General</c:formatCode>
                <c:ptCount val="1"/>
                <c:pt idx="0">
                  <c:v>18.245000000000001</c:v>
                </c:pt>
              </c:numCache>
            </c:numRef>
          </c:val>
        </c:ser>
        <c:ser>
          <c:idx val="4"/>
          <c:order val="4"/>
          <c:tx>
            <c:v>IN-CH-20hz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Conditioning!$J$73</c:f>
              <c:numCache>
                <c:formatCode>General</c:formatCode>
                <c:ptCount val="1"/>
                <c:pt idx="0">
                  <c:v>33.026666666666664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56848"/>
        <c:axId val="104257408"/>
      </c:barChart>
      <c:catAx>
        <c:axId val="1042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257408"/>
        <c:crosses val="autoZero"/>
        <c:auto val="1"/>
        <c:lblAlgn val="ctr"/>
        <c:lblOffset val="100"/>
        <c:noMultiLvlLbl val="0"/>
      </c:catAx>
      <c:valAx>
        <c:axId val="10425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2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85973047835423"/>
          <c:y val="7.9032162489662328E-2"/>
          <c:w val="0.81570943948212005"/>
          <c:h val="0.81350633914761805"/>
        </c:manualLayout>
      </c:layout>
      <c:scatterChart>
        <c:scatterStyle val="lineMarker"/>
        <c:varyColors val="0"/>
        <c:ser>
          <c:idx val="3"/>
          <c:order val="0"/>
          <c:tx>
            <c:v>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Conditioning!$K$4:$K$13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xVal>
          <c:yVal>
            <c:numRef>
              <c:f>Conditioning!$J$4:$J$13</c:f>
              <c:numCache>
                <c:formatCode>General</c:formatCode>
                <c:ptCount val="10"/>
                <c:pt idx="0">
                  <c:v>19.13</c:v>
                </c:pt>
                <c:pt idx="1">
                  <c:v>41.39</c:v>
                </c:pt>
                <c:pt idx="2">
                  <c:v>25.39</c:v>
                </c:pt>
                <c:pt idx="3">
                  <c:v>40.450000000000003</c:v>
                </c:pt>
                <c:pt idx="4">
                  <c:v>32.549999999999997</c:v>
                </c:pt>
                <c:pt idx="5">
                  <c:v>18.12</c:v>
                </c:pt>
              </c:numCache>
            </c:numRef>
          </c:yVal>
          <c:smooth val="0"/>
        </c:ser>
        <c:ser>
          <c:idx val="1"/>
          <c:order val="1"/>
          <c:tx>
            <c:v>IN-CH-Spindle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Conditioning!$K$17:$K$26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xVal>
          <c:yVal>
            <c:numRef>
              <c:f>Conditioning!$J$17:$J$26</c:f>
              <c:numCache>
                <c:formatCode>General</c:formatCode>
                <c:ptCount val="10"/>
                <c:pt idx="0">
                  <c:v>18.12</c:v>
                </c:pt>
                <c:pt idx="1">
                  <c:v>3.58</c:v>
                </c:pt>
                <c:pt idx="2">
                  <c:v>32.21</c:v>
                </c:pt>
                <c:pt idx="3">
                  <c:v>56.76</c:v>
                </c:pt>
                <c:pt idx="4">
                  <c:v>11.28</c:v>
                </c:pt>
                <c:pt idx="5">
                  <c:v>17.899999999999999</c:v>
                </c:pt>
                <c:pt idx="6">
                  <c:v>9.5</c:v>
                </c:pt>
                <c:pt idx="7">
                  <c:v>53.47</c:v>
                </c:pt>
                <c:pt idx="8">
                  <c:v>40.72</c:v>
                </c:pt>
                <c:pt idx="9">
                  <c:v>22.15</c:v>
                </c:pt>
              </c:numCache>
            </c:numRef>
          </c:yVal>
          <c:smooth val="0"/>
        </c:ser>
        <c:ser>
          <c:idx val="2"/>
          <c:order val="2"/>
          <c:tx>
            <c:v>IN-GFP-SPindle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Conditioning!$K$31:$K$40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xVal>
          <c:yVal>
            <c:numRef>
              <c:f>Conditioning!$J$31:$J$40</c:f>
              <c:numCache>
                <c:formatCode>General</c:formatCode>
                <c:ptCount val="10"/>
                <c:pt idx="0">
                  <c:v>14.99</c:v>
                </c:pt>
              </c:numCache>
            </c:numRef>
          </c:yVal>
          <c:smooth val="0"/>
        </c:ser>
        <c:ser>
          <c:idx val="0"/>
          <c:order val="3"/>
          <c:tx>
            <c:v>IN-GFP-20hz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Conditioning!$K$52:$K$58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xVal>
          <c:yVal>
            <c:numRef>
              <c:f>Conditioning!$J$52:$J$69</c:f>
              <c:numCache>
                <c:formatCode>General</c:formatCode>
                <c:ptCount val="18"/>
                <c:pt idx="0">
                  <c:v>31.43</c:v>
                </c:pt>
                <c:pt idx="1">
                  <c:v>16.59</c:v>
                </c:pt>
                <c:pt idx="2">
                  <c:v>15.08</c:v>
                </c:pt>
                <c:pt idx="3">
                  <c:v>20.89</c:v>
                </c:pt>
                <c:pt idx="4">
                  <c:v>8.61</c:v>
                </c:pt>
                <c:pt idx="5">
                  <c:v>16.87</c:v>
                </c:pt>
                <c:pt idx="8">
                  <c:v>18.245000000000001</c:v>
                </c:pt>
                <c:pt idx="12">
                  <c:v>38.26</c:v>
                </c:pt>
                <c:pt idx="13">
                  <c:v>48.55</c:v>
                </c:pt>
                <c:pt idx="14">
                  <c:v>33.89</c:v>
                </c:pt>
                <c:pt idx="15">
                  <c:v>32.74</c:v>
                </c:pt>
                <c:pt idx="16">
                  <c:v>20.89</c:v>
                </c:pt>
                <c:pt idx="17">
                  <c:v>23.83</c:v>
                </c:pt>
              </c:numCache>
            </c:numRef>
          </c:yVal>
          <c:smooth val="0"/>
        </c:ser>
        <c:ser>
          <c:idx val="4"/>
          <c:order val="4"/>
          <c:tx>
            <c:v>IN-CH-20hz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Conditioning!$K$64:$K$70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xVal>
          <c:yVal>
            <c:numRef>
              <c:f>Conditioning!$J$64:$J$69</c:f>
              <c:numCache>
                <c:formatCode>General</c:formatCode>
                <c:ptCount val="6"/>
                <c:pt idx="0">
                  <c:v>38.26</c:v>
                </c:pt>
                <c:pt idx="1">
                  <c:v>48.55</c:v>
                </c:pt>
                <c:pt idx="2">
                  <c:v>33.89</c:v>
                </c:pt>
                <c:pt idx="3">
                  <c:v>32.74</c:v>
                </c:pt>
                <c:pt idx="4">
                  <c:v>20.89</c:v>
                </c:pt>
                <c:pt idx="5">
                  <c:v>23.83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62448"/>
        <c:axId val="104263008"/>
      </c:scatterChart>
      <c:valAx>
        <c:axId val="10426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263008"/>
        <c:crosses val="autoZero"/>
        <c:crossBetween val="midCat"/>
      </c:valAx>
      <c:valAx>
        <c:axId val="10426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262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Freezing (%) - Context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Context!$C$14:$J$14</c:f>
              <c:numCache>
                <c:formatCode>General</c:formatCode>
                <c:ptCount val="8"/>
                <c:pt idx="0">
                  <c:v>18.270000000000003</c:v>
                </c:pt>
                <c:pt idx="1">
                  <c:v>25.078333333333333</c:v>
                </c:pt>
                <c:pt idx="2">
                  <c:v>25.268333333333334</c:v>
                </c:pt>
                <c:pt idx="3">
                  <c:v>25.084999999999997</c:v>
                </c:pt>
                <c:pt idx="4">
                  <c:v>19.508333333333333</c:v>
                </c:pt>
                <c:pt idx="5">
                  <c:v>21.545000000000002</c:v>
                </c:pt>
                <c:pt idx="6">
                  <c:v>20.751666666666669</c:v>
                </c:pt>
                <c:pt idx="7">
                  <c:v>17.358333333333334</c:v>
                </c:pt>
              </c:numCache>
            </c:numRef>
          </c:val>
          <c:smooth val="0"/>
        </c:ser>
        <c:ser>
          <c:idx val="1"/>
          <c:order val="1"/>
          <c:tx>
            <c:v>IN-CH-Spindle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Context!$C$28:$J$28</c:f>
              <c:numCache>
                <c:formatCode>General</c:formatCode>
                <c:ptCount val="8"/>
                <c:pt idx="0">
                  <c:v>16.266666666666666</c:v>
                </c:pt>
                <c:pt idx="1">
                  <c:v>29.751111111111111</c:v>
                </c:pt>
                <c:pt idx="2">
                  <c:v>25.071111111111112</c:v>
                </c:pt>
                <c:pt idx="3">
                  <c:v>24.377777777777776</c:v>
                </c:pt>
                <c:pt idx="4">
                  <c:v>26.213333333333331</c:v>
                </c:pt>
                <c:pt idx="5">
                  <c:v>22.185555555555553</c:v>
                </c:pt>
                <c:pt idx="6">
                  <c:v>18.97666666666667</c:v>
                </c:pt>
                <c:pt idx="7">
                  <c:v>20.53</c:v>
                </c:pt>
              </c:numCache>
            </c:numRef>
          </c:val>
          <c:smooth val="0"/>
        </c:ser>
        <c:ser>
          <c:idx val="2"/>
          <c:order val="2"/>
          <c:tx>
            <c:v>IN-GFP-Spindle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Context!$C$43:$J$43</c:f>
              <c:numCache>
                <c:formatCode>General</c:formatCode>
                <c:ptCount val="8"/>
                <c:pt idx="0">
                  <c:v>10.6</c:v>
                </c:pt>
                <c:pt idx="1">
                  <c:v>7.71</c:v>
                </c:pt>
                <c:pt idx="2">
                  <c:v>10.6</c:v>
                </c:pt>
                <c:pt idx="3">
                  <c:v>10.39</c:v>
                </c:pt>
                <c:pt idx="4">
                  <c:v>15.4</c:v>
                </c:pt>
                <c:pt idx="5">
                  <c:v>7.71</c:v>
                </c:pt>
                <c:pt idx="6">
                  <c:v>7.7</c:v>
                </c:pt>
                <c:pt idx="7">
                  <c:v>20.92</c:v>
                </c:pt>
              </c:numCache>
            </c:numRef>
          </c:val>
          <c:smooth val="0"/>
        </c:ser>
        <c:ser>
          <c:idx val="3"/>
          <c:order val="3"/>
          <c:tx>
            <c:v>IN-GFP-20hz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Context!$C$60:$J$60</c:f>
              <c:numCache>
                <c:formatCode>General</c:formatCode>
                <c:ptCount val="8"/>
                <c:pt idx="0">
                  <c:v>6.5483333333333329</c:v>
                </c:pt>
                <c:pt idx="1">
                  <c:v>14.234999999999998</c:v>
                </c:pt>
                <c:pt idx="2">
                  <c:v>24.771666666666665</c:v>
                </c:pt>
                <c:pt idx="3">
                  <c:v>20.28</c:v>
                </c:pt>
                <c:pt idx="4">
                  <c:v>13.386666666666668</c:v>
                </c:pt>
                <c:pt idx="5">
                  <c:v>18.16</c:v>
                </c:pt>
                <c:pt idx="6">
                  <c:v>13.331666666666665</c:v>
                </c:pt>
                <c:pt idx="7">
                  <c:v>12.479999999999999</c:v>
                </c:pt>
              </c:numCache>
            </c:numRef>
          </c:val>
          <c:smooth val="0"/>
        </c:ser>
        <c:ser>
          <c:idx val="4"/>
          <c:order val="4"/>
          <c:tx>
            <c:v>IN-CH-20hz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Context!$C$71:$J$71</c:f>
              <c:numCache>
                <c:formatCode>General</c:formatCode>
                <c:ptCount val="8"/>
                <c:pt idx="0">
                  <c:v>7.1049999999999995</c:v>
                </c:pt>
                <c:pt idx="1">
                  <c:v>19.933333333333334</c:v>
                </c:pt>
                <c:pt idx="2">
                  <c:v>29.844999999999999</c:v>
                </c:pt>
                <c:pt idx="3">
                  <c:v>27.051666666666666</c:v>
                </c:pt>
                <c:pt idx="4">
                  <c:v>23.033333333333335</c:v>
                </c:pt>
                <c:pt idx="5">
                  <c:v>23.76166666666667</c:v>
                </c:pt>
                <c:pt idx="6">
                  <c:v>22.636666666666667</c:v>
                </c:pt>
                <c:pt idx="7">
                  <c:v>20.056666666666668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233600"/>
        <c:axId val="104234160"/>
      </c:lineChart>
      <c:catAx>
        <c:axId val="10423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234160"/>
        <c:crosses val="autoZero"/>
        <c:auto val="1"/>
        <c:lblAlgn val="ctr"/>
        <c:lblOffset val="100"/>
        <c:noMultiLvlLbl val="0"/>
      </c:catAx>
      <c:valAx>
        <c:axId val="104234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23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85973047835423"/>
          <c:y val="7.9032162489662328E-2"/>
          <c:w val="0.81570943948212005"/>
          <c:h val="0.81350633914761805"/>
        </c:manualLayout>
      </c:layout>
      <c:scatterChart>
        <c:scatterStyle val="lineMarker"/>
        <c:varyColors val="0"/>
        <c:ser>
          <c:idx val="3"/>
          <c:order val="0"/>
          <c:tx>
            <c:v>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Context!$L$4:$L$13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xVal>
          <c:yVal>
            <c:numRef>
              <c:f>Context!$K$4:$K$13</c:f>
              <c:numCache>
                <c:formatCode>General</c:formatCode>
                <c:ptCount val="10"/>
                <c:pt idx="0">
                  <c:v>29.927500000000002</c:v>
                </c:pt>
                <c:pt idx="1">
                  <c:v>22.134999999999998</c:v>
                </c:pt>
                <c:pt idx="2">
                  <c:v>25.0975</c:v>
                </c:pt>
                <c:pt idx="3">
                  <c:v>16.86</c:v>
                </c:pt>
                <c:pt idx="4">
                  <c:v>21.9725</c:v>
                </c:pt>
                <c:pt idx="5">
                  <c:v>24.56</c:v>
                </c:pt>
              </c:numCache>
            </c:numRef>
          </c:yVal>
          <c:smooth val="0"/>
        </c:ser>
        <c:ser>
          <c:idx val="1"/>
          <c:order val="1"/>
          <c:tx>
            <c:v>IN-CH-Spindle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Context!$L$19:$L$26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xVal>
          <c:yVal>
            <c:numRef>
              <c:f>Context!$K$17:$K$26</c:f>
              <c:numCache>
                <c:formatCode>General</c:formatCode>
                <c:ptCount val="10"/>
                <c:pt idx="0">
                  <c:v>26.297499999999999</c:v>
                </c:pt>
                <c:pt idx="1">
                  <c:v>11.442500000000001</c:v>
                </c:pt>
                <c:pt idx="2">
                  <c:v>37.49</c:v>
                </c:pt>
                <c:pt idx="3">
                  <c:v>14.432500000000001</c:v>
                </c:pt>
                <c:pt idx="4">
                  <c:v>16.829999999999998</c:v>
                </c:pt>
                <c:pt idx="5">
                  <c:v>24.737500000000001</c:v>
                </c:pt>
                <c:pt idx="6">
                  <c:v>30.2925</c:v>
                </c:pt>
                <c:pt idx="7">
                  <c:v>24.21</c:v>
                </c:pt>
              </c:numCache>
            </c:numRef>
          </c:yVal>
          <c:smooth val="0"/>
        </c:ser>
        <c:ser>
          <c:idx val="2"/>
          <c:order val="2"/>
          <c:tx>
            <c:v>IN-GFP-Spindle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Context!$L$31:$L$40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xVal>
          <c:yVal>
            <c:numRef>
              <c:f>Context!$K$31:$K$40</c:f>
              <c:numCache>
                <c:formatCode>General</c:formatCode>
                <c:ptCount val="10"/>
                <c:pt idx="0">
                  <c:v>9.8249999999999993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</c:ser>
        <c:ser>
          <c:idx val="0"/>
          <c:order val="3"/>
          <c:tx>
            <c:v>IN-GFP-20hz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Context!$L$52:$L$58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xVal>
          <c:yVal>
            <c:numRef>
              <c:f>Context!$K$52:$K$58</c:f>
              <c:numCache>
                <c:formatCode>General</c:formatCode>
                <c:ptCount val="7"/>
                <c:pt idx="0">
                  <c:v>11.97</c:v>
                </c:pt>
                <c:pt idx="1">
                  <c:v>41.167500000000004</c:v>
                </c:pt>
                <c:pt idx="2">
                  <c:v>21.774999999999999</c:v>
                </c:pt>
                <c:pt idx="3">
                  <c:v>7.9824999999999999</c:v>
                </c:pt>
                <c:pt idx="4">
                  <c:v>5.6124999999999989</c:v>
                </c:pt>
                <c:pt idx="5">
                  <c:v>10.244999999999999</c:v>
                </c:pt>
              </c:numCache>
            </c:numRef>
          </c:yVal>
          <c:smooth val="0"/>
        </c:ser>
        <c:ser>
          <c:idx val="4"/>
          <c:order val="4"/>
          <c:tx>
            <c:v>IN-CH-20hz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Context!$L$64:$L$70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xVal>
          <c:yVal>
            <c:numRef>
              <c:f>Context!$K$64:$K$70</c:f>
              <c:numCache>
                <c:formatCode>General</c:formatCode>
                <c:ptCount val="7"/>
                <c:pt idx="0">
                  <c:v>21.355</c:v>
                </c:pt>
                <c:pt idx="1">
                  <c:v>50.362499999999997</c:v>
                </c:pt>
                <c:pt idx="2">
                  <c:v>9.0425000000000004</c:v>
                </c:pt>
                <c:pt idx="3">
                  <c:v>10.467500000000001</c:v>
                </c:pt>
                <c:pt idx="4">
                  <c:v>13.262499999999999</c:v>
                </c:pt>
                <c:pt idx="5">
                  <c:v>21.412500000000001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70208"/>
        <c:axId val="205670768"/>
      </c:scatterChart>
      <c:valAx>
        <c:axId val="20567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670768"/>
        <c:crosses val="autoZero"/>
        <c:crossBetween val="midCat"/>
      </c:valAx>
      <c:valAx>
        <c:axId val="20567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67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Freezing</a:t>
            </a:r>
            <a:r>
              <a:rPr lang="en-US" altLang="ko-KR" baseline="0"/>
              <a:t> (%) - Tone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Tone!$C$14:$J$14</c:f>
              <c:numCache>
                <c:formatCode>General</c:formatCode>
                <c:ptCount val="8"/>
                <c:pt idx="0">
                  <c:v>1.7316666666666667</c:v>
                </c:pt>
                <c:pt idx="1">
                  <c:v>1.4883333333333333</c:v>
                </c:pt>
                <c:pt idx="2">
                  <c:v>3.7033333333333331</c:v>
                </c:pt>
                <c:pt idx="3">
                  <c:v>12.881666666666666</c:v>
                </c:pt>
                <c:pt idx="4">
                  <c:v>3.9833333333333329</c:v>
                </c:pt>
                <c:pt idx="5">
                  <c:v>12.215000000000002</c:v>
                </c:pt>
                <c:pt idx="6">
                  <c:v>6.222500000000001</c:v>
                </c:pt>
                <c:pt idx="7">
                  <c:v>12.627500000000001</c:v>
                </c:pt>
              </c:numCache>
            </c:numRef>
          </c:val>
          <c:smooth val="0"/>
        </c:ser>
        <c:ser>
          <c:idx val="1"/>
          <c:order val="1"/>
          <c:tx>
            <c:v>IN-CH-Spindle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Tone!$C$28:$J$28</c:f>
              <c:numCache>
                <c:formatCode>General</c:formatCode>
                <c:ptCount val="8"/>
                <c:pt idx="0">
                  <c:v>3.4518181818181826</c:v>
                </c:pt>
                <c:pt idx="1">
                  <c:v>2.4754545454545456</c:v>
                </c:pt>
                <c:pt idx="2">
                  <c:v>2.6909090909090909</c:v>
                </c:pt>
                <c:pt idx="3">
                  <c:v>21.646363636363635</c:v>
                </c:pt>
                <c:pt idx="4">
                  <c:v>4.245454545454546</c:v>
                </c:pt>
                <c:pt idx="5">
                  <c:v>14.983636363636366</c:v>
                </c:pt>
                <c:pt idx="6">
                  <c:v>6.5611111111111109</c:v>
                </c:pt>
                <c:pt idx="7">
                  <c:v>8.8977777777777778</c:v>
                </c:pt>
              </c:numCache>
            </c:numRef>
          </c:val>
          <c:smooth val="0"/>
        </c:ser>
        <c:ser>
          <c:idx val="2"/>
          <c:order val="2"/>
          <c:tx>
            <c:v>IN-GFP-Spindle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Tone!$C$43:$J$43</c:f>
              <c:numCache>
                <c:formatCode>General</c:formatCode>
                <c:ptCount val="8"/>
                <c:pt idx="0">
                  <c:v>2.16</c:v>
                </c:pt>
                <c:pt idx="1">
                  <c:v>9.39</c:v>
                </c:pt>
                <c:pt idx="2">
                  <c:v>0.11</c:v>
                </c:pt>
                <c:pt idx="3">
                  <c:v>10.38</c:v>
                </c:pt>
                <c:pt idx="4">
                  <c:v>19.309999999999999</c:v>
                </c:pt>
                <c:pt idx="5">
                  <c:v>4.58</c:v>
                </c:pt>
                <c:pt idx="6">
                  <c:v>7.72</c:v>
                </c:pt>
                <c:pt idx="7">
                  <c:v>7.72</c:v>
                </c:pt>
              </c:numCache>
            </c:numRef>
          </c:val>
          <c:smooth val="0"/>
        </c:ser>
        <c:ser>
          <c:idx val="3"/>
          <c:order val="3"/>
          <c:tx>
            <c:v>IN-GFP-20hz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Tone!$C$55:$J$55</c:f>
              <c:numCache>
                <c:formatCode>General</c:formatCode>
                <c:ptCount val="8"/>
                <c:pt idx="0">
                  <c:v>0.16833333333333333</c:v>
                </c:pt>
                <c:pt idx="1">
                  <c:v>2.2883333333333336</c:v>
                </c:pt>
                <c:pt idx="2">
                  <c:v>2.2150000000000003</c:v>
                </c:pt>
                <c:pt idx="3">
                  <c:v>22.155000000000001</c:v>
                </c:pt>
                <c:pt idx="4">
                  <c:v>1.4333333333333336</c:v>
                </c:pt>
                <c:pt idx="5">
                  <c:v>14.571666666666667</c:v>
                </c:pt>
                <c:pt idx="6">
                  <c:v>7.1383333333333328</c:v>
                </c:pt>
                <c:pt idx="7">
                  <c:v>7.1383333333333328</c:v>
                </c:pt>
              </c:numCache>
            </c:numRef>
          </c:val>
          <c:smooth val="0"/>
        </c:ser>
        <c:ser>
          <c:idx val="4"/>
          <c:order val="4"/>
          <c:tx>
            <c:v>IN-CH-20hz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Tone!$C$67:$J$67</c:f>
              <c:numCache>
                <c:formatCode>General</c:formatCode>
                <c:ptCount val="8"/>
                <c:pt idx="0">
                  <c:v>0.33499999999999996</c:v>
                </c:pt>
                <c:pt idx="1">
                  <c:v>2.4166666666666665</c:v>
                </c:pt>
                <c:pt idx="2">
                  <c:v>0.59500000000000008</c:v>
                </c:pt>
                <c:pt idx="3">
                  <c:v>17.096666666666668</c:v>
                </c:pt>
                <c:pt idx="4">
                  <c:v>1.8983333333333334</c:v>
                </c:pt>
                <c:pt idx="5">
                  <c:v>14.288333333333334</c:v>
                </c:pt>
                <c:pt idx="6">
                  <c:v>6.1066666666666665</c:v>
                </c:pt>
                <c:pt idx="7">
                  <c:v>6.1066666666666665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675808"/>
        <c:axId val="205865792"/>
      </c:lineChart>
      <c:catAx>
        <c:axId val="20567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865792"/>
        <c:crosses val="autoZero"/>
        <c:auto val="1"/>
        <c:lblAlgn val="ctr"/>
        <c:lblOffset val="100"/>
        <c:noMultiLvlLbl val="0"/>
      </c:catAx>
      <c:valAx>
        <c:axId val="205865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67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Freezing</a:t>
            </a:r>
            <a:r>
              <a:rPr lang="en-US" altLang="ko-KR" baseline="0"/>
              <a:t> (%) - Tone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2255301207641365E-2"/>
          <c:y val="0.21282151088454879"/>
          <c:w val="0.90712053324945541"/>
          <c:h val="0.72326529698923181"/>
        </c:manualLayout>
      </c:layout>
      <c:lineChart>
        <c:grouping val="standard"/>
        <c:varyColors val="0"/>
        <c:ser>
          <c:idx val="0"/>
          <c:order val="0"/>
          <c:tx>
            <c:v>NO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'Tone 30s2'!$C$14:$R$14</c:f>
              <c:numCache>
                <c:formatCode>General</c:formatCode>
                <c:ptCount val="16"/>
                <c:pt idx="0">
                  <c:v>0.86999999999999988</c:v>
                </c:pt>
                <c:pt idx="1">
                  <c:v>0.82699999999999996</c:v>
                </c:pt>
                <c:pt idx="2">
                  <c:v>2.2570000000000001</c:v>
                </c:pt>
                <c:pt idx="3">
                  <c:v>1.25</c:v>
                </c:pt>
                <c:pt idx="4">
                  <c:v>2.1880000000000002</c:v>
                </c:pt>
                <c:pt idx="5">
                  <c:v>3.4159999999999995</c:v>
                </c:pt>
                <c:pt idx="6">
                  <c:v>27.97</c:v>
                </c:pt>
                <c:pt idx="7">
                  <c:v>19.285</c:v>
                </c:pt>
                <c:pt idx="8">
                  <c:v>4.8460000000000001</c:v>
                </c:pt>
                <c:pt idx="9">
                  <c:v>6.5439999999999996</c:v>
                </c:pt>
                <c:pt idx="10">
                  <c:v>3.66</c:v>
                </c:pt>
                <c:pt idx="11">
                  <c:v>33.231249999999996</c:v>
                </c:pt>
                <c:pt idx="12">
                  <c:v>15.15625</c:v>
                </c:pt>
                <c:pt idx="13">
                  <c:v>2.9337499999999999</c:v>
                </c:pt>
                <c:pt idx="14">
                  <c:v>5.75</c:v>
                </c:pt>
                <c:pt idx="15">
                  <c:v>9.5374999999999996</c:v>
                </c:pt>
              </c:numCache>
            </c:numRef>
          </c:val>
          <c:smooth val="0"/>
        </c:ser>
        <c:ser>
          <c:idx val="1"/>
          <c:order val="1"/>
          <c:tx>
            <c:v>IN-CH-Spindle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'Tone 30s2'!$C$28:$R$28</c:f>
              <c:numCache>
                <c:formatCode>General</c:formatCode>
                <c:ptCount val="16"/>
                <c:pt idx="0">
                  <c:v>4.8290909090909082</c:v>
                </c:pt>
                <c:pt idx="1">
                  <c:v>5.2618181818181817</c:v>
                </c:pt>
                <c:pt idx="2">
                  <c:v>2.76</c:v>
                </c:pt>
                <c:pt idx="3">
                  <c:v>2.9009090909090904</c:v>
                </c:pt>
                <c:pt idx="4">
                  <c:v>4.3245454545454551</c:v>
                </c:pt>
                <c:pt idx="5">
                  <c:v>3.4972727272727271</c:v>
                </c:pt>
                <c:pt idx="6">
                  <c:v>30.928181818181812</c:v>
                </c:pt>
                <c:pt idx="7">
                  <c:v>18.29</c:v>
                </c:pt>
                <c:pt idx="8">
                  <c:v>7.4109090909090902</c:v>
                </c:pt>
                <c:pt idx="9">
                  <c:v>4.7118181818181819</c:v>
                </c:pt>
                <c:pt idx="10">
                  <c:v>12.078181818181816</c:v>
                </c:pt>
                <c:pt idx="11">
                  <c:v>26.521111111111111</c:v>
                </c:pt>
                <c:pt idx="12">
                  <c:v>8.7700000000000014</c:v>
                </c:pt>
                <c:pt idx="13">
                  <c:v>7.9788888888888874</c:v>
                </c:pt>
                <c:pt idx="14">
                  <c:v>14.39777777777778</c:v>
                </c:pt>
                <c:pt idx="15">
                  <c:v>9.5322222222222219</c:v>
                </c:pt>
              </c:numCache>
            </c:numRef>
          </c:val>
          <c:smooth val="0"/>
        </c:ser>
        <c:ser>
          <c:idx val="2"/>
          <c:order val="2"/>
          <c:tx>
            <c:v>IN-GFP-Spindle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'Tone 30s2'!$C$43:$R$43</c:f>
              <c:numCache>
                <c:formatCode>General</c:formatCode>
                <c:ptCount val="16"/>
                <c:pt idx="0">
                  <c:v>0</c:v>
                </c:pt>
                <c:pt idx="1">
                  <c:v>4.0199999999999996</c:v>
                </c:pt>
                <c:pt idx="2">
                  <c:v>4.03</c:v>
                </c:pt>
                <c:pt idx="3">
                  <c:v>14.73</c:v>
                </c:pt>
                <c:pt idx="4">
                  <c:v>0</c:v>
                </c:pt>
                <c:pt idx="5">
                  <c:v>0.22</c:v>
                </c:pt>
                <c:pt idx="6">
                  <c:v>18.3</c:v>
                </c:pt>
                <c:pt idx="7">
                  <c:v>2.46</c:v>
                </c:pt>
                <c:pt idx="8">
                  <c:v>12.5</c:v>
                </c:pt>
                <c:pt idx="9">
                  <c:v>26.12</c:v>
                </c:pt>
                <c:pt idx="10">
                  <c:v>4.91</c:v>
                </c:pt>
                <c:pt idx="11">
                  <c:v>4.25</c:v>
                </c:pt>
                <c:pt idx="12">
                  <c:v>7.72</c:v>
                </c:pt>
                <c:pt idx="13">
                  <c:v>7.72</c:v>
                </c:pt>
                <c:pt idx="14">
                  <c:v>7.72</c:v>
                </c:pt>
                <c:pt idx="15">
                  <c:v>7.72</c:v>
                </c:pt>
              </c:numCache>
            </c:numRef>
          </c:val>
          <c:smooth val="0"/>
        </c:ser>
        <c:ser>
          <c:idx val="3"/>
          <c:order val="3"/>
          <c:tx>
            <c:v>IN-GFP-20hz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'Tone 30s2'!$C$55:$R$55</c:f>
              <c:numCache>
                <c:formatCode>General</c:formatCode>
                <c:ptCount val="16"/>
                <c:pt idx="0">
                  <c:v>0</c:v>
                </c:pt>
                <c:pt idx="1">
                  <c:v>0.40199999999999997</c:v>
                </c:pt>
                <c:pt idx="2">
                  <c:v>2.1419999999999999</c:v>
                </c:pt>
                <c:pt idx="3">
                  <c:v>3.3480000000000003</c:v>
                </c:pt>
                <c:pt idx="4">
                  <c:v>3.3920000000000003</c:v>
                </c:pt>
                <c:pt idx="5">
                  <c:v>1.9240000000000002</c:v>
                </c:pt>
                <c:pt idx="6">
                  <c:v>32.410000000000004</c:v>
                </c:pt>
                <c:pt idx="7">
                  <c:v>6.9640000000000004</c:v>
                </c:pt>
                <c:pt idx="8">
                  <c:v>2.722</c:v>
                </c:pt>
                <c:pt idx="9">
                  <c:v>0.71599999999999997</c:v>
                </c:pt>
                <c:pt idx="10">
                  <c:v>3.972</c:v>
                </c:pt>
                <c:pt idx="11">
                  <c:v>23.897999999999996</c:v>
                </c:pt>
                <c:pt idx="12">
                  <c:v>6.82</c:v>
                </c:pt>
                <c:pt idx="13">
                  <c:v>6.82</c:v>
                </c:pt>
                <c:pt idx="14">
                  <c:v>6.82</c:v>
                </c:pt>
                <c:pt idx="15">
                  <c:v>6.82</c:v>
                </c:pt>
              </c:numCache>
            </c:numRef>
          </c:val>
          <c:smooth val="0"/>
        </c:ser>
        <c:ser>
          <c:idx val="4"/>
          <c:order val="4"/>
          <c:tx>
            <c:v>IN-CH-20hz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'Tone 30s2'!$C$67:$R$67</c:f>
              <c:numCache>
                <c:formatCode>General</c:formatCode>
                <c:ptCount val="16"/>
                <c:pt idx="0">
                  <c:v>0</c:v>
                </c:pt>
                <c:pt idx="1">
                  <c:v>0.28714285714285709</c:v>
                </c:pt>
                <c:pt idx="2">
                  <c:v>2.36</c:v>
                </c:pt>
                <c:pt idx="3">
                  <c:v>1.6585714285714286</c:v>
                </c:pt>
                <c:pt idx="4">
                  <c:v>0</c:v>
                </c:pt>
                <c:pt idx="5">
                  <c:v>0.70285714285714285</c:v>
                </c:pt>
                <c:pt idx="6">
                  <c:v>32.111428571428576</c:v>
                </c:pt>
                <c:pt idx="7">
                  <c:v>7.0485714285714289</c:v>
                </c:pt>
                <c:pt idx="8">
                  <c:v>1.53</c:v>
                </c:pt>
                <c:pt idx="9">
                  <c:v>1.4671428571428571</c:v>
                </c:pt>
                <c:pt idx="10">
                  <c:v>1.5628571428571429</c:v>
                </c:pt>
                <c:pt idx="11">
                  <c:v>28.058571428571433</c:v>
                </c:pt>
                <c:pt idx="12">
                  <c:v>6.3971428571428577</c:v>
                </c:pt>
                <c:pt idx="13">
                  <c:v>6.3971428571428577</c:v>
                </c:pt>
                <c:pt idx="14">
                  <c:v>6.3971428571428577</c:v>
                </c:pt>
                <c:pt idx="15">
                  <c:v>6.3971428571428577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70832"/>
        <c:axId val="205871392"/>
      </c:lineChart>
      <c:catAx>
        <c:axId val="20587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871392"/>
        <c:crosses val="autoZero"/>
        <c:auto val="1"/>
        <c:lblAlgn val="ctr"/>
        <c:lblOffset val="100"/>
        <c:noMultiLvlLbl val="0"/>
      </c:catAx>
      <c:valAx>
        <c:axId val="205871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87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3</xdr:row>
      <xdr:rowOff>157162</xdr:rowOff>
    </xdr:from>
    <xdr:to>
      <xdr:col>17</xdr:col>
      <xdr:colOff>647700</xdr:colOff>
      <xdr:row>16</xdr:row>
      <xdr:rowOff>176212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157162</xdr:colOff>
      <xdr:row>19</xdr:row>
      <xdr:rowOff>61912</xdr:rowOff>
    </xdr:from>
    <xdr:to>
      <xdr:col>17</xdr:col>
      <xdr:colOff>614362</xdr:colOff>
      <xdr:row>32</xdr:row>
      <xdr:rowOff>80962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342900</xdr:colOff>
      <xdr:row>32</xdr:row>
      <xdr:rowOff>190500</xdr:rowOff>
    </xdr:from>
    <xdr:to>
      <xdr:col>15</xdr:col>
      <xdr:colOff>9525</xdr:colOff>
      <xdr:row>44</xdr:row>
      <xdr:rowOff>4762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676275</xdr:colOff>
      <xdr:row>1</xdr:row>
      <xdr:rowOff>109537</xdr:rowOff>
    </xdr:from>
    <xdr:to>
      <xdr:col>21</xdr:col>
      <xdr:colOff>447675</xdr:colOff>
      <xdr:row>14</xdr:row>
      <xdr:rowOff>128587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657225</xdr:colOff>
      <xdr:row>16</xdr:row>
      <xdr:rowOff>95250</xdr:rowOff>
    </xdr:from>
    <xdr:to>
      <xdr:col>18</xdr:col>
      <xdr:colOff>323850</xdr:colOff>
      <xdr:row>27</xdr:row>
      <xdr:rowOff>119062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571498</xdr:colOff>
      <xdr:row>3</xdr:row>
      <xdr:rowOff>176212</xdr:rowOff>
    </xdr:from>
    <xdr:to>
      <xdr:col>17</xdr:col>
      <xdr:colOff>552450</xdr:colOff>
      <xdr:row>22</xdr:row>
      <xdr:rowOff>38100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628648</xdr:colOff>
      <xdr:row>14</xdr:row>
      <xdr:rowOff>157162</xdr:rowOff>
    </xdr:from>
    <xdr:to>
      <xdr:col>19</xdr:col>
      <xdr:colOff>609600</xdr:colOff>
      <xdr:row>33</xdr:row>
      <xdr:rowOff>19050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E44" workbookViewId="0">
      <selection activeCell="M68" sqref="M68"/>
    </sheetView>
  </sheetViews>
  <sheetFormatPr defaultRowHeight="16.5" x14ac:dyDescent="0.3"/>
  <cols>
    <col min="2" max="2" width="11.5" customWidth="1"/>
  </cols>
  <sheetData>
    <row r="1" spans="1:11" x14ac:dyDescent="0.3">
      <c r="A1" s="1" t="s">
        <v>0</v>
      </c>
      <c r="C1" s="1"/>
      <c r="D1" s="1"/>
      <c r="E1" s="1"/>
      <c r="F1" s="1"/>
      <c r="G1" s="1"/>
      <c r="H1" s="1"/>
      <c r="I1" s="1"/>
      <c r="J1" s="1"/>
    </row>
    <row r="2" spans="1:11" x14ac:dyDescent="0.3">
      <c r="A2" s="1" t="s">
        <v>1</v>
      </c>
      <c r="C2" s="1">
        <v>0</v>
      </c>
      <c r="D2" s="1">
        <v>60</v>
      </c>
      <c r="E2" s="1">
        <v>120</v>
      </c>
      <c r="F2" s="1">
        <v>180</v>
      </c>
      <c r="G2" s="1">
        <v>240</v>
      </c>
      <c r="H2" s="1">
        <v>300</v>
      </c>
      <c r="I2" s="1">
        <v>360</v>
      </c>
      <c r="J2" s="1">
        <v>420</v>
      </c>
    </row>
    <row r="3" spans="1:11" x14ac:dyDescent="0.3">
      <c r="A3" t="s">
        <v>2</v>
      </c>
      <c r="C3">
        <v>60</v>
      </c>
      <c r="D3">
        <v>60</v>
      </c>
      <c r="E3">
        <v>60</v>
      </c>
      <c r="F3">
        <v>60</v>
      </c>
      <c r="G3">
        <v>60</v>
      </c>
      <c r="H3">
        <v>60</v>
      </c>
      <c r="I3">
        <v>60</v>
      </c>
      <c r="J3">
        <v>60</v>
      </c>
    </row>
    <row r="4" spans="1:11" x14ac:dyDescent="0.3">
      <c r="A4" s="3"/>
      <c r="B4" s="1" t="s">
        <v>4</v>
      </c>
      <c r="C4" s="1">
        <v>1.9</v>
      </c>
      <c r="D4" s="1">
        <v>3.36</v>
      </c>
      <c r="E4" s="1">
        <v>3.57</v>
      </c>
      <c r="F4" s="1">
        <v>1.23</v>
      </c>
      <c r="G4" s="1">
        <v>5.25</v>
      </c>
      <c r="H4" s="1">
        <v>10.17</v>
      </c>
      <c r="I4" s="1">
        <v>20.87</v>
      </c>
      <c r="J4" s="1">
        <v>19.13</v>
      </c>
      <c r="K4" s="1">
        <v>1</v>
      </c>
    </row>
    <row r="5" spans="1:11" x14ac:dyDescent="0.3">
      <c r="B5" s="1" t="s">
        <v>5</v>
      </c>
      <c r="C5" s="1">
        <v>7.59</v>
      </c>
      <c r="D5" s="1">
        <v>12.74</v>
      </c>
      <c r="E5" s="1">
        <v>5.25</v>
      </c>
      <c r="F5" s="1">
        <v>7.71</v>
      </c>
      <c r="G5" s="1">
        <v>9.49</v>
      </c>
      <c r="H5" s="1">
        <v>20.45</v>
      </c>
      <c r="I5" s="1">
        <v>18.97</v>
      </c>
      <c r="J5" s="1">
        <v>41.39</v>
      </c>
      <c r="K5" s="1">
        <v>1</v>
      </c>
    </row>
    <row r="6" spans="1:11" x14ac:dyDescent="0.3">
      <c r="A6" s="2"/>
      <c r="B6" s="1" t="s">
        <v>8</v>
      </c>
      <c r="C6" s="1">
        <v>2.12</v>
      </c>
      <c r="D6" s="1">
        <v>11.5</v>
      </c>
      <c r="E6" s="1">
        <v>10.95</v>
      </c>
      <c r="F6" s="1">
        <v>3.12</v>
      </c>
      <c r="G6" s="1">
        <v>1.67</v>
      </c>
      <c r="H6" s="1">
        <v>1.23</v>
      </c>
      <c r="I6" s="1">
        <v>13.06</v>
      </c>
      <c r="J6" s="1">
        <v>25.39</v>
      </c>
      <c r="K6" s="1">
        <v>1</v>
      </c>
    </row>
    <row r="7" spans="1:11" x14ac:dyDescent="0.3">
      <c r="B7" s="1" t="s">
        <v>9</v>
      </c>
      <c r="C7" s="1">
        <v>2.23</v>
      </c>
      <c r="D7" s="1">
        <v>12.28</v>
      </c>
      <c r="E7" s="1">
        <v>4.13</v>
      </c>
      <c r="F7" s="1">
        <v>1.56</v>
      </c>
      <c r="G7" s="1">
        <v>5.81</v>
      </c>
      <c r="H7" s="1">
        <v>13.28</v>
      </c>
      <c r="I7" s="1">
        <v>8.27</v>
      </c>
      <c r="J7" s="1">
        <v>40.450000000000003</v>
      </c>
      <c r="K7" s="1">
        <v>1</v>
      </c>
    </row>
    <row r="8" spans="1:11" x14ac:dyDescent="0.3">
      <c r="B8" s="1" t="s">
        <v>10</v>
      </c>
      <c r="C8" s="1">
        <v>1.1200000000000001</v>
      </c>
      <c r="D8" s="1">
        <v>1</v>
      </c>
      <c r="E8" s="1">
        <v>5.8</v>
      </c>
      <c r="F8" s="1">
        <v>1.9</v>
      </c>
      <c r="G8" s="1">
        <v>1</v>
      </c>
      <c r="H8" s="1">
        <v>6.03</v>
      </c>
      <c r="I8" s="1">
        <v>26.12</v>
      </c>
      <c r="J8" s="1">
        <v>32.549999999999997</v>
      </c>
      <c r="K8" s="1">
        <v>1</v>
      </c>
    </row>
    <row r="9" spans="1:11" x14ac:dyDescent="0.3">
      <c r="B9" s="1" t="s">
        <v>11</v>
      </c>
      <c r="C9" s="1">
        <v>0</v>
      </c>
      <c r="D9" s="1">
        <v>5.36</v>
      </c>
      <c r="E9" s="1">
        <v>5.7</v>
      </c>
      <c r="F9" s="1">
        <v>3.91</v>
      </c>
      <c r="G9" s="1">
        <v>8.15</v>
      </c>
      <c r="H9" s="1">
        <v>13.52</v>
      </c>
      <c r="I9" s="1">
        <v>22.54</v>
      </c>
      <c r="J9" s="1">
        <v>18.12</v>
      </c>
      <c r="K9" s="1">
        <v>1</v>
      </c>
    </row>
    <row r="10" spans="1:11" x14ac:dyDescent="0.3">
      <c r="B10" s="1"/>
      <c r="C10" s="1"/>
      <c r="D10" s="1"/>
      <c r="E10" s="1"/>
      <c r="F10" s="1"/>
      <c r="G10" s="1"/>
      <c r="H10" s="1"/>
      <c r="I10" s="1"/>
      <c r="J10" s="1"/>
      <c r="K10" s="1">
        <v>1</v>
      </c>
    </row>
    <row r="11" spans="1:11" x14ac:dyDescent="0.3">
      <c r="B11" s="1"/>
      <c r="C11" s="1"/>
      <c r="D11" s="1"/>
      <c r="E11" s="1"/>
      <c r="F11" s="1"/>
      <c r="G11" s="1"/>
      <c r="H11" s="1"/>
      <c r="I11" s="1"/>
      <c r="J11" s="1"/>
      <c r="K11" s="1">
        <v>1</v>
      </c>
    </row>
    <row r="12" spans="1:11" x14ac:dyDescent="0.3">
      <c r="A12" s="2"/>
      <c r="B12" s="1"/>
      <c r="C12" s="1"/>
      <c r="D12" s="1"/>
      <c r="E12" s="1"/>
      <c r="F12" s="1"/>
      <c r="G12" s="1"/>
      <c r="H12" s="1"/>
      <c r="I12" s="1"/>
      <c r="J12" s="1"/>
      <c r="K12" s="1">
        <v>1</v>
      </c>
    </row>
    <row r="13" spans="1:11" x14ac:dyDescent="0.3">
      <c r="B13" s="1"/>
      <c r="C13" s="1"/>
      <c r="D13" s="1"/>
      <c r="E13" s="1"/>
      <c r="F13" s="1"/>
      <c r="G13" s="1"/>
      <c r="H13" s="1"/>
      <c r="I13" s="1"/>
      <c r="J13" s="1"/>
      <c r="K13" s="1">
        <v>1</v>
      </c>
    </row>
    <row r="14" spans="1:11" x14ac:dyDescent="0.3">
      <c r="A14" t="s">
        <v>14</v>
      </c>
      <c r="C14">
        <f>AVERAGE(C4:C13)</f>
        <v>2.4933333333333336</v>
      </c>
      <c r="D14">
        <f t="shared" ref="D14:J14" si="0">AVERAGE(D4:D13)</f>
        <v>7.706666666666667</v>
      </c>
      <c r="E14">
        <f t="shared" si="0"/>
        <v>5.8999999999999995</v>
      </c>
      <c r="F14">
        <f t="shared" si="0"/>
        <v>3.2383333333333333</v>
      </c>
      <c r="G14">
        <f t="shared" si="0"/>
        <v>5.2283333333333326</v>
      </c>
      <c r="H14">
        <f t="shared" si="0"/>
        <v>10.78</v>
      </c>
      <c r="I14">
        <f t="shared" si="0"/>
        <v>18.305000000000003</v>
      </c>
      <c r="J14">
        <f t="shared" si="0"/>
        <v>29.504999999999999</v>
      </c>
      <c r="K14" s="1">
        <v>1</v>
      </c>
    </row>
    <row r="16" spans="1:11" x14ac:dyDescent="0.3">
      <c r="A16" t="s">
        <v>53</v>
      </c>
    </row>
    <row r="17" spans="1:11" x14ac:dyDescent="0.3">
      <c r="B17" s="1" t="s">
        <v>6</v>
      </c>
      <c r="C17" s="1">
        <v>1.67</v>
      </c>
      <c r="D17" s="1">
        <v>3.24</v>
      </c>
      <c r="E17" s="1">
        <v>6.25</v>
      </c>
      <c r="F17" s="1">
        <v>2.0099999999999998</v>
      </c>
      <c r="G17" s="1">
        <v>1.9</v>
      </c>
      <c r="H17" s="1">
        <v>3.69</v>
      </c>
      <c r="I17" s="1">
        <v>20.2</v>
      </c>
      <c r="J17" s="1">
        <v>18.12</v>
      </c>
      <c r="K17" s="1">
        <v>2</v>
      </c>
    </row>
    <row r="18" spans="1:11" x14ac:dyDescent="0.3">
      <c r="A18" s="2"/>
      <c r="B18" s="1" t="s">
        <v>7</v>
      </c>
      <c r="C18" s="1">
        <v>0</v>
      </c>
      <c r="D18" s="1">
        <v>2.0099999999999998</v>
      </c>
      <c r="E18" s="1">
        <v>0</v>
      </c>
      <c r="F18" s="1">
        <v>1.23</v>
      </c>
      <c r="G18" s="1">
        <v>11.83</v>
      </c>
      <c r="H18" s="1">
        <v>2.91</v>
      </c>
      <c r="I18" s="1">
        <v>0</v>
      </c>
      <c r="J18" s="1">
        <v>3.58</v>
      </c>
      <c r="K18" s="1">
        <v>2</v>
      </c>
    </row>
    <row r="19" spans="1:11" x14ac:dyDescent="0.3">
      <c r="B19" s="1" t="s">
        <v>12</v>
      </c>
      <c r="C19" s="1">
        <v>1.1200000000000001</v>
      </c>
      <c r="D19" s="1">
        <v>14.17</v>
      </c>
      <c r="E19" s="1">
        <v>9.0500000000000007</v>
      </c>
      <c r="F19" s="1">
        <v>11.05</v>
      </c>
      <c r="G19" s="1">
        <v>11.72</v>
      </c>
      <c r="H19" s="1">
        <v>17.079999999999998</v>
      </c>
      <c r="I19" s="1">
        <v>26.79</v>
      </c>
      <c r="J19" s="1">
        <v>32.21</v>
      </c>
      <c r="K19" s="1">
        <v>2</v>
      </c>
    </row>
    <row r="20" spans="1:11" x14ac:dyDescent="0.3">
      <c r="B20" s="1" t="s">
        <v>13</v>
      </c>
      <c r="C20" s="1">
        <v>7.37</v>
      </c>
      <c r="D20" s="1">
        <v>2.57</v>
      </c>
      <c r="E20" s="1">
        <v>8.26</v>
      </c>
      <c r="F20" s="1">
        <v>14.4</v>
      </c>
      <c r="G20" s="1">
        <v>8.27</v>
      </c>
      <c r="H20" s="1">
        <v>14.29</v>
      </c>
      <c r="I20" s="1">
        <v>20.420000000000002</v>
      </c>
      <c r="J20" s="1">
        <v>56.76</v>
      </c>
      <c r="K20" s="1">
        <v>2</v>
      </c>
    </row>
    <row r="21" spans="1:11" x14ac:dyDescent="0.3">
      <c r="B21" s="1" t="s">
        <v>37</v>
      </c>
      <c r="C21" s="1">
        <v>6.58</v>
      </c>
      <c r="D21" s="1">
        <v>1.23</v>
      </c>
      <c r="E21" s="1">
        <v>9.5</v>
      </c>
      <c r="F21" s="1">
        <v>4.13</v>
      </c>
      <c r="G21" s="1">
        <v>2.46</v>
      </c>
      <c r="H21" s="1">
        <v>9.6</v>
      </c>
      <c r="I21" s="1">
        <v>4.58</v>
      </c>
      <c r="J21" s="1">
        <v>11.28</v>
      </c>
      <c r="K21" s="1">
        <v>2</v>
      </c>
    </row>
    <row r="22" spans="1:11" x14ac:dyDescent="0.3">
      <c r="B22" s="1" t="s">
        <v>38</v>
      </c>
      <c r="C22" s="1">
        <v>2.12</v>
      </c>
      <c r="D22" s="1">
        <v>6.82</v>
      </c>
      <c r="E22" s="1">
        <v>3.79</v>
      </c>
      <c r="F22" s="1">
        <v>1.23</v>
      </c>
      <c r="G22" s="1">
        <v>8.7200000000000006</v>
      </c>
      <c r="H22" s="1">
        <v>21.54</v>
      </c>
      <c r="I22" s="1">
        <v>24.02</v>
      </c>
      <c r="J22" s="1">
        <v>17.899999999999999</v>
      </c>
      <c r="K22" s="1">
        <v>2</v>
      </c>
    </row>
    <row r="23" spans="1:11" x14ac:dyDescent="0.3">
      <c r="A23" s="2"/>
      <c r="B23" s="1" t="s">
        <v>43</v>
      </c>
      <c r="C23" s="1">
        <v>3.24</v>
      </c>
      <c r="D23" s="1">
        <v>1.9</v>
      </c>
      <c r="E23" s="1">
        <v>5.25</v>
      </c>
      <c r="F23" s="1">
        <v>1.1200000000000001</v>
      </c>
      <c r="G23" s="1">
        <v>2.13</v>
      </c>
      <c r="H23" s="1">
        <v>7.92</v>
      </c>
      <c r="I23" s="1">
        <v>3.58</v>
      </c>
      <c r="J23" s="1">
        <v>9.5</v>
      </c>
      <c r="K23" s="1">
        <v>2</v>
      </c>
    </row>
    <row r="24" spans="1:11" x14ac:dyDescent="0.3">
      <c r="B24" s="1" t="s">
        <v>44</v>
      </c>
      <c r="C24" s="1">
        <v>2.68</v>
      </c>
      <c r="D24" s="1">
        <v>5.81</v>
      </c>
      <c r="E24" s="1">
        <v>1.9</v>
      </c>
      <c r="F24" s="1">
        <v>3.35</v>
      </c>
      <c r="G24" s="1">
        <v>11.38</v>
      </c>
      <c r="H24" s="1">
        <v>9.16</v>
      </c>
      <c r="I24" s="1">
        <v>20.09</v>
      </c>
      <c r="J24" s="1">
        <v>53.47</v>
      </c>
      <c r="K24" s="1">
        <v>2</v>
      </c>
    </row>
    <row r="25" spans="1:11" x14ac:dyDescent="0.3">
      <c r="B25" s="1" t="s">
        <v>49</v>
      </c>
      <c r="C25" s="1">
        <v>1.34</v>
      </c>
      <c r="D25" s="1">
        <v>1.45</v>
      </c>
      <c r="E25" s="1">
        <v>0.89</v>
      </c>
      <c r="F25" s="1">
        <v>1.45</v>
      </c>
      <c r="G25" s="1">
        <v>0</v>
      </c>
      <c r="H25" s="1">
        <v>9.61</v>
      </c>
      <c r="I25" s="1">
        <v>26.45</v>
      </c>
      <c r="J25" s="1">
        <v>40.72</v>
      </c>
      <c r="K25" s="1">
        <v>2</v>
      </c>
    </row>
    <row r="26" spans="1:11" x14ac:dyDescent="0.3">
      <c r="B26" s="1" t="s">
        <v>50</v>
      </c>
      <c r="C26" s="1">
        <v>1.9</v>
      </c>
      <c r="D26" s="1">
        <v>3.79</v>
      </c>
      <c r="E26" s="1">
        <v>2.0099999999999998</v>
      </c>
      <c r="F26" s="1">
        <v>8.16</v>
      </c>
      <c r="G26" s="1">
        <v>2.23</v>
      </c>
      <c r="H26" s="1">
        <v>5.03</v>
      </c>
      <c r="I26" s="1">
        <v>2.9</v>
      </c>
      <c r="J26" s="1">
        <v>22.15</v>
      </c>
      <c r="K26" s="1">
        <v>2</v>
      </c>
    </row>
    <row r="27" spans="1:11" x14ac:dyDescent="0.3">
      <c r="B27" s="1" t="s">
        <v>96</v>
      </c>
      <c r="C27" s="1">
        <v>0.89</v>
      </c>
      <c r="D27" s="1">
        <v>2.79</v>
      </c>
      <c r="E27" s="1">
        <v>10.83</v>
      </c>
      <c r="F27" s="1">
        <v>3.68</v>
      </c>
      <c r="G27" s="1">
        <v>0</v>
      </c>
      <c r="H27" s="1">
        <v>6.81</v>
      </c>
      <c r="I27" s="1">
        <v>6.58</v>
      </c>
      <c r="J27" s="1">
        <v>26.93</v>
      </c>
    </row>
    <row r="28" spans="1:11" x14ac:dyDescent="0.3">
      <c r="A28" t="s">
        <v>14</v>
      </c>
      <c r="C28">
        <f t="shared" ref="C28:J28" si="1">AVERAGE(C17:C27)</f>
        <v>2.6281818181818184</v>
      </c>
      <c r="D28">
        <f t="shared" si="1"/>
        <v>4.1618181818181821</v>
      </c>
      <c r="E28">
        <f t="shared" si="1"/>
        <v>5.2481818181818181</v>
      </c>
      <c r="F28">
        <f t="shared" si="1"/>
        <v>4.71</v>
      </c>
      <c r="G28">
        <f t="shared" si="1"/>
        <v>5.5127272727272727</v>
      </c>
      <c r="H28">
        <f t="shared" si="1"/>
        <v>9.7854545454545452</v>
      </c>
      <c r="I28">
        <f t="shared" si="1"/>
        <v>14.146363636363638</v>
      </c>
      <c r="J28">
        <f t="shared" si="1"/>
        <v>26.601818181818182</v>
      </c>
    </row>
    <row r="30" spans="1:11" x14ac:dyDescent="0.3">
      <c r="A30" t="s">
        <v>55</v>
      </c>
      <c r="B30" s="3"/>
    </row>
    <row r="31" spans="1:11" x14ac:dyDescent="0.3">
      <c r="A31" s="2"/>
      <c r="B31" s="1" t="s">
        <v>98</v>
      </c>
      <c r="C31" s="1">
        <v>0</v>
      </c>
      <c r="D31" s="1">
        <v>10.83</v>
      </c>
      <c r="E31" s="1">
        <v>4.8</v>
      </c>
      <c r="F31" s="1">
        <v>8.83</v>
      </c>
      <c r="G31" s="1">
        <v>9.0399999999999991</v>
      </c>
      <c r="H31" s="1">
        <v>6.7</v>
      </c>
      <c r="I31" s="1">
        <v>16.850000000000001</v>
      </c>
      <c r="J31" s="1">
        <v>14.99</v>
      </c>
      <c r="K31">
        <v>3</v>
      </c>
    </row>
    <row r="32" spans="1:11" x14ac:dyDescent="0.3">
      <c r="B32" s="4"/>
      <c r="C32" s="1"/>
      <c r="D32" s="1"/>
      <c r="E32" s="1"/>
      <c r="F32" s="1"/>
      <c r="G32" s="1"/>
      <c r="H32" s="1"/>
      <c r="I32" s="1"/>
      <c r="J32" s="1"/>
      <c r="K32">
        <v>3</v>
      </c>
    </row>
    <row r="33" spans="1:11" x14ac:dyDescent="0.3">
      <c r="A33" s="2"/>
      <c r="C33" s="1"/>
      <c r="D33" s="1"/>
      <c r="E33" s="1"/>
      <c r="F33" s="1"/>
      <c r="G33" s="1"/>
      <c r="H33" s="1"/>
      <c r="I33" s="1"/>
      <c r="J33" s="1"/>
      <c r="K33">
        <v>3</v>
      </c>
    </row>
    <row r="34" spans="1:11" x14ac:dyDescent="0.3">
      <c r="C34" s="1"/>
      <c r="D34" s="1"/>
      <c r="E34" s="1"/>
      <c r="F34" s="1"/>
      <c r="G34" s="1"/>
      <c r="H34" s="1"/>
      <c r="I34" s="1"/>
      <c r="J34" s="1"/>
      <c r="K34">
        <v>3</v>
      </c>
    </row>
    <row r="35" spans="1:11" x14ac:dyDescent="0.3">
      <c r="C35" s="1"/>
      <c r="D35" s="1"/>
      <c r="E35" s="1"/>
      <c r="F35" s="1"/>
      <c r="G35" s="1"/>
      <c r="H35" s="1"/>
      <c r="I35" s="1"/>
      <c r="J35" s="1"/>
      <c r="K35">
        <v>3</v>
      </c>
    </row>
    <row r="36" spans="1:11" x14ac:dyDescent="0.3">
      <c r="C36" s="1"/>
      <c r="D36" s="1"/>
      <c r="E36" s="1"/>
      <c r="F36" s="1"/>
      <c r="G36" s="1"/>
      <c r="H36" s="1"/>
      <c r="I36" s="1"/>
      <c r="J36" s="1"/>
      <c r="K36">
        <v>3</v>
      </c>
    </row>
    <row r="37" spans="1:11" x14ac:dyDescent="0.3">
      <c r="C37" s="1"/>
      <c r="D37" s="1"/>
      <c r="E37" s="1"/>
      <c r="F37" s="1"/>
      <c r="G37" s="1"/>
      <c r="H37" s="1"/>
      <c r="I37" s="1"/>
      <c r="J37" s="1"/>
      <c r="K37">
        <v>3</v>
      </c>
    </row>
    <row r="38" spans="1:11" x14ac:dyDescent="0.3">
      <c r="B38" s="1"/>
      <c r="C38" s="1"/>
      <c r="D38" s="1"/>
      <c r="E38" s="1"/>
      <c r="F38" s="1"/>
      <c r="G38" s="1"/>
      <c r="H38" s="1"/>
      <c r="I38" s="1"/>
      <c r="J38" s="1"/>
      <c r="K38">
        <v>3</v>
      </c>
    </row>
    <row r="39" spans="1:11" x14ac:dyDescent="0.3">
      <c r="B39" s="1"/>
      <c r="C39" s="1"/>
      <c r="D39" s="1"/>
      <c r="E39" s="1"/>
      <c r="F39" s="1"/>
      <c r="G39" s="1"/>
      <c r="H39" s="1"/>
      <c r="I39" s="1"/>
      <c r="J39" s="1"/>
    </row>
    <row r="43" spans="1:11" x14ac:dyDescent="0.3">
      <c r="A43" t="s">
        <v>14</v>
      </c>
      <c r="C43">
        <f>AVERAGE(C31:C39)</f>
        <v>0</v>
      </c>
      <c r="D43">
        <f t="shared" ref="D43:J43" si="2">AVERAGE(D31:D39)</f>
        <v>10.83</v>
      </c>
      <c r="E43">
        <f t="shared" si="2"/>
        <v>4.8</v>
      </c>
      <c r="F43">
        <f t="shared" si="2"/>
        <v>8.83</v>
      </c>
      <c r="G43">
        <f t="shared" si="2"/>
        <v>9.0399999999999991</v>
      </c>
      <c r="H43">
        <f t="shared" si="2"/>
        <v>6.7</v>
      </c>
      <c r="I43">
        <f t="shared" si="2"/>
        <v>16.850000000000001</v>
      </c>
      <c r="J43">
        <f t="shared" si="2"/>
        <v>14.99</v>
      </c>
    </row>
    <row r="51" spans="1:11" x14ac:dyDescent="0.3">
      <c r="A51" t="s">
        <v>57</v>
      </c>
    </row>
    <row r="52" spans="1:11" x14ac:dyDescent="0.3">
      <c r="B52" s="4" t="s">
        <v>69</v>
      </c>
      <c r="C52" s="1">
        <v>0</v>
      </c>
      <c r="D52" s="1">
        <v>7.37</v>
      </c>
      <c r="E52" s="1">
        <v>7.48</v>
      </c>
      <c r="F52" s="1">
        <v>7.15</v>
      </c>
      <c r="G52" s="1">
        <v>1.1200000000000001</v>
      </c>
      <c r="H52" s="1">
        <v>19.22</v>
      </c>
      <c r="I52" s="1">
        <v>28.57</v>
      </c>
      <c r="J52" s="1">
        <v>31.43</v>
      </c>
      <c r="K52" s="1">
        <v>4</v>
      </c>
    </row>
    <row r="53" spans="1:11" x14ac:dyDescent="0.3">
      <c r="B53" s="4" t="s">
        <v>70</v>
      </c>
      <c r="C53" s="1">
        <v>0</v>
      </c>
      <c r="D53" s="1">
        <v>0</v>
      </c>
      <c r="E53" s="1">
        <v>2.79</v>
      </c>
      <c r="F53" s="1">
        <v>0.89</v>
      </c>
      <c r="G53" s="1">
        <v>5.36</v>
      </c>
      <c r="H53" s="1">
        <v>14.84</v>
      </c>
      <c r="I53" s="1">
        <v>15.29</v>
      </c>
      <c r="J53" s="1">
        <v>16.59</v>
      </c>
      <c r="K53" s="1">
        <v>4</v>
      </c>
    </row>
    <row r="54" spans="1:11" x14ac:dyDescent="0.3">
      <c r="B54" s="4" t="s">
        <v>71</v>
      </c>
      <c r="C54" s="1">
        <v>2.57</v>
      </c>
      <c r="D54" s="1">
        <v>8.94</v>
      </c>
      <c r="E54" s="1">
        <v>16.41</v>
      </c>
      <c r="F54" s="1">
        <v>7.04</v>
      </c>
      <c r="G54" s="1">
        <v>3.79</v>
      </c>
      <c r="H54" s="1">
        <v>17.75</v>
      </c>
      <c r="I54" s="1">
        <v>20.22</v>
      </c>
      <c r="J54" s="1">
        <v>15.08</v>
      </c>
      <c r="K54" s="1">
        <v>4</v>
      </c>
    </row>
    <row r="55" spans="1:11" x14ac:dyDescent="0.3">
      <c r="B55" s="4" t="s">
        <v>72</v>
      </c>
      <c r="C55" s="1">
        <v>1.1200000000000001</v>
      </c>
      <c r="D55" s="1">
        <v>8.94</v>
      </c>
      <c r="E55" s="1">
        <v>6.93</v>
      </c>
      <c r="F55" s="1">
        <v>3.58</v>
      </c>
      <c r="G55" s="1">
        <v>0</v>
      </c>
      <c r="H55" s="1">
        <v>7.25</v>
      </c>
      <c r="I55" s="1">
        <v>25.59</v>
      </c>
      <c r="J55" s="1">
        <v>20.89</v>
      </c>
      <c r="K55" s="1">
        <v>4</v>
      </c>
    </row>
    <row r="56" spans="1:11" x14ac:dyDescent="0.3">
      <c r="B56" s="4" t="s">
        <v>73</v>
      </c>
      <c r="C56" s="1">
        <v>4.58</v>
      </c>
      <c r="D56" s="1">
        <v>13.28</v>
      </c>
      <c r="E56" s="1">
        <v>7.59</v>
      </c>
      <c r="F56" s="1">
        <v>13.85</v>
      </c>
      <c r="G56" s="1">
        <v>1.23</v>
      </c>
      <c r="H56" s="1">
        <v>18.77</v>
      </c>
      <c r="I56" s="1">
        <v>4.3600000000000003</v>
      </c>
      <c r="J56" s="1">
        <v>8.61</v>
      </c>
      <c r="K56" s="1">
        <v>4</v>
      </c>
    </row>
    <row r="57" spans="1:11" x14ac:dyDescent="0.3">
      <c r="B57" s="1" t="s">
        <v>97</v>
      </c>
      <c r="C57" s="1">
        <v>0</v>
      </c>
      <c r="D57" s="1">
        <v>6.25</v>
      </c>
      <c r="E57" s="1">
        <v>1.9</v>
      </c>
      <c r="F57" s="1">
        <v>3.12</v>
      </c>
      <c r="G57" s="1">
        <v>4.24</v>
      </c>
      <c r="H57" s="1">
        <v>6.82</v>
      </c>
      <c r="I57" s="1">
        <v>7.37</v>
      </c>
      <c r="J57" s="1">
        <v>16.87</v>
      </c>
      <c r="K57" s="1">
        <v>4</v>
      </c>
    </row>
    <row r="60" spans="1:11" x14ac:dyDescent="0.3">
      <c r="B60" t="s">
        <v>54</v>
      </c>
      <c r="C60">
        <f>AVERAGE(C52:C58)</f>
        <v>1.3783333333333332</v>
      </c>
      <c r="D60">
        <f t="shared" ref="D60:I60" si="3">AVERAGE(D52:D58)</f>
        <v>7.4633333333333338</v>
      </c>
      <c r="E60">
        <f t="shared" si="3"/>
        <v>7.1833333333333336</v>
      </c>
      <c r="F60">
        <f t="shared" si="3"/>
        <v>5.9383333333333335</v>
      </c>
      <c r="G60">
        <f t="shared" si="3"/>
        <v>2.6233333333333335</v>
      </c>
      <c r="H60">
        <f t="shared" si="3"/>
        <v>14.108333333333334</v>
      </c>
      <c r="I60">
        <f t="shared" si="3"/>
        <v>16.900000000000002</v>
      </c>
      <c r="J60">
        <f>AVERAGE(J52:J58)</f>
        <v>18.245000000000001</v>
      </c>
    </row>
    <row r="63" spans="1:11" x14ac:dyDescent="0.3">
      <c r="A63" t="s">
        <v>58</v>
      </c>
    </row>
    <row r="64" spans="1:11" x14ac:dyDescent="0.3">
      <c r="B64" t="s">
        <v>64</v>
      </c>
      <c r="C64" s="1">
        <v>2.68</v>
      </c>
      <c r="D64" s="1">
        <v>0</v>
      </c>
      <c r="E64" s="1">
        <v>6.14</v>
      </c>
      <c r="F64" s="1">
        <v>1.34</v>
      </c>
      <c r="G64" s="1">
        <v>1.57</v>
      </c>
      <c r="H64" s="1">
        <v>2.57</v>
      </c>
      <c r="I64" s="1">
        <v>5.26</v>
      </c>
      <c r="J64" s="1">
        <v>38.26</v>
      </c>
      <c r="K64">
        <v>5</v>
      </c>
    </row>
    <row r="65" spans="2:11" x14ac:dyDescent="0.3">
      <c r="B65" t="s">
        <v>65</v>
      </c>
      <c r="C65" s="1">
        <v>0</v>
      </c>
      <c r="D65" s="1">
        <v>3.01</v>
      </c>
      <c r="E65" s="1">
        <v>2.68</v>
      </c>
      <c r="F65" s="1">
        <v>9.3699999999999992</v>
      </c>
      <c r="G65" s="1">
        <v>11.05</v>
      </c>
      <c r="H65" s="1">
        <v>7.26</v>
      </c>
      <c r="I65" s="1">
        <v>25.56</v>
      </c>
      <c r="J65" s="1">
        <v>48.55</v>
      </c>
      <c r="K65">
        <v>5</v>
      </c>
    </row>
    <row r="66" spans="2:11" x14ac:dyDescent="0.3">
      <c r="B66" t="s">
        <v>66</v>
      </c>
      <c r="C66" s="1">
        <v>1.9</v>
      </c>
      <c r="D66" s="1">
        <v>5.59</v>
      </c>
      <c r="E66" s="1">
        <v>4.8</v>
      </c>
      <c r="F66" s="1">
        <v>1.1200000000000001</v>
      </c>
      <c r="G66" s="1">
        <v>4.46</v>
      </c>
      <c r="H66" s="1">
        <v>7.37</v>
      </c>
      <c r="I66" s="1">
        <v>9.27</v>
      </c>
      <c r="J66" s="1">
        <v>33.89</v>
      </c>
      <c r="K66">
        <v>5</v>
      </c>
    </row>
    <row r="67" spans="2:11" x14ac:dyDescent="0.3">
      <c r="B67" t="s">
        <v>67</v>
      </c>
      <c r="C67" s="1">
        <v>2.46</v>
      </c>
      <c r="D67" s="1">
        <v>0</v>
      </c>
      <c r="E67" s="1">
        <v>3.58</v>
      </c>
      <c r="F67" s="1">
        <v>0</v>
      </c>
      <c r="G67" s="1">
        <v>5.8</v>
      </c>
      <c r="H67" s="1">
        <v>3.46</v>
      </c>
      <c r="I67" s="1">
        <v>27.01</v>
      </c>
      <c r="J67" s="1">
        <v>32.74</v>
      </c>
      <c r="K67">
        <v>5</v>
      </c>
    </row>
    <row r="68" spans="2:11" x14ac:dyDescent="0.3">
      <c r="B68" t="s">
        <v>68</v>
      </c>
      <c r="C68" s="1">
        <v>0</v>
      </c>
      <c r="D68" s="1">
        <v>1.79</v>
      </c>
      <c r="E68" s="1">
        <v>5.36</v>
      </c>
      <c r="F68" s="1">
        <v>6.03</v>
      </c>
      <c r="G68" s="1">
        <v>2.91</v>
      </c>
      <c r="H68" s="1">
        <v>15.42</v>
      </c>
      <c r="I68" s="1">
        <v>7.37</v>
      </c>
      <c r="J68" s="1">
        <v>20.89</v>
      </c>
      <c r="K68">
        <v>5</v>
      </c>
    </row>
    <row r="69" spans="2:11" x14ac:dyDescent="0.3">
      <c r="B69" s="1" t="s">
        <v>99</v>
      </c>
      <c r="C69" s="1">
        <v>0</v>
      </c>
      <c r="D69" s="1">
        <v>3.24</v>
      </c>
      <c r="E69" s="1">
        <v>0</v>
      </c>
      <c r="F69" s="1">
        <v>2.23</v>
      </c>
      <c r="G69" s="1">
        <v>1</v>
      </c>
      <c r="H69" s="1">
        <v>5.25</v>
      </c>
      <c r="I69" s="1">
        <v>7.25</v>
      </c>
      <c r="J69" s="1">
        <v>23.83</v>
      </c>
      <c r="K69">
        <v>5</v>
      </c>
    </row>
    <row r="70" spans="2:11" x14ac:dyDescent="0.3">
      <c r="K70">
        <v>5</v>
      </c>
    </row>
    <row r="73" spans="2:11" x14ac:dyDescent="0.3">
      <c r="B73" t="s">
        <v>54</v>
      </c>
      <c r="C73">
        <f t="shared" ref="C73:J73" si="4">AVERAGE(C64:C69)</f>
        <v>1.1733333333333333</v>
      </c>
      <c r="D73">
        <f t="shared" si="4"/>
        <v>2.2716666666666669</v>
      </c>
      <c r="E73">
        <f t="shared" si="4"/>
        <v>3.7600000000000002</v>
      </c>
      <c r="F73">
        <f t="shared" si="4"/>
        <v>3.3483333333333332</v>
      </c>
      <c r="G73">
        <f t="shared" si="4"/>
        <v>4.4650000000000007</v>
      </c>
      <c r="H73">
        <f t="shared" si="4"/>
        <v>6.8883333333333328</v>
      </c>
      <c r="I73">
        <f t="shared" si="4"/>
        <v>13.620000000000003</v>
      </c>
      <c r="J73">
        <f t="shared" si="4"/>
        <v>33.026666666666664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opLeftCell="A10" workbookViewId="0">
      <selection activeCell="A65" sqref="A65"/>
    </sheetView>
  </sheetViews>
  <sheetFormatPr defaultRowHeight="16.5" x14ac:dyDescent="0.3"/>
  <cols>
    <col min="2" max="2" width="14.875" customWidth="1"/>
  </cols>
  <sheetData>
    <row r="1" spans="1:13" x14ac:dyDescent="0.3">
      <c r="A1" s="1" t="s">
        <v>0</v>
      </c>
      <c r="C1" s="1"/>
      <c r="D1" s="1"/>
      <c r="E1" s="1"/>
      <c r="F1" s="1"/>
      <c r="G1" s="1"/>
      <c r="H1" s="1"/>
      <c r="I1" s="1"/>
      <c r="J1" s="1"/>
    </row>
    <row r="2" spans="1:13" x14ac:dyDescent="0.3">
      <c r="A2" s="1" t="s">
        <v>1</v>
      </c>
      <c r="C2" s="1">
        <v>0</v>
      </c>
      <c r="D2" s="1">
        <v>60</v>
      </c>
      <c r="E2" s="1">
        <v>120</v>
      </c>
      <c r="F2" s="1">
        <v>180</v>
      </c>
      <c r="G2" s="1">
        <v>240</v>
      </c>
      <c r="H2" s="1">
        <v>300</v>
      </c>
      <c r="I2" s="1">
        <v>360</v>
      </c>
      <c r="J2" s="1">
        <v>420</v>
      </c>
      <c r="K2" t="s">
        <v>28</v>
      </c>
    </row>
    <row r="3" spans="1:13" x14ac:dyDescent="0.3">
      <c r="A3" t="s">
        <v>2</v>
      </c>
    </row>
    <row r="4" spans="1:13" x14ac:dyDescent="0.3">
      <c r="B4" s="1" t="s">
        <v>15</v>
      </c>
      <c r="C4" s="1">
        <v>41.07</v>
      </c>
      <c r="D4" s="1">
        <v>26.26</v>
      </c>
      <c r="E4" s="1">
        <v>19.2</v>
      </c>
      <c r="F4" s="1">
        <v>33.18</v>
      </c>
      <c r="G4" s="1">
        <v>34.71</v>
      </c>
      <c r="H4" s="1">
        <v>27.6</v>
      </c>
      <c r="I4" s="1">
        <v>26</v>
      </c>
      <c r="J4" s="1">
        <v>12.64</v>
      </c>
      <c r="K4">
        <f>AVERAGE(C4:F4)</f>
        <v>29.927500000000002</v>
      </c>
      <c r="L4" s="1">
        <v>1</v>
      </c>
      <c r="M4" s="1"/>
    </row>
    <row r="5" spans="1:13" x14ac:dyDescent="0.3">
      <c r="B5" s="1" t="s">
        <v>16</v>
      </c>
      <c r="C5" s="1">
        <v>13.74</v>
      </c>
      <c r="D5" s="1">
        <v>19.079999999999998</v>
      </c>
      <c r="E5" s="1">
        <v>24.36</v>
      </c>
      <c r="F5" s="1">
        <v>31.36</v>
      </c>
      <c r="G5" s="1">
        <v>28.49</v>
      </c>
      <c r="H5" s="1">
        <v>25.89</v>
      </c>
      <c r="I5" s="1">
        <v>32.479999999999997</v>
      </c>
      <c r="J5" s="1">
        <v>20.34</v>
      </c>
      <c r="K5">
        <f t="shared" ref="K5:K9" si="0">AVERAGE(C5:F5)</f>
        <v>22.134999999999998</v>
      </c>
      <c r="L5" s="1">
        <v>1</v>
      </c>
      <c r="M5" s="1"/>
    </row>
    <row r="6" spans="1:13" x14ac:dyDescent="0.3">
      <c r="A6" s="2"/>
      <c r="B6" s="1" t="s">
        <v>19</v>
      </c>
      <c r="C6" s="1">
        <v>19.98</v>
      </c>
      <c r="D6" s="1">
        <v>37.39</v>
      </c>
      <c r="E6" s="1">
        <v>39.11</v>
      </c>
      <c r="F6" s="1">
        <v>3.91</v>
      </c>
      <c r="G6" s="1">
        <v>3.02</v>
      </c>
      <c r="H6" s="1">
        <v>3.91</v>
      </c>
      <c r="I6" s="1">
        <v>3.35</v>
      </c>
      <c r="J6" s="1">
        <v>0.89</v>
      </c>
      <c r="K6">
        <f t="shared" si="0"/>
        <v>25.0975</v>
      </c>
      <c r="L6" s="1">
        <v>1</v>
      </c>
      <c r="M6" s="1"/>
    </row>
    <row r="7" spans="1:13" x14ac:dyDescent="0.3">
      <c r="B7" s="1" t="s">
        <v>20</v>
      </c>
      <c r="C7" s="1">
        <v>8.0399999999999991</v>
      </c>
      <c r="D7" s="1">
        <v>12.83</v>
      </c>
      <c r="E7" s="1">
        <v>25.25</v>
      </c>
      <c r="F7" s="1">
        <v>21.32</v>
      </c>
      <c r="G7" s="1">
        <v>19.11</v>
      </c>
      <c r="H7" s="1">
        <v>28.12</v>
      </c>
      <c r="I7" s="1">
        <v>24.58</v>
      </c>
      <c r="J7" s="1">
        <v>34.97</v>
      </c>
      <c r="K7">
        <f t="shared" si="0"/>
        <v>16.86</v>
      </c>
      <c r="L7" s="1">
        <v>1</v>
      </c>
      <c r="M7" s="1"/>
    </row>
    <row r="8" spans="1:13" x14ac:dyDescent="0.3">
      <c r="B8" s="1" t="s">
        <v>29</v>
      </c>
      <c r="C8" s="1">
        <v>15.18</v>
      </c>
      <c r="D8" s="1">
        <v>26.12</v>
      </c>
      <c r="E8" s="1">
        <v>21.79</v>
      </c>
      <c r="F8" s="1">
        <v>24.8</v>
      </c>
      <c r="G8" s="1">
        <v>15.74</v>
      </c>
      <c r="H8" s="1">
        <v>26.12</v>
      </c>
      <c r="I8" s="1">
        <v>16.760000000000002</v>
      </c>
      <c r="J8" s="1">
        <v>7.49</v>
      </c>
      <c r="K8">
        <f t="shared" si="0"/>
        <v>21.9725</v>
      </c>
      <c r="L8" s="1">
        <v>1</v>
      </c>
      <c r="M8" s="1"/>
    </row>
    <row r="9" spans="1:13" x14ac:dyDescent="0.3">
      <c r="B9" s="1" t="s">
        <v>30</v>
      </c>
      <c r="C9" s="1">
        <v>11.61</v>
      </c>
      <c r="D9" s="1">
        <v>28.79</v>
      </c>
      <c r="E9" s="1">
        <v>21.9</v>
      </c>
      <c r="F9" s="1">
        <v>35.94</v>
      </c>
      <c r="G9" s="1">
        <v>15.98</v>
      </c>
      <c r="H9" s="1">
        <v>17.63</v>
      </c>
      <c r="I9" s="1">
        <v>21.34</v>
      </c>
      <c r="J9" s="1">
        <v>27.82</v>
      </c>
      <c r="K9">
        <f t="shared" si="0"/>
        <v>24.56</v>
      </c>
      <c r="L9" s="1">
        <v>1</v>
      </c>
      <c r="M9" s="1"/>
    </row>
    <row r="10" spans="1:13" x14ac:dyDescent="0.3">
      <c r="B10" s="1"/>
      <c r="C10" s="1"/>
      <c r="D10" s="1"/>
      <c r="E10" s="1"/>
      <c r="F10" s="1"/>
      <c r="G10" s="1"/>
      <c r="H10" s="1"/>
      <c r="I10" s="1"/>
      <c r="J10" s="1"/>
      <c r="L10" s="1">
        <v>1</v>
      </c>
      <c r="M10" s="1"/>
    </row>
    <row r="11" spans="1:13" x14ac:dyDescent="0.3">
      <c r="B11" s="1"/>
      <c r="C11" s="1"/>
      <c r="D11" s="1"/>
      <c r="E11" s="1"/>
      <c r="F11" s="1"/>
      <c r="G11" s="1"/>
      <c r="H11" s="1"/>
      <c r="I11" s="1"/>
      <c r="J11" s="1"/>
      <c r="L11" s="1">
        <v>1</v>
      </c>
      <c r="M11" s="1"/>
    </row>
    <row r="12" spans="1:13" x14ac:dyDescent="0.3">
      <c r="A12" s="2"/>
      <c r="B12" s="1"/>
      <c r="C12" s="1"/>
      <c r="D12" s="1"/>
      <c r="E12" s="1"/>
      <c r="F12" s="1"/>
      <c r="G12" s="1"/>
      <c r="H12" s="1"/>
      <c r="I12" s="1"/>
      <c r="J12" s="1"/>
      <c r="L12" s="1">
        <v>1</v>
      </c>
      <c r="M12" s="1"/>
    </row>
    <row r="13" spans="1:13" x14ac:dyDescent="0.3">
      <c r="B13" s="1"/>
      <c r="C13" s="1"/>
      <c r="D13" s="1"/>
      <c r="E13" s="1"/>
      <c r="F13" s="1"/>
      <c r="G13" s="1"/>
      <c r="H13" s="1"/>
      <c r="I13" s="1"/>
      <c r="J13" s="1"/>
      <c r="L13" s="1">
        <v>1</v>
      </c>
      <c r="M13" s="1"/>
    </row>
    <row r="14" spans="1:13" x14ac:dyDescent="0.3">
      <c r="A14" t="s">
        <v>14</v>
      </c>
      <c r="C14">
        <f>AVERAGE(C4:C13)</f>
        <v>18.270000000000003</v>
      </c>
      <c r="D14">
        <f t="shared" ref="D14:J14" si="1">AVERAGE(D4:D13)</f>
        <v>25.078333333333333</v>
      </c>
      <c r="E14">
        <f t="shared" si="1"/>
        <v>25.268333333333334</v>
      </c>
      <c r="F14">
        <f t="shared" si="1"/>
        <v>25.084999999999997</v>
      </c>
      <c r="G14">
        <f t="shared" si="1"/>
        <v>19.508333333333333</v>
      </c>
      <c r="H14">
        <f t="shared" si="1"/>
        <v>21.545000000000002</v>
      </c>
      <c r="I14">
        <f t="shared" si="1"/>
        <v>20.751666666666669</v>
      </c>
      <c r="J14">
        <f t="shared" si="1"/>
        <v>17.358333333333334</v>
      </c>
      <c r="K14">
        <f>AVERAGE(K4:K13)</f>
        <v>23.425416666666663</v>
      </c>
    </row>
    <row r="16" spans="1:13" x14ac:dyDescent="0.3">
      <c r="A16" t="s">
        <v>56</v>
      </c>
    </row>
    <row r="17" spans="1:13" x14ac:dyDescent="0.3">
      <c r="B17" s="4" t="s">
        <v>17</v>
      </c>
      <c r="C17" s="1">
        <v>28.83</v>
      </c>
      <c r="D17" s="1">
        <v>50.89</v>
      </c>
      <c r="E17" s="1">
        <v>20.45</v>
      </c>
      <c r="F17" s="1">
        <v>5.0199999999999996</v>
      </c>
      <c r="G17" s="1">
        <v>23.44</v>
      </c>
      <c r="H17" s="1">
        <v>27.15</v>
      </c>
      <c r="I17" s="1">
        <v>42.86</v>
      </c>
      <c r="J17" s="1">
        <v>36.020000000000003</v>
      </c>
      <c r="K17">
        <f t="shared" ref="K17:K27" si="2">AVERAGE(C17:F17)</f>
        <v>26.297499999999999</v>
      </c>
      <c r="L17" s="1">
        <v>2</v>
      </c>
      <c r="M17" s="1"/>
    </row>
    <row r="18" spans="1:13" x14ac:dyDescent="0.3">
      <c r="A18" s="2"/>
      <c r="B18" s="1" t="s">
        <v>18</v>
      </c>
      <c r="C18" s="1">
        <v>2.79</v>
      </c>
      <c r="D18" s="1">
        <v>14.62</v>
      </c>
      <c r="E18" s="1">
        <v>14.97</v>
      </c>
      <c r="F18" s="1">
        <v>13.39</v>
      </c>
      <c r="G18" s="1">
        <v>15.4</v>
      </c>
      <c r="H18" s="1">
        <v>8.16</v>
      </c>
      <c r="I18" s="1">
        <v>2.9</v>
      </c>
      <c r="J18" s="1">
        <v>8.5</v>
      </c>
      <c r="K18">
        <f t="shared" si="2"/>
        <v>11.442500000000001</v>
      </c>
      <c r="L18" s="1">
        <v>2</v>
      </c>
      <c r="M18" s="1"/>
    </row>
    <row r="19" spans="1:13" x14ac:dyDescent="0.3">
      <c r="B19" s="4" t="s">
        <v>31</v>
      </c>
      <c r="C19" s="1">
        <v>28.49</v>
      </c>
      <c r="D19" s="1">
        <v>44.2</v>
      </c>
      <c r="E19" s="1">
        <v>30.06</v>
      </c>
      <c r="F19" s="1">
        <v>47.21</v>
      </c>
      <c r="G19" s="1">
        <v>28.83</v>
      </c>
      <c r="H19" s="1">
        <v>18.75</v>
      </c>
      <c r="I19" s="1">
        <v>23.55</v>
      </c>
      <c r="J19" s="1">
        <v>22.71</v>
      </c>
      <c r="K19">
        <f t="shared" si="2"/>
        <v>37.49</v>
      </c>
      <c r="L19" s="1">
        <v>2</v>
      </c>
      <c r="M19" s="1"/>
    </row>
    <row r="20" spans="1:13" x14ac:dyDescent="0.3">
      <c r="B20" s="4" t="s">
        <v>32</v>
      </c>
      <c r="C20" s="1">
        <v>11.16</v>
      </c>
      <c r="D20" s="1">
        <v>13.39</v>
      </c>
      <c r="E20" s="1">
        <v>22.35</v>
      </c>
      <c r="F20" s="1">
        <v>10.83</v>
      </c>
      <c r="G20" s="1">
        <v>16.87</v>
      </c>
      <c r="H20" s="1">
        <v>17.32</v>
      </c>
      <c r="I20" s="1">
        <v>12.28</v>
      </c>
      <c r="J20" s="1">
        <v>13.52</v>
      </c>
      <c r="K20">
        <f t="shared" si="2"/>
        <v>14.432500000000001</v>
      </c>
      <c r="L20" s="1">
        <v>2</v>
      </c>
      <c r="M20" s="1"/>
    </row>
    <row r="21" spans="1:13" x14ac:dyDescent="0.3">
      <c r="B21" s="4" t="s">
        <v>39</v>
      </c>
      <c r="C21" s="1">
        <v>10.39</v>
      </c>
      <c r="D21" s="1">
        <v>14.17</v>
      </c>
      <c r="E21" s="1">
        <v>18.88</v>
      </c>
      <c r="F21" s="1">
        <v>23.88</v>
      </c>
      <c r="G21" s="1">
        <v>12.85</v>
      </c>
      <c r="H21" s="1">
        <v>11.72</v>
      </c>
      <c r="I21" s="1">
        <v>2.23</v>
      </c>
      <c r="J21" s="1">
        <v>11.73</v>
      </c>
      <c r="K21">
        <f t="shared" si="2"/>
        <v>16.829999999999998</v>
      </c>
      <c r="L21" s="1">
        <v>2</v>
      </c>
      <c r="M21" s="1"/>
    </row>
    <row r="22" spans="1:13" x14ac:dyDescent="0.3">
      <c r="B22" s="4" t="s">
        <v>40</v>
      </c>
      <c r="C22" s="1">
        <v>18.64</v>
      </c>
      <c r="D22" s="1">
        <v>33.85</v>
      </c>
      <c r="E22" s="1">
        <v>26.59</v>
      </c>
      <c r="F22" s="1">
        <v>19.87</v>
      </c>
      <c r="G22" s="1">
        <v>21.12</v>
      </c>
      <c r="H22" s="1">
        <v>15.07</v>
      </c>
      <c r="I22" s="1">
        <v>22.77</v>
      </c>
      <c r="J22" s="1">
        <v>8.9499999999999993</v>
      </c>
      <c r="K22">
        <f t="shared" si="2"/>
        <v>24.737500000000001</v>
      </c>
      <c r="L22" s="1">
        <v>2</v>
      </c>
      <c r="M22" s="1"/>
    </row>
    <row r="23" spans="1:13" x14ac:dyDescent="0.3">
      <c r="A23" s="2"/>
      <c r="B23" s="1" t="s">
        <v>45</v>
      </c>
      <c r="C23" s="1">
        <v>28.46</v>
      </c>
      <c r="D23" s="1">
        <v>43.91</v>
      </c>
      <c r="E23" s="1">
        <v>22.99</v>
      </c>
      <c r="F23" s="1">
        <v>25.81</v>
      </c>
      <c r="G23" s="1">
        <v>32.25</v>
      </c>
      <c r="H23" s="1">
        <v>28.38</v>
      </c>
      <c r="I23" s="1">
        <v>21.65</v>
      </c>
      <c r="J23" s="1">
        <v>10.63</v>
      </c>
      <c r="K23">
        <f t="shared" si="2"/>
        <v>30.2925</v>
      </c>
      <c r="L23" s="1">
        <v>2</v>
      </c>
      <c r="M23" s="1"/>
    </row>
    <row r="24" spans="1:13" x14ac:dyDescent="0.3">
      <c r="B24" s="1" t="s">
        <v>46</v>
      </c>
      <c r="C24" s="1">
        <v>10.83</v>
      </c>
      <c r="D24" s="1">
        <v>29.94</v>
      </c>
      <c r="E24" s="1">
        <v>39.22</v>
      </c>
      <c r="F24" s="1">
        <v>16.850000000000001</v>
      </c>
      <c r="G24" s="1">
        <v>27.68</v>
      </c>
      <c r="H24" s="1">
        <v>34.68</v>
      </c>
      <c r="I24" s="1">
        <v>24.25</v>
      </c>
      <c r="J24" s="1">
        <v>61.41</v>
      </c>
      <c r="K24">
        <f t="shared" si="2"/>
        <v>24.21</v>
      </c>
      <c r="L24" s="1">
        <v>2</v>
      </c>
      <c r="M24" s="1"/>
    </row>
    <row r="25" spans="1:13" x14ac:dyDescent="0.3">
      <c r="B25" s="1"/>
      <c r="C25" s="1"/>
      <c r="D25" s="1"/>
      <c r="E25" s="1"/>
      <c r="F25" s="1"/>
      <c r="G25" s="1"/>
      <c r="H25" s="1"/>
      <c r="I25" s="1"/>
      <c r="J25" s="1"/>
      <c r="L25" s="1">
        <v>2</v>
      </c>
    </row>
    <row r="26" spans="1:13" x14ac:dyDescent="0.3">
      <c r="B26" s="1"/>
      <c r="C26" s="1"/>
      <c r="D26" s="1"/>
      <c r="E26" s="1"/>
      <c r="F26" s="1"/>
      <c r="G26" s="1"/>
      <c r="H26" s="1"/>
      <c r="I26" s="1"/>
      <c r="J26" s="1"/>
      <c r="L26" s="1">
        <v>2</v>
      </c>
    </row>
    <row r="27" spans="1:13" x14ac:dyDescent="0.3">
      <c r="B27" s="1" t="s">
        <v>94</v>
      </c>
      <c r="C27" s="1">
        <v>6.81</v>
      </c>
      <c r="D27" s="1">
        <v>22.79</v>
      </c>
      <c r="E27" s="1">
        <v>30.13</v>
      </c>
      <c r="F27" s="1">
        <v>56.54</v>
      </c>
      <c r="G27" s="1">
        <v>57.48</v>
      </c>
      <c r="H27" s="1">
        <v>38.44</v>
      </c>
      <c r="I27" s="1">
        <v>18.3</v>
      </c>
      <c r="J27" s="1">
        <v>11.3</v>
      </c>
      <c r="K27">
        <f t="shared" si="2"/>
        <v>29.067499999999999</v>
      </c>
      <c r="L27" s="1">
        <v>2</v>
      </c>
    </row>
    <row r="28" spans="1:13" x14ac:dyDescent="0.3">
      <c r="A28" t="s">
        <v>14</v>
      </c>
      <c r="B28" s="3"/>
      <c r="C28">
        <f t="shared" ref="C28:K28" si="3">AVERAGE(C17:C27)</f>
        <v>16.266666666666666</v>
      </c>
      <c r="D28">
        <f t="shared" si="3"/>
        <v>29.751111111111111</v>
      </c>
      <c r="E28">
        <f t="shared" si="3"/>
        <v>25.071111111111112</v>
      </c>
      <c r="F28">
        <f t="shared" si="3"/>
        <v>24.377777777777776</v>
      </c>
      <c r="G28">
        <f t="shared" si="3"/>
        <v>26.213333333333331</v>
      </c>
      <c r="H28">
        <f t="shared" si="3"/>
        <v>22.185555555555553</v>
      </c>
      <c r="I28">
        <f t="shared" si="3"/>
        <v>18.97666666666667</v>
      </c>
      <c r="J28">
        <f t="shared" si="3"/>
        <v>20.53</v>
      </c>
      <c r="K28">
        <f t="shared" si="3"/>
        <v>23.866666666666667</v>
      </c>
    </row>
    <row r="29" spans="1:13" x14ac:dyDescent="0.3">
      <c r="B29" s="3"/>
    </row>
    <row r="30" spans="1:13" x14ac:dyDescent="0.3">
      <c r="A30" t="s">
        <v>55</v>
      </c>
      <c r="B30" s="3"/>
    </row>
    <row r="31" spans="1:13" x14ac:dyDescent="0.3">
      <c r="A31" s="2"/>
      <c r="B31" s="1" t="s">
        <v>102</v>
      </c>
      <c r="C31" s="1">
        <v>10.6</v>
      </c>
      <c r="D31" s="1">
        <v>7.71</v>
      </c>
      <c r="E31" s="1">
        <v>10.6</v>
      </c>
      <c r="F31" s="1">
        <v>10.39</v>
      </c>
      <c r="G31" s="1">
        <v>15.4</v>
      </c>
      <c r="H31" s="1">
        <v>7.71</v>
      </c>
      <c r="I31" s="1">
        <v>7.7</v>
      </c>
      <c r="J31" s="1">
        <v>20.92</v>
      </c>
      <c r="K31">
        <f>AVERAGE(C31:F31)</f>
        <v>9.8249999999999993</v>
      </c>
      <c r="L31" s="1">
        <v>3</v>
      </c>
      <c r="M31" s="1"/>
    </row>
    <row r="32" spans="1:13" x14ac:dyDescent="0.3">
      <c r="C32" s="1"/>
      <c r="D32" s="1"/>
      <c r="E32" s="1"/>
      <c r="F32" s="1"/>
      <c r="G32" s="1"/>
      <c r="H32" s="1"/>
      <c r="I32" s="1"/>
      <c r="J32" s="1"/>
      <c r="K32" t="e">
        <f t="shared" ref="K32:K39" si="4">AVERAGE(C32:F32)</f>
        <v>#DIV/0!</v>
      </c>
      <c r="L32" s="1">
        <v>3</v>
      </c>
      <c r="M32" s="1"/>
    </row>
    <row r="33" spans="1:13" x14ac:dyDescent="0.3">
      <c r="A33" s="2"/>
      <c r="C33" s="1"/>
      <c r="D33" s="1"/>
      <c r="E33" s="1"/>
      <c r="F33" s="1"/>
      <c r="G33" s="1"/>
      <c r="H33" s="1"/>
      <c r="I33" s="1"/>
      <c r="J33" s="1"/>
      <c r="K33" t="e">
        <f t="shared" si="4"/>
        <v>#DIV/0!</v>
      </c>
      <c r="L33" s="1">
        <v>3</v>
      </c>
      <c r="M33" s="1"/>
    </row>
    <row r="34" spans="1:13" x14ac:dyDescent="0.3">
      <c r="C34" s="1"/>
      <c r="D34" s="1"/>
      <c r="E34" s="1"/>
      <c r="F34" s="1"/>
      <c r="G34" s="1"/>
      <c r="H34" s="1"/>
      <c r="I34" s="1"/>
      <c r="J34" s="1"/>
      <c r="K34" t="e">
        <f t="shared" si="4"/>
        <v>#DIV/0!</v>
      </c>
      <c r="L34" s="1">
        <v>3</v>
      </c>
      <c r="M34" s="1"/>
    </row>
    <row r="35" spans="1:13" x14ac:dyDescent="0.3">
      <c r="C35" s="1"/>
      <c r="D35" s="1"/>
      <c r="E35" s="1"/>
      <c r="F35" s="1"/>
      <c r="G35" s="1"/>
      <c r="H35" s="1"/>
      <c r="I35" s="1"/>
      <c r="J35" s="1"/>
      <c r="K35" t="e">
        <f t="shared" si="4"/>
        <v>#DIV/0!</v>
      </c>
      <c r="L35" s="1">
        <v>3</v>
      </c>
      <c r="M35" s="1"/>
    </row>
    <row r="36" spans="1:13" x14ac:dyDescent="0.3">
      <c r="C36" s="1"/>
      <c r="D36" s="1"/>
      <c r="E36" s="1"/>
      <c r="F36" s="1"/>
      <c r="G36" s="1"/>
      <c r="H36" s="1"/>
      <c r="I36" s="1"/>
      <c r="J36" s="1"/>
      <c r="K36" t="e">
        <f t="shared" si="4"/>
        <v>#DIV/0!</v>
      </c>
      <c r="L36" s="1">
        <v>3</v>
      </c>
      <c r="M36" s="1"/>
    </row>
    <row r="37" spans="1:13" x14ac:dyDescent="0.3">
      <c r="C37" s="1"/>
      <c r="D37" s="1"/>
      <c r="E37" s="1"/>
      <c r="F37" s="1"/>
      <c r="G37" s="1"/>
      <c r="H37" s="1"/>
      <c r="I37" s="1"/>
      <c r="J37" s="1"/>
      <c r="K37" t="e">
        <f t="shared" si="4"/>
        <v>#DIV/0!</v>
      </c>
      <c r="L37" s="1">
        <v>3</v>
      </c>
    </row>
    <row r="38" spans="1:13" x14ac:dyDescent="0.3">
      <c r="B38" s="1"/>
      <c r="C38" s="1"/>
      <c r="D38" s="1"/>
      <c r="E38" s="1"/>
      <c r="F38" s="1"/>
      <c r="G38" s="1"/>
      <c r="H38" s="1"/>
      <c r="I38" s="1"/>
      <c r="J38" s="1"/>
      <c r="K38" t="e">
        <f t="shared" si="4"/>
        <v>#DIV/0!</v>
      </c>
      <c r="L38" s="1">
        <v>3</v>
      </c>
    </row>
    <row r="39" spans="1:13" x14ac:dyDescent="0.3">
      <c r="B39" s="1"/>
      <c r="C39" s="1"/>
      <c r="D39" s="1"/>
      <c r="E39" s="1"/>
      <c r="F39" s="1"/>
      <c r="G39" s="1"/>
      <c r="H39" s="1"/>
      <c r="I39" s="1"/>
      <c r="J39" s="1"/>
      <c r="K39" t="e">
        <f t="shared" si="4"/>
        <v>#DIV/0!</v>
      </c>
      <c r="L39" s="1">
        <v>3</v>
      </c>
    </row>
    <row r="40" spans="1:13" x14ac:dyDescent="0.3">
      <c r="L40" s="1">
        <v>3</v>
      </c>
    </row>
    <row r="43" spans="1:13" x14ac:dyDescent="0.3">
      <c r="A43" t="s">
        <v>14</v>
      </c>
      <c r="C43">
        <f>AVERAGE(C31:C42)</f>
        <v>10.6</v>
      </c>
      <c r="D43">
        <f t="shared" ref="D43:J43" si="5">AVERAGE(D31:D42)</f>
        <v>7.71</v>
      </c>
      <c r="E43">
        <f t="shared" si="5"/>
        <v>10.6</v>
      </c>
      <c r="F43">
        <f t="shared" si="5"/>
        <v>10.39</v>
      </c>
      <c r="G43">
        <f t="shared" si="5"/>
        <v>15.4</v>
      </c>
      <c r="H43">
        <f t="shared" si="5"/>
        <v>7.71</v>
      </c>
      <c r="I43">
        <f t="shared" si="5"/>
        <v>7.7</v>
      </c>
      <c r="J43">
        <f t="shared" si="5"/>
        <v>20.92</v>
      </c>
      <c r="K43" t="e">
        <f t="shared" ref="K43" si="6">AVERAGE(K31:K42)</f>
        <v>#DIV/0!</v>
      </c>
    </row>
    <row r="51" spans="1:12" x14ac:dyDescent="0.3">
      <c r="A51" t="s">
        <v>57</v>
      </c>
    </row>
    <row r="52" spans="1:12" x14ac:dyDescent="0.3">
      <c r="B52" s="4" t="s">
        <v>59</v>
      </c>
      <c r="C52" s="1">
        <v>11.05</v>
      </c>
      <c r="D52" s="1">
        <v>17.3</v>
      </c>
      <c r="E52" s="1">
        <v>16.07</v>
      </c>
      <c r="F52" s="1">
        <v>3.46</v>
      </c>
      <c r="G52" s="1">
        <v>22.35</v>
      </c>
      <c r="H52" s="1">
        <v>10.94</v>
      </c>
      <c r="I52" s="1">
        <v>17.54</v>
      </c>
      <c r="J52" s="1">
        <v>14.53</v>
      </c>
      <c r="K52">
        <f t="shared" ref="K52:K69" si="7">AVERAGE(C52:F52)</f>
        <v>11.97</v>
      </c>
      <c r="L52">
        <v>4</v>
      </c>
    </row>
    <row r="53" spans="1:12" x14ac:dyDescent="0.3">
      <c r="B53" s="4" t="s">
        <v>60</v>
      </c>
      <c r="C53" s="1">
        <v>18.86</v>
      </c>
      <c r="D53" s="1">
        <v>31.03</v>
      </c>
      <c r="E53" s="1">
        <v>51.28</v>
      </c>
      <c r="F53" s="1">
        <v>63.5</v>
      </c>
      <c r="G53" s="1">
        <v>17.88</v>
      </c>
      <c r="H53" s="1">
        <v>38.950000000000003</v>
      </c>
      <c r="I53" s="1">
        <v>22.79</v>
      </c>
      <c r="J53" s="1">
        <v>28.27</v>
      </c>
      <c r="K53">
        <f t="shared" si="7"/>
        <v>41.167500000000004</v>
      </c>
      <c r="L53">
        <v>4</v>
      </c>
    </row>
    <row r="54" spans="1:12" x14ac:dyDescent="0.3">
      <c r="B54" s="4" t="s">
        <v>61</v>
      </c>
      <c r="C54" s="1">
        <v>5.58</v>
      </c>
      <c r="D54" s="1">
        <v>19.11</v>
      </c>
      <c r="E54" s="1">
        <v>41.07</v>
      </c>
      <c r="F54" s="1">
        <v>21.34</v>
      </c>
      <c r="G54" s="1">
        <v>8.48</v>
      </c>
      <c r="H54" s="1">
        <v>19.55</v>
      </c>
      <c r="I54" s="1">
        <v>9.26</v>
      </c>
      <c r="J54" s="1">
        <v>11.06</v>
      </c>
      <c r="K54">
        <f t="shared" si="7"/>
        <v>21.774999999999999</v>
      </c>
      <c r="L54">
        <v>4</v>
      </c>
    </row>
    <row r="55" spans="1:12" x14ac:dyDescent="0.3">
      <c r="B55" s="4" t="s">
        <v>62</v>
      </c>
      <c r="C55" s="1">
        <v>1.01</v>
      </c>
      <c r="D55" s="1">
        <v>9.82</v>
      </c>
      <c r="E55" s="1">
        <v>11.28</v>
      </c>
      <c r="F55" s="1">
        <v>9.82</v>
      </c>
      <c r="G55" s="1">
        <v>1.9</v>
      </c>
      <c r="H55" s="1">
        <v>5.36</v>
      </c>
      <c r="I55" s="1">
        <v>7.15</v>
      </c>
      <c r="J55" s="1">
        <v>4.25</v>
      </c>
      <c r="K55">
        <f t="shared" si="7"/>
        <v>7.9824999999999999</v>
      </c>
      <c r="L55">
        <v>4</v>
      </c>
    </row>
    <row r="56" spans="1:12" x14ac:dyDescent="0.3">
      <c r="B56" s="4" t="s">
        <v>63</v>
      </c>
      <c r="C56" s="1">
        <v>1.9</v>
      </c>
      <c r="D56" s="1">
        <v>4.8</v>
      </c>
      <c r="E56" s="1">
        <v>4.13</v>
      </c>
      <c r="F56" s="1">
        <v>11.62</v>
      </c>
      <c r="G56" s="1">
        <v>13.06</v>
      </c>
      <c r="H56" s="1">
        <v>8.7100000000000009</v>
      </c>
      <c r="I56" s="1">
        <v>8.7200000000000006</v>
      </c>
      <c r="J56" s="1">
        <v>6.49</v>
      </c>
      <c r="K56">
        <f>AVERAGE(C56:F56)</f>
        <v>5.6124999999999989</v>
      </c>
      <c r="L56">
        <v>4</v>
      </c>
    </row>
    <row r="57" spans="1:12" x14ac:dyDescent="0.3">
      <c r="B57" s="1" t="s">
        <v>95</v>
      </c>
      <c r="C57" s="1">
        <v>0.89</v>
      </c>
      <c r="D57" s="1">
        <v>3.35</v>
      </c>
      <c r="E57" s="1">
        <v>24.8</v>
      </c>
      <c r="F57" s="1">
        <v>11.94</v>
      </c>
      <c r="G57" s="1">
        <v>16.649999999999999</v>
      </c>
      <c r="H57" s="1">
        <v>25.45</v>
      </c>
      <c r="I57" s="1">
        <v>14.53</v>
      </c>
      <c r="J57" s="1">
        <v>10.28</v>
      </c>
      <c r="K57">
        <f>AVERAGE(C57:F57)</f>
        <v>10.244999999999999</v>
      </c>
      <c r="L57">
        <v>4</v>
      </c>
    </row>
    <row r="58" spans="1:12" x14ac:dyDescent="0.3">
      <c r="L58">
        <v>4</v>
      </c>
    </row>
    <row r="60" spans="1:12" x14ac:dyDescent="0.3">
      <c r="B60" t="s">
        <v>54</v>
      </c>
      <c r="C60">
        <f>AVERAGE(C52:C58)</f>
        <v>6.5483333333333329</v>
      </c>
      <c r="D60">
        <f t="shared" ref="D60:J60" si="8">AVERAGE(D52:D58)</f>
        <v>14.234999999999998</v>
      </c>
      <c r="E60">
        <f t="shared" si="8"/>
        <v>24.771666666666665</v>
      </c>
      <c r="F60">
        <f t="shared" si="8"/>
        <v>20.28</v>
      </c>
      <c r="G60">
        <f t="shared" si="8"/>
        <v>13.386666666666668</v>
      </c>
      <c r="H60">
        <f t="shared" si="8"/>
        <v>18.16</v>
      </c>
      <c r="I60">
        <f t="shared" si="8"/>
        <v>13.331666666666665</v>
      </c>
      <c r="J60">
        <f t="shared" si="8"/>
        <v>12.479999999999999</v>
      </c>
      <c r="K60">
        <f>AVERAGE(C60:F60)</f>
        <v>16.458749999999998</v>
      </c>
    </row>
    <row r="63" spans="1:12" x14ac:dyDescent="0.3">
      <c r="A63" t="s">
        <v>58</v>
      </c>
    </row>
    <row r="64" spans="1:12" x14ac:dyDescent="0.3">
      <c r="B64" t="s">
        <v>74</v>
      </c>
      <c r="C64" s="1">
        <v>2.57</v>
      </c>
      <c r="D64" s="1">
        <v>10.27</v>
      </c>
      <c r="E64" s="1">
        <v>41.07</v>
      </c>
      <c r="F64" s="1">
        <v>31.51</v>
      </c>
      <c r="G64" s="1">
        <v>6.47</v>
      </c>
      <c r="H64" s="1">
        <v>4.3600000000000003</v>
      </c>
      <c r="I64" s="1">
        <v>3.35</v>
      </c>
      <c r="J64" s="1">
        <v>14.41</v>
      </c>
      <c r="K64">
        <f t="shared" si="7"/>
        <v>21.355</v>
      </c>
      <c r="L64">
        <v>5</v>
      </c>
    </row>
    <row r="65" spans="1:12" x14ac:dyDescent="0.3">
      <c r="A65" s="2"/>
      <c r="B65" t="s">
        <v>75</v>
      </c>
      <c r="C65" s="1">
        <v>27.79</v>
      </c>
      <c r="D65" s="1">
        <v>51.28</v>
      </c>
      <c r="E65" s="1">
        <v>62.83</v>
      </c>
      <c r="F65" s="1">
        <v>59.55</v>
      </c>
      <c r="G65" s="1">
        <v>66.52</v>
      </c>
      <c r="H65" s="1">
        <v>79.02</v>
      </c>
      <c r="I65" s="1">
        <v>84.8</v>
      </c>
      <c r="J65" s="1">
        <v>51.4</v>
      </c>
      <c r="K65">
        <f t="shared" si="7"/>
        <v>50.362499999999997</v>
      </c>
      <c r="L65">
        <v>5</v>
      </c>
    </row>
    <row r="66" spans="1:12" x14ac:dyDescent="0.3">
      <c r="B66" t="s">
        <v>76</v>
      </c>
      <c r="C66" s="1">
        <v>0</v>
      </c>
      <c r="D66" s="1">
        <v>15.4</v>
      </c>
      <c r="E66" s="1">
        <v>11.4</v>
      </c>
      <c r="F66" s="1">
        <v>9.3699999999999992</v>
      </c>
      <c r="G66" s="1">
        <v>22.35</v>
      </c>
      <c r="H66" s="1">
        <v>24</v>
      </c>
      <c r="I66" s="1">
        <v>13.07</v>
      </c>
      <c r="J66" s="1">
        <v>17.43</v>
      </c>
      <c r="K66">
        <f t="shared" si="7"/>
        <v>9.0425000000000004</v>
      </c>
      <c r="L66">
        <v>5</v>
      </c>
    </row>
    <row r="67" spans="1:12" x14ac:dyDescent="0.3">
      <c r="B67" s="1" t="s">
        <v>86</v>
      </c>
      <c r="C67" s="1">
        <v>0.56000000000000005</v>
      </c>
      <c r="D67" s="1">
        <v>15.07</v>
      </c>
      <c r="E67" s="1">
        <v>14.19</v>
      </c>
      <c r="F67" s="1">
        <v>12.05</v>
      </c>
      <c r="G67" s="1">
        <v>6.59</v>
      </c>
      <c r="H67" s="1">
        <v>6.7</v>
      </c>
      <c r="I67" s="1">
        <v>8.3699999999999992</v>
      </c>
      <c r="J67" s="1">
        <v>20.11</v>
      </c>
      <c r="K67">
        <f>AVERAGE(C67:F67)</f>
        <v>10.467500000000001</v>
      </c>
      <c r="L67">
        <v>5</v>
      </c>
    </row>
    <row r="68" spans="1:12" x14ac:dyDescent="0.3">
      <c r="B68" s="1" t="s">
        <v>87</v>
      </c>
      <c r="C68" s="1">
        <v>9.3699999999999992</v>
      </c>
      <c r="D68" s="1">
        <v>7.92</v>
      </c>
      <c r="E68" s="1">
        <v>16.54</v>
      </c>
      <c r="F68" s="1">
        <v>19.22</v>
      </c>
      <c r="G68" s="1">
        <v>8.59</v>
      </c>
      <c r="H68" s="1">
        <v>14.19</v>
      </c>
      <c r="I68" s="1">
        <v>14.06</v>
      </c>
      <c r="J68" s="1">
        <v>9.7200000000000006</v>
      </c>
      <c r="K68">
        <f t="shared" si="7"/>
        <v>13.262499999999999</v>
      </c>
      <c r="L68">
        <v>5</v>
      </c>
    </row>
    <row r="69" spans="1:12" x14ac:dyDescent="0.3">
      <c r="B69" s="1" t="s">
        <v>103</v>
      </c>
      <c r="C69" s="1">
        <v>2.34</v>
      </c>
      <c r="D69" s="1">
        <v>19.66</v>
      </c>
      <c r="E69" s="1">
        <v>33.04</v>
      </c>
      <c r="F69" s="1">
        <v>30.61</v>
      </c>
      <c r="G69" s="1">
        <v>27.68</v>
      </c>
      <c r="H69" s="1">
        <v>14.3</v>
      </c>
      <c r="I69" s="1">
        <v>12.17</v>
      </c>
      <c r="J69" s="1">
        <v>7.27</v>
      </c>
      <c r="K69">
        <f t="shared" si="7"/>
        <v>21.412500000000001</v>
      </c>
      <c r="L69">
        <v>5</v>
      </c>
    </row>
    <row r="70" spans="1:12" x14ac:dyDescent="0.3">
      <c r="L70">
        <v>5</v>
      </c>
    </row>
    <row r="71" spans="1:12" x14ac:dyDescent="0.3">
      <c r="B71" t="s">
        <v>77</v>
      </c>
      <c r="C71">
        <f t="shared" ref="C71:J71" si="9">AVERAGE(C64:C70)</f>
        <v>7.1049999999999995</v>
      </c>
      <c r="D71">
        <f t="shared" si="9"/>
        <v>19.933333333333334</v>
      </c>
      <c r="E71">
        <f t="shared" si="9"/>
        <v>29.844999999999999</v>
      </c>
      <c r="F71">
        <f t="shared" si="9"/>
        <v>27.051666666666666</v>
      </c>
      <c r="G71">
        <f t="shared" si="9"/>
        <v>23.033333333333335</v>
      </c>
      <c r="H71">
        <f t="shared" si="9"/>
        <v>23.76166666666667</v>
      </c>
      <c r="I71">
        <f t="shared" si="9"/>
        <v>22.636666666666667</v>
      </c>
      <c r="J71">
        <f t="shared" si="9"/>
        <v>20.056666666666668</v>
      </c>
      <c r="K71">
        <f>AVERAGE(K64:K70)</f>
        <v>20.983750000000001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opLeftCell="A5" workbookViewId="0">
      <selection activeCell="B64" sqref="B64:J64"/>
    </sheetView>
  </sheetViews>
  <sheetFormatPr defaultRowHeight="16.5" x14ac:dyDescent="0.3"/>
  <cols>
    <col min="2" max="2" width="12.375" customWidth="1"/>
  </cols>
  <sheetData>
    <row r="1" spans="1:10" x14ac:dyDescent="0.3">
      <c r="A1" s="1" t="s">
        <v>0</v>
      </c>
      <c r="C1" s="1"/>
      <c r="D1" s="1"/>
      <c r="E1" s="1"/>
      <c r="F1" s="1"/>
      <c r="G1" s="1"/>
      <c r="H1" s="1"/>
      <c r="I1" s="1"/>
      <c r="J1" s="1"/>
    </row>
    <row r="2" spans="1:10" x14ac:dyDescent="0.3">
      <c r="A2" s="1" t="s">
        <v>1</v>
      </c>
      <c r="C2" s="1">
        <v>0</v>
      </c>
      <c r="D2" s="1">
        <v>60</v>
      </c>
      <c r="E2" s="1">
        <v>120</v>
      </c>
      <c r="F2" s="1">
        <v>180</v>
      </c>
      <c r="G2" s="1">
        <v>240</v>
      </c>
      <c r="H2" s="1">
        <v>300</v>
      </c>
      <c r="I2" s="1">
        <v>360</v>
      </c>
      <c r="J2" s="1">
        <v>420</v>
      </c>
    </row>
    <row r="4" spans="1:10" x14ac:dyDescent="0.3">
      <c r="A4" t="s">
        <v>2</v>
      </c>
      <c r="B4" s="1" t="s">
        <v>21</v>
      </c>
      <c r="C4" s="1">
        <v>3.91</v>
      </c>
      <c r="D4" s="1">
        <v>1.68</v>
      </c>
      <c r="E4" s="1">
        <v>0.89</v>
      </c>
      <c r="F4" s="1">
        <v>24.47</v>
      </c>
      <c r="G4" s="1">
        <v>5.25</v>
      </c>
      <c r="H4" s="1">
        <v>18.79</v>
      </c>
      <c r="I4" s="1"/>
      <c r="J4" s="1"/>
    </row>
    <row r="5" spans="1:10" x14ac:dyDescent="0.3">
      <c r="B5" s="1" t="s">
        <v>22</v>
      </c>
      <c r="C5" s="1">
        <v>0</v>
      </c>
      <c r="D5" s="1">
        <v>0</v>
      </c>
      <c r="E5" s="1">
        <v>0</v>
      </c>
      <c r="F5" s="1">
        <v>23.24</v>
      </c>
      <c r="G5" s="1">
        <v>0</v>
      </c>
      <c r="H5" s="1">
        <v>6.49</v>
      </c>
      <c r="I5" s="1"/>
      <c r="J5" s="1"/>
    </row>
    <row r="6" spans="1:10" x14ac:dyDescent="0.3">
      <c r="A6" s="2"/>
      <c r="B6" s="1" t="s">
        <v>25</v>
      </c>
      <c r="C6" s="1">
        <v>6.48</v>
      </c>
      <c r="D6" s="1">
        <v>6.25</v>
      </c>
      <c r="E6" s="1">
        <v>0.89</v>
      </c>
      <c r="F6" s="1">
        <v>12.72</v>
      </c>
      <c r="G6" s="1">
        <v>2.57</v>
      </c>
      <c r="H6" s="1">
        <v>18.75</v>
      </c>
      <c r="I6" s="1">
        <v>0</v>
      </c>
      <c r="J6" s="1">
        <v>22.35</v>
      </c>
    </row>
    <row r="7" spans="1:10" x14ac:dyDescent="0.3">
      <c r="B7" s="1" t="s">
        <v>26</v>
      </c>
      <c r="C7" s="1">
        <v>0</v>
      </c>
      <c r="D7" s="1">
        <v>0</v>
      </c>
      <c r="E7" s="1">
        <v>5.0199999999999996</v>
      </c>
      <c r="F7" s="1">
        <v>3.13</v>
      </c>
      <c r="G7" s="1">
        <v>3.69</v>
      </c>
      <c r="H7" s="1">
        <v>7.03</v>
      </c>
      <c r="I7" s="1">
        <v>11.05</v>
      </c>
      <c r="J7" s="1">
        <v>5.93</v>
      </c>
    </row>
    <row r="8" spans="1:10" x14ac:dyDescent="0.3">
      <c r="B8" s="1" t="s">
        <v>33</v>
      </c>
      <c r="C8" s="1">
        <v>0</v>
      </c>
      <c r="D8" s="1">
        <v>0</v>
      </c>
      <c r="E8" s="1">
        <v>1.34</v>
      </c>
      <c r="F8" s="1">
        <v>9.49</v>
      </c>
      <c r="G8" s="1">
        <v>4.3499999999999996</v>
      </c>
      <c r="H8" s="1">
        <v>14.75</v>
      </c>
      <c r="I8" s="1">
        <v>12.72</v>
      </c>
      <c r="J8" s="1">
        <v>0</v>
      </c>
    </row>
    <row r="9" spans="1:10" x14ac:dyDescent="0.3">
      <c r="B9" s="1" t="s">
        <v>34</v>
      </c>
      <c r="C9" s="1">
        <v>0</v>
      </c>
      <c r="D9" s="1">
        <v>1</v>
      </c>
      <c r="E9" s="1">
        <v>14.08</v>
      </c>
      <c r="F9" s="1">
        <v>4.24</v>
      </c>
      <c r="G9" s="1">
        <v>8.0399999999999991</v>
      </c>
      <c r="H9" s="1">
        <v>7.48</v>
      </c>
      <c r="I9" s="1">
        <v>1.1200000000000001</v>
      </c>
      <c r="J9" s="1">
        <v>22.23</v>
      </c>
    </row>
    <row r="10" spans="1:10" x14ac:dyDescent="0.3"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2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t="s">
        <v>14</v>
      </c>
      <c r="C14">
        <f>AVERAGE(C4:C13)</f>
        <v>1.7316666666666667</v>
      </c>
      <c r="D14">
        <f t="shared" ref="D14:J14" si="0">AVERAGE(D4:D13)</f>
        <v>1.4883333333333333</v>
      </c>
      <c r="E14">
        <f t="shared" si="0"/>
        <v>3.7033333333333331</v>
      </c>
      <c r="F14">
        <f t="shared" si="0"/>
        <v>12.881666666666666</v>
      </c>
      <c r="G14">
        <f t="shared" si="0"/>
        <v>3.9833333333333329</v>
      </c>
      <c r="H14">
        <f t="shared" si="0"/>
        <v>12.215000000000002</v>
      </c>
      <c r="I14">
        <f>AVERAGE(I4:I13)</f>
        <v>6.222500000000001</v>
      </c>
      <c r="J14">
        <f t="shared" si="0"/>
        <v>12.627500000000001</v>
      </c>
    </row>
    <row r="16" spans="1:10" x14ac:dyDescent="0.3">
      <c r="A16" t="s">
        <v>78</v>
      </c>
    </row>
    <row r="17" spans="1:10" x14ac:dyDescent="0.3">
      <c r="A17" t="s">
        <v>3</v>
      </c>
      <c r="B17" s="1" t="s">
        <v>23</v>
      </c>
      <c r="C17" s="1">
        <v>1.56</v>
      </c>
      <c r="D17" s="1">
        <v>0</v>
      </c>
      <c r="E17" s="1">
        <v>1</v>
      </c>
      <c r="F17" s="1">
        <v>8.16</v>
      </c>
      <c r="G17" s="1">
        <v>1</v>
      </c>
      <c r="H17" s="1">
        <v>2.57</v>
      </c>
      <c r="I17" s="1"/>
      <c r="J17" s="1"/>
    </row>
    <row r="18" spans="1:10" x14ac:dyDescent="0.3">
      <c r="A18" s="2"/>
      <c r="B18" s="1" t="s">
        <v>24</v>
      </c>
      <c r="C18" s="1">
        <v>10.27</v>
      </c>
      <c r="D18" s="1">
        <v>2.34</v>
      </c>
      <c r="E18" s="1">
        <v>5.25</v>
      </c>
      <c r="F18" s="1">
        <v>11.83</v>
      </c>
      <c r="G18" s="1">
        <v>5.59</v>
      </c>
      <c r="H18" s="1">
        <v>22.23</v>
      </c>
      <c r="I18" s="1"/>
      <c r="J18" s="1"/>
    </row>
    <row r="19" spans="1:10" x14ac:dyDescent="0.3">
      <c r="B19" s="1" t="s">
        <v>35</v>
      </c>
      <c r="C19" s="1">
        <v>0.89</v>
      </c>
      <c r="D19" s="1">
        <v>8.7100000000000009</v>
      </c>
      <c r="E19" s="1">
        <v>1.1200000000000001</v>
      </c>
      <c r="F19" s="1">
        <v>9.3699999999999992</v>
      </c>
      <c r="G19" s="1">
        <v>5.7</v>
      </c>
      <c r="H19" s="1">
        <v>3.12</v>
      </c>
      <c r="I19" s="1">
        <v>1</v>
      </c>
      <c r="J19" s="1">
        <v>21.9</v>
      </c>
    </row>
    <row r="20" spans="1:10" x14ac:dyDescent="0.3">
      <c r="B20" s="1" t="s">
        <v>36</v>
      </c>
      <c r="C20" s="1">
        <v>4.92</v>
      </c>
      <c r="D20" s="1">
        <v>0</v>
      </c>
      <c r="E20" s="1">
        <v>0</v>
      </c>
      <c r="F20" s="1">
        <v>12.28</v>
      </c>
      <c r="G20" s="1">
        <v>6.26</v>
      </c>
      <c r="H20" s="1">
        <v>7.37</v>
      </c>
      <c r="I20" s="1">
        <v>1.56</v>
      </c>
      <c r="J20" s="1">
        <v>9.16</v>
      </c>
    </row>
    <row r="21" spans="1:10" x14ac:dyDescent="0.3">
      <c r="B21" s="1" t="s">
        <v>41</v>
      </c>
      <c r="C21" s="1">
        <v>0</v>
      </c>
      <c r="D21" s="1">
        <v>0</v>
      </c>
      <c r="E21" s="1">
        <v>0</v>
      </c>
      <c r="F21" s="1">
        <v>7.25</v>
      </c>
      <c r="G21" s="1">
        <v>1.68</v>
      </c>
      <c r="H21" s="1">
        <v>2.12</v>
      </c>
      <c r="I21" s="1">
        <v>1.01</v>
      </c>
      <c r="J21" s="1">
        <v>2.23</v>
      </c>
    </row>
    <row r="22" spans="1:10" x14ac:dyDescent="0.3">
      <c r="B22" s="1" t="s">
        <v>42</v>
      </c>
      <c r="C22" s="1">
        <v>2.23</v>
      </c>
      <c r="D22" s="1">
        <v>14.73</v>
      </c>
      <c r="E22" s="1">
        <v>4.3600000000000003</v>
      </c>
      <c r="F22" s="1">
        <v>23.46</v>
      </c>
      <c r="G22" s="1">
        <v>0</v>
      </c>
      <c r="H22" s="1">
        <v>11.38</v>
      </c>
      <c r="I22" s="1">
        <v>7.04</v>
      </c>
      <c r="J22" s="1">
        <v>1.45</v>
      </c>
    </row>
    <row r="23" spans="1:10" x14ac:dyDescent="0.3">
      <c r="A23" s="2"/>
      <c r="B23" s="1" t="s">
        <v>47</v>
      </c>
      <c r="C23" s="1">
        <v>1.01</v>
      </c>
      <c r="D23" s="1">
        <v>1.45</v>
      </c>
      <c r="E23" s="1">
        <v>9.7200000000000006</v>
      </c>
      <c r="F23" s="1">
        <v>42.75</v>
      </c>
      <c r="G23" s="1">
        <v>10.06</v>
      </c>
      <c r="H23" s="1">
        <v>36.270000000000003</v>
      </c>
      <c r="I23" s="1">
        <v>26.48</v>
      </c>
      <c r="J23" s="1">
        <v>8.6</v>
      </c>
    </row>
    <row r="24" spans="1:10" x14ac:dyDescent="0.3">
      <c r="B24" s="1" t="s">
        <v>48</v>
      </c>
      <c r="C24" s="1">
        <v>9.6</v>
      </c>
      <c r="D24" s="1">
        <v>0</v>
      </c>
      <c r="E24" s="1">
        <v>5.58</v>
      </c>
      <c r="F24" s="1">
        <v>33.479999999999997</v>
      </c>
      <c r="G24" s="1">
        <v>7.71</v>
      </c>
      <c r="H24" s="1">
        <v>27.71</v>
      </c>
      <c r="I24" s="1">
        <v>2.79</v>
      </c>
      <c r="J24" s="1">
        <v>10.29</v>
      </c>
    </row>
    <row r="25" spans="1:10" x14ac:dyDescent="0.3">
      <c r="B25" s="1" t="s">
        <v>51</v>
      </c>
      <c r="C25" s="1">
        <v>7.49</v>
      </c>
      <c r="D25" s="1">
        <v>0</v>
      </c>
      <c r="E25" s="1">
        <v>2.57</v>
      </c>
      <c r="F25" s="1">
        <v>27.68</v>
      </c>
      <c r="G25" s="1">
        <v>0.89</v>
      </c>
      <c r="H25" s="1">
        <v>11.94</v>
      </c>
      <c r="I25" s="1">
        <v>1.01</v>
      </c>
      <c r="J25" s="1">
        <v>12.51</v>
      </c>
    </row>
    <row r="26" spans="1:10" x14ac:dyDescent="0.3">
      <c r="B26" s="1" t="s">
        <v>52</v>
      </c>
      <c r="C26" s="1">
        <v>0</v>
      </c>
      <c r="D26" s="1">
        <v>0</v>
      </c>
      <c r="E26" s="1">
        <v>0</v>
      </c>
      <c r="F26" s="1">
        <v>36.380000000000003</v>
      </c>
      <c r="G26" s="1">
        <v>6.92</v>
      </c>
      <c r="H26" s="1">
        <v>28.49</v>
      </c>
      <c r="I26" s="1">
        <v>11.83</v>
      </c>
      <c r="J26" s="1">
        <v>7.61</v>
      </c>
    </row>
    <row r="27" spans="1:10" x14ac:dyDescent="0.3">
      <c r="B27" s="1" t="s">
        <v>101</v>
      </c>
      <c r="C27" s="1">
        <v>0</v>
      </c>
      <c r="D27" s="1">
        <v>0</v>
      </c>
      <c r="E27" s="1">
        <v>0</v>
      </c>
      <c r="F27" s="1">
        <v>25.47</v>
      </c>
      <c r="G27" s="1">
        <v>0.89</v>
      </c>
      <c r="H27" s="1">
        <v>11.62</v>
      </c>
      <c r="I27" s="1">
        <v>6.33</v>
      </c>
      <c r="J27" s="1">
        <v>6.33</v>
      </c>
    </row>
    <row r="28" spans="1:10" x14ac:dyDescent="0.3">
      <c r="A28" t="s">
        <v>14</v>
      </c>
      <c r="C28">
        <f t="shared" ref="C28:J28" si="1">AVERAGE(C17:C27)</f>
        <v>3.4518181818181826</v>
      </c>
      <c r="D28">
        <f t="shared" si="1"/>
        <v>2.4754545454545456</v>
      </c>
      <c r="E28">
        <f t="shared" si="1"/>
        <v>2.6909090909090909</v>
      </c>
      <c r="F28">
        <f t="shared" si="1"/>
        <v>21.646363636363635</v>
      </c>
      <c r="G28">
        <f t="shared" si="1"/>
        <v>4.245454545454546</v>
      </c>
      <c r="H28">
        <f t="shared" si="1"/>
        <v>14.983636363636366</v>
      </c>
      <c r="I28">
        <f t="shared" si="1"/>
        <v>6.5611111111111109</v>
      </c>
      <c r="J28">
        <f t="shared" si="1"/>
        <v>8.8977777777777778</v>
      </c>
    </row>
    <row r="31" spans="1:10" x14ac:dyDescent="0.3">
      <c r="A31" t="s">
        <v>55</v>
      </c>
      <c r="B31" s="4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2"/>
      <c r="B32" s="1" t="s">
        <v>104</v>
      </c>
      <c r="C32" s="1">
        <v>2.16</v>
      </c>
      <c r="D32" s="1">
        <v>9.39</v>
      </c>
      <c r="E32" s="1">
        <v>0.11</v>
      </c>
      <c r="F32" s="1">
        <v>10.38</v>
      </c>
      <c r="G32" s="1">
        <v>19.309999999999999</v>
      </c>
      <c r="H32" s="1">
        <v>4.58</v>
      </c>
      <c r="I32" s="1">
        <v>7.72</v>
      </c>
      <c r="J32" s="1">
        <v>7.72</v>
      </c>
    </row>
    <row r="33" spans="1:10" x14ac:dyDescent="0.3"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2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B40" s="1"/>
      <c r="C40" s="1"/>
      <c r="D40" s="1"/>
      <c r="E40" s="1"/>
      <c r="F40" s="1"/>
      <c r="G40" s="1"/>
      <c r="H40" s="1"/>
      <c r="I40" s="1"/>
      <c r="J40" s="1"/>
    </row>
    <row r="43" spans="1:10" x14ac:dyDescent="0.3">
      <c r="A43" t="s">
        <v>14</v>
      </c>
      <c r="C43">
        <f>AVERAGE(C32:C40)</f>
        <v>2.16</v>
      </c>
      <c r="D43">
        <f t="shared" ref="D43:J43" si="2">AVERAGE(D32:D40)</f>
        <v>9.39</v>
      </c>
      <c r="E43">
        <f t="shared" si="2"/>
        <v>0.11</v>
      </c>
      <c r="F43">
        <f t="shared" si="2"/>
        <v>10.38</v>
      </c>
      <c r="G43">
        <f t="shared" si="2"/>
        <v>19.309999999999999</v>
      </c>
      <c r="H43">
        <f t="shared" si="2"/>
        <v>4.58</v>
      </c>
      <c r="I43">
        <f t="shared" si="2"/>
        <v>7.72</v>
      </c>
      <c r="J43">
        <f t="shared" si="2"/>
        <v>7.72</v>
      </c>
    </row>
    <row r="46" spans="1:10" x14ac:dyDescent="0.3">
      <c r="A46" t="s">
        <v>79</v>
      </c>
    </row>
    <row r="47" spans="1:10" x14ac:dyDescent="0.3">
      <c r="B47" s="4" t="s">
        <v>80</v>
      </c>
      <c r="C47" s="1">
        <v>0</v>
      </c>
      <c r="D47" s="1">
        <v>0</v>
      </c>
      <c r="E47" s="1">
        <v>0</v>
      </c>
      <c r="F47" s="1">
        <v>26.73</v>
      </c>
      <c r="G47" s="1">
        <v>0</v>
      </c>
      <c r="H47" s="1">
        <v>16.649999999999999</v>
      </c>
      <c r="I47" s="1">
        <v>7.23</v>
      </c>
      <c r="J47" s="1">
        <v>7.23</v>
      </c>
    </row>
    <row r="48" spans="1:10" x14ac:dyDescent="0.3">
      <c r="B48" s="4" t="s">
        <v>81</v>
      </c>
      <c r="C48" s="1">
        <v>0</v>
      </c>
      <c r="D48" s="1">
        <v>0</v>
      </c>
      <c r="E48" s="1">
        <v>0</v>
      </c>
      <c r="F48" s="1">
        <v>43.91</v>
      </c>
      <c r="G48" s="1">
        <v>0</v>
      </c>
      <c r="H48" s="1">
        <v>13.98</v>
      </c>
      <c r="I48" s="1">
        <v>9.66</v>
      </c>
      <c r="J48" s="1">
        <v>9.66</v>
      </c>
    </row>
    <row r="49" spans="1:10" x14ac:dyDescent="0.3">
      <c r="B49" s="4" t="s">
        <v>82</v>
      </c>
      <c r="C49" s="1">
        <v>0</v>
      </c>
      <c r="D49" s="1">
        <v>3.57</v>
      </c>
      <c r="E49" s="1">
        <v>0</v>
      </c>
      <c r="F49" s="1">
        <v>4.13</v>
      </c>
      <c r="G49" s="1">
        <v>2.68</v>
      </c>
      <c r="H49" s="1">
        <v>10.18</v>
      </c>
      <c r="I49" s="1">
        <v>3.42</v>
      </c>
      <c r="J49" s="1">
        <v>3.42</v>
      </c>
    </row>
    <row r="50" spans="1:10" x14ac:dyDescent="0.3">
      <c r="B50" s="4" t="s">
        <v>83</v>
      </c>
      <c r="C50" s="1">
        <v>1.01</v>
      </c>
      <c r="D50" s="1">
        <v>7.37</v>
      </c>
      <c r="E50" s="1">
        <v>0.89</v>
      </c>
      <c r="F50" s="1">
        <v>12.29</v>
      </c>
      <c r="G50" s="1">
        <v>1.79</v>
      </c>
      <c r="H50" s="1">
        <v>11.96</v>
      </c>
      <c r="I50" s="1">
        <v>5.88</v>
      </c>
      <c r="J50" s="1">
        <v>5.88</v>
      </c>
    </row>
    <row r="51" spans="1:10" x14ac:dyDescent="0.3">
      <c r="B51" s="4" t="s">
        <v>84</v>
      </c>
      <c r="C51" s="1">
        <v>0</v>
      </c>
      <c r="D51" s="1">
        <v>2.79</v>
      </c>
      <c r="E51" s="1">
        <v>12.4</v>
      </c>
      <c r="F51" s="1">
        <v>11.27</v>
      </c>
      <c r="G51" s="1">
        <v>4.13</v>
      </c>
      <c r="H51" s="1">
        <v>16.87</v>
      </c>
      <c r="I51" s="1">
        <v>7.91</v>
      </c>
      <c r="J51" s="1">
        <v>7.91</v>
      </c>
    </row>
    <row r="52" spans="1:10" x14ac:dyDescent="0.3">
      <c r="B52" s="1" t="s">
        <v>100</v>
      </c>
      <c r="C52" s="1">
        <v>0</v>
      </c>
      <c r="D52" s="1">
        <v>0</v>
      </c>
      <c r="E52" s="1">
        <v>0</v>
      </c>
      <c r="F52" s="1">
        <v>34.6</v>
      </c>
      <c r="G52" s="1">
        <v>0</v>
      </c>
      <c r="H52" s="1">
        <v>17.79</v>
      </c>
      <c r="I52" s="1">
        <v>8.73</v>
      </c>
      <c r="J52" s="1">
        <v>8.73</v>
      </c>
    </row>
    <row r="55" spans="1:10" x14ac:dyDescent="0.3">
      <c r="B55" t="s">
        <v>54</v>
      </c>
      <c r="C55">
        <f>AVERAGE(C47:C53)</f>
        <v>0.16833333333333333</v>
      </c>
      <c r="D55">
        <f t="shared" ref="D55:J55" si="3">AVERAGE(D47:D53)</f>
        <v>2.2883333333333336</v>
      </c>
      <c r="E55">
        <f t="shared" si="3"/>
        <v>2.2150000000000003</v>
      </c>
      <c r="F55">
        <f t="shared" si="3"/>
        <v>22.155000000000001</v>
      </c>
      <c r="G55">
        <f t="shared" si="3"/>
        <v>1.4333333333333336</v>
      </c>
      <c r="H55">
        <f t="shared" si="3"/>
        <v>14.571666666666667</v>
      </c>
      <c r="I55">
        <f t="shared" si="3"/>
        <v>7.1383333333333328</v>
      </c>
      <c r="J55">
        <f t="shared" si="3"/>
        <v>7.1383333333333328</v>
      </c>
    </row>
    <row r="58" spans="1:10" x14ac:dyDescent="0.3">
      <c r="A58" t="s">
        <v>58</v>
      </c>
    </row>
    <row r="59" spans="1:10" x14ac:dyDescent="0.3">
      <c r="B59" t="s">
        <v>85</v>
      </c>
      <c r="C59" s="1">
        <v>2.0099999999999998</v>
      </c>
      <c r="D59" s="1">
        <v>13.5</v>
      </c>
      <c r="E59" s="1">
        <v>3.24</v>
      </c>
      <c r="F59" s="1">
        <v>9.26</v>
      </c>
      <c r="G59" s="1">
        <v>4.0199999999999996</v>
      </c>
      <c r="H59" s="1">
        <v>0</v>
      </c>
      <c r="I59" s="1">
        <v>5.34</v>
      </c>
      <c r="J59" s="1">
        <v>5.34</v>
      </c>
    </row>
    <row r="60" spans="1:10" x14ac:dyDescent="0.3">
      <c r="B60" s="1" t="s">
        <v>90</v>
      </c>
      <c r="C60" s="1">
        <v>0</v>
      </c>
      <c r="D60" s="1">
        <v>0</v>
      </c>
      <c r="E60" s="1">
        <v>0</v>
      </c>
      <c r="F60" s="1">
        <v>56.58</v>
      </c>
      <c r="G60" s="1">
        <v>3.24</v>
      </c>
      <c r="H60" s="1">
        <v>35.08</v>
      </c>
      <c r="I60" s="1">
        <v>15.82</v>
      </c>
      <c r="J60" s="1">
        <v>15.82</v>
      </c>
    </row>
    <row r="61" spans="1:10" x14ac:dyDescent="0.3">
      <c r="B61" s="1" t="s">
        <v>91</v>
      </c>
      <c r="C61" s="1">
        <v>0</v>
      </c>
      <c r="D61" s="1">
        <v>0</v>
      </c>
      <c r="E61" s="1">
        <v>0</v>
      </c>
      <c r="F61" s="1">
        <v>0.89</v>
      </c>
      <c r="G61" s="1">
        <v>0</v>
      </c>
      <c r="H61" s="1">
        <v>1.34</v>
      </c>
      <c r="I61" s="1">
        <v>0.37</v>
      </c>
      <c r="J61" s="1">
        <v>0.37</v>
      </c>
    </row>
    <row r="62" spans="1:10" x14ac:dyDescent="0.3">
      <c r="B62" s="1" t="s">
        <v>88</v>
      </c>
      <c r="C62" s="1">
        <v>0</v>
      </c>
      <c r="D62" s="1">
        <v>0</v>
      </c>
      <c r="E62" s="1">
        <v>0</v>
      </c>
      <c r="F62" s="1">
        <v>11.28</v>
      </c>
      <c r="G62" s="1">
        <v>0.89</v>
      </c>
      <c r="H62" s="1">
        <v>10.06</v>
      </c>
      <c r="I62" s="1">
        <v>3.7</v>
      </c>
      <c r="J62" s="1">
        <v>3.7</v>
      </c>
    </row>
    <row r="63" spans="1:10" x14ac:dyDescent="0.3">
      <c r="B63" s="1" t="s">
        <v>89</v>
      </c>
      <c r="C63" s="1">
        <v>0</v>
      </c>
      <c r="D63" s="1">
        <v>0</v>
      </c>
      <c r="E63" s="1">
        <v>0.33</v>
      </c>
      <c r="F63" s="1">
        <v>9.61</v>
      </c>
      <c r="G63" s="1">
        <v>1.9</v>
      </c>
      <c r="H63" s="1">
        <v>29.31</v>
      </c>
      <c r="I63" s="1">
        <v>6.87</v>
      </c>
      <c r="J63" s="1">
        <v>6.87</v>
      </c>
    </row>
    <row r="64" spans="1:10" x14ac:dyDescent="0.3">
      <c r="B64" s="1" t="s">
        <v>105</v>
      </c>
      <c r="C64" s="1">
        <v>0</v>
      </c>
      <c r="D64" s="1">
        <v>1</v>
      </c>
      <c r="E64" s="1">
        <v>0</v>
      </c>
      <c r="F64" s="1">
        <v>14.96</v>
      </c>
      <c r="G64" s="1">
        <v>1.34</v>
      </c>
      <c r="H64" s="1">
        <v>9.94</v>
      </c>
      <c r="I64" s="1">
        <v>4.54</v>
      </c>
      <c r="J64" s="1">
        <v>4.54</v>
      </c>
    </row>
    <row r="67" spans="2:10" x14ac:dyDescent="0.3">
      <c r="B67" t="s">
        <v>54</v>
      </c>
      <c r="C67">
        <f t="shared" ref="C67:J67" si="4">AVERAGE(C59:C65)</f>
        <v>0.33499999999999996</v>
      </c>
      <c r="D67">
        <f t="shared" si="4"/>
        <v>2.4166666666666665</v>
      </c>
      <c r="E67">
        <f t="shared" si="4"/>
        <v>0.59500000000000008</v>
      </c>
      <c r="F67">
        <f t="shared" si="4"/>
        <v>17.096666666666668</v>
      </c>
      <c r="G67">
        <f t="shared" si="4"/>
        <v>1.8983333333333334</v>
      </c>
      <c r="H67">
        <f t="shared" si="4"/>
        <v>14.288333333333334</v>
      </c>
      <c r="I67">
        <f t="shared" si="4"/>
        <v>6.1066666666666665</v>
      </c>
      <c r="J67">
        <f t="shared" si="4"/>
        <v>6.1066666666666665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tabSelected="1" topLeftCell="A15" workbookViewId="0">
      <selection activeCell="B65" sqref="B65:R65"/>
    </sheetView>
  </sheetViews>
  <sheetFormatPr defaultRowHeight="16.5" x14ac:dyDescent="0.3"/>
  <cols>
    <col min="2" max="2" width="12.375" customWidth="1"/>
  </cols>
  <sheetData>
    <row r="1" spans="1:18" x14ac:dyDescent="0.3">
      <c r="A1" s="1" t="s">
        <v>0</v>
      </c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</row>
    <row r="2" spans="1:18" x14ac:dyDescent="0.3">
      <c r="A2" s="1" t="s">
        <v>1</v>
      </c>
      <c r="C2" s="1">
        <v>0</v>
      </c>
      <c r="D2" s="1">
        <v>30</v>
      </c>
      <c r="E2" s="1">
        <v>60</v>
      </c>
      <c r="F2" s="1">
        <v>90</v>
      </c>
      <c r="G2" s="1">
        <v>120</v>
      </c>
      <c r="H2" s="1">
        <v>150</v>
      </c>
      <c r="I2" s="1">
        <v>180</v>
      </c>
      <c r="J2" s="1">
        <v>210</v>
      </c>
      <c r="K2" s="1">
        <v>240</v>
      </c>
      <c r="L2" s="1">
        <v>270</v>
      </c>
      <c r="M2" s="1">
        <v>300</v>
      </c>
      <c r="N2" s="1">
        <v>330</v>
      </c>
      <c r="O2" s="1">
        <v>360</v>
      </c>
      <c r="P2" s="1">
        <v>390</v>
      </c>
      <c r="Q2" s="1">
        <v>420</v>
      </c>
      <c r="R2" s="1">
        <v>450</v>
      </c>
    </row>
    <row r="3" spans="1:18" x14ac:dyDescent="0.3">
      <c r="A3" s="1" t="s">
        <v>27</v>
      </c>
      <c r="C3" s="1">
        <v>30</v>
      </c>
      <c r="D3" s="1">
        <v>30</v>
      </c>
      <c r="E3" s="1">
        <v>30</v>
      </c>
      <c r="F3" s="1">
        <v>30</v>
      </c>
      <c r="G3" s="1">
        <v>30</v>
      </c>
      <c r="H3" s="1">
        <v>30</v>
      </c>
      <c r="I3" s="1">
        <v>30</v>
      </c>
      <c r="J3" s="1">
        <v>30</v>
      </c>
      <c r="K3" s="1">
        <v>30</v>
      </c>
      <c r="L3" s="1">
        <v>30</v>
      </c>
      <c r="M3" s="1">
        <v>30</v>
      </c>
      <c r="N3" s="1">
        <v>30</v>
      </c>
      <c r="O3" s="1">
        <v>30</v>
      </c>
      <c r="P3" s="1">
        <v>30</v>
      </c>
      <c r="Q3" s="1">
        <v>30</v>
      </c>
      <c r="R3" s="1">
        <v>30</v>
      </c>
    </row>
    <row r="4" spans="1:18" x14ac:dyDescent="0.3">
      <c r="A4" t="s">
        <v>2</v>
      </c>
      <c r="B4" s="1" t="s">
        <v>21</v>
      </c>
      <c r="C4" s="1">
        <v>0</v>
      </c>
      <c r="D4" s="1">
        <v>0</v>
      </c>
      <c r="E4" s="1">
        <v>2.46</v>
      </c>
      <c r="F4" s="1">
        <v>0</v>
      </c>
      <c r="G4" s="1">
        <v>0</v>
      </c>
      <c r="H4" s="1">
        <v>0</v>
      </c>
      <c r="I4" s="1">
        <v>31.32</v>
      </c>
      <c r="J4" s="1">
        <v>12.5</v>
      </c>
      <c r="K4" s="1">
        <v>0</v>
      </c>
      <c r="L4" s="1">
        <v>0</v>
      </c>
      <c r="M4" s="1">
        <v>0</v>
      </c>
      <c r="N4" s="1"/>
      <c r="O4" s="1"/>
      <c r="P4" s="1"/>
      <c r="Q4" s="1"/>
      <c r="R4" s="1"/>
    </row>
    <row r="5" spans="1:18" x14ac:dyDescent="0.3">
      <c r="B5" s="1" t="s">
        <v>22</v>
      </c>
      <c r="C5" s="1">
        <v>3.12</v>
      </c>
      <c r="D5" s="1">
        <v>0</v>
      </c>
      <c r="E5" s="1">
        <v>0</v>
      </c>
      <c r="F5" s="1">
        <v>0</v>
      </c>
      <c r="G5" s="1">
        <v>0</v>
      </c>
      <c r="H5" s="1">
        <v>1.79</v>
      </c>
      <c r="I5" s="1">
        <v>42.51</v>
      </c>
      <c r="J5" s="1">
        <v>13.39</v>
      </c>
      <c r="K5" s="1">
        <v>0</v>
      </c>
      <c r="L5" s="1">
        <v>2.0099999999999998</v>
      </c>
      <c r="M5" s="1">
        <v>0</v>
      </c>
      <c r="N5" s="1"/>
      <c r="O5" s="1"/>
      <c r="P5" s="1"/>
      <c r="Q5" s="1"/>
      <c r="R5" s="1"/>
    </row>
    <row r="6" spans="1:18" x14ac:dyDescent="0.3">
      <c r="A6" s="2"/>
      <c r="B6" s="1" t="s">
        <v>25</v>
      </c>
      <c r="C6" s="1">
        <v>5.58</v>
      </c>
      <c r="D6" s="1">
        <v>0</v>
      </c>
      <c r="E6" s="1">
        <v>0</v>
      </c>
      <c r="F6" s="1">
        <v>10.039999999999999</v>
      </c>
      <c r="G6" s="1">
        <v>0</v>
      </c>
      <c r="H6" s="1">
        <v>0</v>
      </c>
      <c r="I6" s="1">
        <v>6.47</v>
      </c>
      <c r="J6" s="1">
        <v>9.3699999999999992</v>
      </c>
      <c r="K6" s="1">
        <v>0</v>
      </c>
      <c r="L6" s="1">
        <v>0</v>
      </c>
      <c r="M6" s="1">
        <v>2.9</v>
      </c>
      <c r="N6" s="1">
        <v>29.46</v>
      </c>
      <c r="O6" s="1">
        <v>0</v>
      </c>
      <c r="P6" s="1">
        <v>0</v>
      </c>
      <c r="Q6" s="1">
        <v>27.01</v>
      </c>
      <c r="R6" s="1">
        <v>11.19</v>
      </c>
    </row>
    <row r="7" spans="1:18" x14ac:dyDescent="0.3">
      <c r="B7" s="1" t="s">
        <v>26</v>
      </c>
      <c r="C7" s="1">
        <v>0</v>
      </c>
      <c r="D7" s="1">
        <v>0</v>
      </c>
      <c r="E7" s="1">
        <v>3.79</v>
      </c>
      <c r="F7" s="1">
        <v>0</v>
      </c>
      <c r="G7" s="1">
        <v>11.83</v>
      </c>
      <c r="H7" s="1">
        <v>5.58</v>
      </c>
      <c r="I7" s="1">
        <v>6.49</v>
      </c>
      <c r="J7" s="1">
        <v>4.91</v>
      </c>
      <c r="K7" s="1">
        <v>3.12</v>
      </c>
      <c r="L7" s="1">
        <v>5.59</v>
      </c>
      <c r="M7" s="1">
        <v>11.38</v>
      </c>
      <c r="N7" s="1">
        <v>11.16</v>
      </c>
      <c r="O7" s="1">
        <v>22.54</v>
      </c>
      <c r="P7" s="1">
        <v>8.48</v>
      </c>
      <c r="Q7" s="1">
        <v>4.47</v>
      </c>
      <c r="R7" s="1">
        <v>9.84</v>
      </c>
    </row>
    <row r="8" spans="1:18" x14ac:dyDescent="0.3">
      <c r="B8" s="1" t="s">
        <v>33</v>
      </c>
      <c r="C8" s="1">
        <v>0</v>
      </c>
      <c r="D8" s="1">
        <v>0</v>
      </c>
      <c r="E8" s="1">
        <v>0</v>
      </c>
      <c r="F8" s="1">
        <v>0</v>
      </c>
      <c r="G8" s="1">
        <v>2.23</v>
      </c>
      <c r="H8" s="1">
        <v>0</v>
      </c>
      <c r="I8" s="1">
        <v>6.47</v>
      </c>
      <c r="J8" s="1">
        <v>4.0199999999999996</v>
      </c>
      <c r="K8" s="1">
        <v>1.79</v>
      </c>
      <c r="L8" s="1">
        <v>4.46</v>
      </c>
      <c r="M8" s="1">
        <v>0</v>
      </c>
      <c r="N8" s="1">
        <v>23.88</v>
      </c>
      <c r="O8" s="1">
        <v>22.77</v>
      </c>
      <c r="P8" s="1">
        <v>1.79</v>
      </c>
      <c r="Q8" s="1">
        <v>0</v>
      </c>
      <c r="R8" s="1">
        <v>0</v>
      </c>
    </row>
    <row r="9" spans="1:18" x14ac:dyDescent="0.3">
      <c r="B9" s="1" t="s">
        <v>34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20.98</v>
      </c>
      <c r="I9" s="1">
        <v>4.24</v>
      </c>
      <c r="J9" s="1">
        <v>0</v>
      </c>
      <c r="K9" s="1">
        <v>2.0099999999999998</v>
      </c>
      <c r="L9" s="1">
        <v>8.7200000000000006</v>
      </c>
      <c r="M9" s="1">
        <v>6.92</v>
      </c>
      <c r="N9" s="1">
        <v>6.25</v>
      </c>
      <c r="O9" s="1">
        <v>0</v>
      </c>
      <c r="P9" s="1">
        <v>0</v>
      </c>
      <c r="Q9" s="1">
        <v>2.46</v>
      </c>
      <c r="R9" s="1">
        <v>33.78</v>
      </c>
    </row>
    <row r="10" spans="1:18" x14ac:dyDescent="0.3">
      <c r="B10" s="1"/>
      <c r="C10" s="1">
        <v>0</v>
      </c>
      <c r="D10" s="1">
        <v>0</v>
      </c>
      <c r="E10" s="1">
        <v>8.0399999999999991</v>
      </c>
      <c r="F10" s="1">
        <v>2.46</v>
      </c>
      <c r="G10" s="1">
        <v>0</v>
      </c>
      <c r="H10" s="1">
        <v>0</v>
      </c>
      <c r="I10" s="1">
        <v>39.729999999999997</v>
      </c>
      <c r="J10" s="1">
        <v>27.68</v>
      </c>
      <c r="K10" s="1">
        <v>3.58</v>
      </c>
      <c r="L10" s="1">
        <v>0</v>
      </c>
      <c r="M10" s="1">
        <v>9.6</v>
      </c>
      <c r="N10" s="1">
        <v>40.85</v>
      </c>
      <c r="O10" s="1">
        <v>26.62</v>
      </c>
      <c r="P10" s="1">
        <v>1.79</v>
      </c>
      <c r="Q10" s="1">
        <v>7.81</v>
      </c>
      <c r="R10" s="1">
        <v>6.94</v>
      </c>
    </row>
    <row r="11" spans="1:18" x14ac:dyDescent="0.3">
      <c r="B11" s="1"/>
      <c r="C11" s="1">
        <v>0</v>
      </c>
      <c r="D11" s="1">
        <v>2.0099999999999998</v>
      </c>
      <c r="E11" s="1">
        <v>8.2799999999999994</v>
      </c>
      <c r="F11" s="1">
        <v>0</v>
      </c>
      <c r="G11" s="1">
        <v>0</v>
      </c>
      <c r="H11" s="1">
        <v>1.79</v>
      </c>
      <c r="I11" s="1">
        <v>64.88</v>
      </c>
      <c r="J11" s="1">
        <v>25.45</v>
      </c>
      <c r="K11" s="1">
        <v>25.67</v>
      </c>
      <c r="L11" s="1">
        <v>2.91</v>
      </c>
      <c r="M11" s="1">
        <v>2.0099999999999998</v>
      </c>
      <c r="N11" s="1">
        <v>33.04</v>
      </c>
      <c r="O11" s="1">
        <v>5.13</v>
      </c>
      <c r="P11" s="1">
        <v>1.79</v>
      </c>
      <c r="Q11" s="1">
        <v>2.2400000000000002</v>
      </c>
      <c r="R11" s="1">
        <v>11.19</v>
      </c>
    </row>
    <row r="12" spans="1:18" x14ac:dyDescent="0.3">
      <c r="A12" s="2"/>
      <c r="B12" s="1"/>
      <c r="C12" s="1">
        <v>0</v>
      </c>
      <c r="D12" s="1">
        <v>2.0099999999999998</v>
      </c>
      <c r="E12" s="1">
        <v>0</v>
      </c>
      <c r="F12" s="1">
        <v>0</v>
      </c>
      <c r="G12" s="1">
        <v>2.9</v>
      </c>
      <c r="H12" s="1">
        <v>2.0099999999999998</v>
      </c>
      <c r="I12" s="1">
        <v>61.97</v>
      </c>
      <c r="J12" s="1">
        <v>54.24</v>
      </c>
      <c r="K12" s="1">
        <v>3.12</v>
      </c>
      <c r="L12" s="1">
        <v>2.2400000000000002</v>
      </c>
      <c r="M12" s="1">
        <v>3.79</v>
      </c>
      <c r="N12" s="1">
        <v>63.84</v>
      </c>
      <c r="O12" s="1">
        <v>33.479999999999997</v>
      </c>
      <c r="P12" s="1">
        <v>6.26</v>
      </c>
      <c r="Q12" s="1">
        <v>2.0099999999999998</v>
      </c>
      <c r="R12" s="1">
        <v>3.36</v>
      </c>
    </row>
    <row r="13" spans="1:18" x14ac:dyDescent="0.3">
      <c r="B13" s="1"/>
      <c r="C13" s="1">
        <v>0</v>
      </c>
      <c r="D13" s="1">
        <v>4.25</v>
      </c>
      <c r="E13" s="1">
        <v>0</v>
      </c>
      <c r="F13" s="1">
        <v>0</v>
      </c>
      <c r="G13" s="1">
        <v>4.92</v>
      </c>
      <c r="H13" s="1">
        <v>2.0099999999999998</v>
      </c>
      <c r="I13" s="1">
        <v>15.62</v>
      </c>
      <c r="J13" s="1">
        <v>41.29</v>
      </c>
      <c r="K13" s="1">
        <v>9.17</v>
      </c>
      <c r="L13" s="1">
        <v>39.51</v>
      </c>
      <c r="M13" s="1">
        <v>0</v>
      </c>
      <c r="N13" s="1">
        <v>57.37</v>
      </c>
      <c r="O13" s="1">
        <v>10.71</v>
      </c>
      <c r="P13" s="1">
        <v>3.36</v>
      </c>
      <c r="Q13" s="1">
        <v>0</v>
      </c>
      <c r="R13" s="1">
        <v>0</v>
      </c>
    </row>
    <row r="14" spans="1:18" x14ac:dyDescent="0.3">
      <c r="A14" t="s">
        <v>14</v>
      </c>
      <c r="C14">
        <f>AVERAGE(C4:C13)</f>
        <v>0.86999999999999988</v>
      </c>
      <c r="D14">
        <f t="shared" ref="D14:R14" si="0">AVERAGE(D4:D13)</f>
        <v>0.82699999999999996</v>
      </c>
      <c r="E14">
        <f t="shared" si="0"/>
        <v>2.2570000000000001</v>
      </c>
      <c r="F14">
        <f t="shared" si="0"/>
        <v>1.25</v>
      </c>
      <c r="G14">
        <f t="shared" si="0"/>
        <v>2.1880000000000002</v>
      </c>
      <c r="H14">
        <f t="shared" si="0"/>
        <v>3.4159999999999995</v>
      </c>
      <c r="I14">
        <f>AVERAGE(I4:I13)</f>
        <v>27.97</v>
      </c>
      <c r="J14">
        <f t="shared" si="0"/>
        <v>19.285</v>
      </c>
      <c r="K14">
        <f t="shared" si="0"/>
        <v>4.8460000000000001</v>
      </c>
      <c r="L14">
        <f t="shared" si="0"/>
        <v>6.5439999999999996</v>
      </c>
      <c r="M14">
        <f t="shared" si="0"/>
        <v>3.66</v>
      </c>
      <c r="N14">
        <f t="shared" si="0"/>
        <v>33.231249999999996</v>
      </c>
      <c r="O14">
        <f t="shared" si="0"/>
        <v>15.15625</v>
      </c>
      <c r="P14">
        <f t="shared" si="0"/>
        <v>2.9337499999999999</v>
      </c>
      <c r="Q14">
        <f t="shared" si="0"/>
        <v>5.75</v>
      </c>
      <c r="R14">
        <f t="shared" si="0"/>
        <v>9.5374999999999996</v>
      </c>
    </row>
    <row r="16" spans="1:18" x14ac:dyDescent="0.3">
      <c r="A16" t="s">
        <v>56</v>
      </c>
    </row>
    <row r="17" spans="1:18" x14ac:dyDescent="0.3">
      <c r="A17" t="s">
        <v>3</v>
      </c>
      <c r="B17" s="1" t="s">
        <v>23</v>
      </c>
      <c r="C17" s="1">
        <v>5.13</v>
      </c>
      <c r="D17" s="1">
        <v>0</v>
      </c>
      <c r="E17" s="1">
        <v>0</v>
      </c>
      <c r="F17" s="1">
        <v>0</v>
      </c>
      <c r="G17" s="1">
        <v>14.06</v>
      </c>
      <c r="H17" s="1">
        <v>1.79</v>
      </c>
      <c r="I17" s="1">
        <v>11.19</v>
      </c>
      <c r="J17" s="1">
        <v>18.53</v>
      </c>
      <c r="K17" s="1">
        <v>6.03</v>
      </c>
      <c r="L17" s="1">
        <v>9.3699999999999992</v>
      </c>
      <c r="M17" s="1">
        <v>16.329999999999998</v>
      </c>
      <c r="N17" s="1"/>
      <c r="O17" s="1"/>
      <c r="P17" s="1"/>
      <c r="Q17" s="1"/>
      <c r="R17" s="1"/>
    </row>
    <row r="18" spans="1:18" x14ac:dyDescent="0.3">
      <c r="A18" s="2"/>
      <c r="B18" s="1" t="s">
        <v>24</v>
      </c>
      <c r="C18" s="1">
        <v>5.12</v>
      </c>
      <c r="D18" s="1">
        <v>12.08</v>
      </c>
      <c r="E18" s="1">
        <v>2.68</v>
      </c>
      <c r="F18" s="1">
        <v>0</v>
      </c>
      <c r="G18" s="1">
        <v>0</v>
      </c>
      <c r="H18" s="1">
        <v>7.83</v>
      </c>
      <c r="I18" s="1">
        <v>5.58</v>
      </c>
      <c r="J18" s="1">
        <v>4.91</v>
      </c>
      <c r="K18" s="1">
        <v>4.6900000000000004</v>
      </c>
      <c r="L18" s="1">
        <v>2.68</v>
      </c>
      <c r="M18" s="1">
        <v>31.47</v>
      </c>
      <c r="N18" s="1"/>
      <c r="O18" s="1"/>
      <c r="P18" s="1"/>
      <c r="Q18" s="1"/>
      <c r="R18" s="1"/>
    </row>
    <row r="19" spans="1:18" x14ac:dyDescent="0.3">
      <c r="B19" s="1" t="s">
        <v>35</v>
      </c>
      <c r="C19" s="1">
        <v>1.79</v>
      </c>
      <c r="D19" s="1">
        <v>1.79</v>
      </c>
      <c r="E19" s="1">
        <v>2.23</v>
      </c>
      <c r="F19" s="1">
        <v>22.54</v>
      </c>
      <c r="G19" s="1">
        <v>5.13</v>
      </c>
      <c r="H19" s="1">
        <v>7.16</v>
      </c>
      <c r="I19" s="1">
        <v>23.88</v>
      </c>
      <c r="J19" s="1">
        <v>8.7100000000000009</v>
      </c>
      <c r="K19" s="1">
        <v>8.7100000000000009</v>
      </c>
      <c r="L19" s="1">
        <v>16.55</v>
      </c>
      <c r="M19" s="1">
        <v>0</v>
      </c>
      <c r="N19" s="1">
        <v>13.62</v>
      </c>
      <c r="O19" s="1">
        <v>3.79</v>
      </c>
      <c r="P19" s="1">
        <v>9.82</v>
      </c>
      <c r="Q19" s="1">
        <v>32.590000000000003</v>
      </c>
      <c r="R19" s="1">
        <v>36.69</v>
      </c>
    </row>
    <row r="20" spans="1:18" x14ac:dyDescent="0.3">
      <c r="B20" s="1" t="s">
        <v>36</v>
      </c>
      <c r="C20" s="1">
        <v>3.12</v>
      </c>
      <c r="D20" s="1">
        <v>18.79</v>
      </c>
      <c r="E20" s="1">
        <v>0</v>
      </c>
      <c r="F20" s="1">
        <v>2.23</v>
      </c>
      <c r="G20" s="1">
        <v>0</v>
      </c>
      <c r="H20" s="1">
        <v>2.46</v>
      </c>
      <c r="I20" s="1">
        <v>16.29</v>
      </c>
      <c r="J20" s="1">
        <v>47.1</v>
      </c>
      <c r="K20" s="1">
        <v>22.1</v>
      </c>
      <c r="L20" s="1">
        <v>2.2400000000000002</v>
      </c>
      <c r="M20" s="1">
        <v>17.63</v>
      </c>
      <c r="N20" s="1">
        <v>22.32</v>
      </c>
      <c r="O20" s="1">
        <v>8.93</v>
      </c>
      <c r="P20" s="1">
        <v>4.47</v>
      </c>
      <c r="Q20" s="1">
        <v>16.29</v>
      </c>
      <c r="R20" s="1">
        <v>15.66</v>
      </c>
    </row>
    <row r="21" spans="1:18" x14ac:dyDescent="0.3">
      <c r="B21" s="1" t="s">
        <v>41</v>
      </c>
      <c r="C21" s="1">
        <v>10.94</v>
      </c>
      <c r="D21" s="1">
        <v>11.38</v>
      </c>
      <c r="E21" s="1">
        <v>0</v>
      </c>
      <c r="F21" s="1">
        <v>0</v>
      </c>
      <c r="G21" s="1">
        <v>2.91</v>
      </c>
      <c r="H21" s="1">
        <v>0</v>
      </c>
      <c r="I21" s="1">
        <v>20.54</v>
      </c>
      <c r="J21" s="1">
        <v>4.24</v>
      </c>
      <c r="K21" s="1">
        <v>4.47</v>
      </c>
      <c r="L21" s="1">
        <v>1.79</v>
      </c>
      <c r="M21" s="1">
        <v>0</v>
      </c>
      <c r="N21" s="1">
        <v>12.95</v>
      </c>
      <c r="O21" s="1">
        <v>12.75</v>
      </c>
      <c r="P21" s="1">
        <v>0</v>
      </c>
      <c r="Q21" s="1">
        <v>15.18</v>
      </c>
      <c r="R21" s="1">
        <v>5.15</v>
      </c>
    </row>
    <row r="22" spans="1:18" x14ac:dyDescent="0.3">
      <c r="B22" s="1" t="s">
        <v>42</v>
      </c>
      <c r="C22" s="1">
        <v>2.0099999999999998</v>
      </c>
      <c r="D22" s="1">
        <v>2.68</v>
      </c>
      <c r="E22" s="1">
        <v>25.45</v>
      </c>
      <c r="F22" s="1">
        <v>4.24</v>
      </c>
      <c r="G22" s="1">
        <v>8.9499999999999993</v>
      </c>
      <c r="H22" s="1">
        <v>0</v>
      </c>
      <c r="I22" s="1">
        <v>33.71</v>
      </c>
      <c r="J22" s="1">
        <v>15.21</v>
      </c>
      <c r="K22" s="1">
        <v>1.79</v>
      </c>
      <c r="L22" s="1">
        <v>0</v>
      </c>
      <c r="M22" s="1">
        <v>0</v>
      </c>
      <c r="N22" s="1">
        <v>25.22</v>
      </c>
      <c r="O22" s="1">
        <v>14.09</v>
      </c>
      <c r="P22" s="1">
        <v>0</v>
      </c>
      <c r="Q22" s="1">
        <v>0</v>
      </c>
      <c r="R22" s="1">
        <v>3.13</v>
      </c>
    </row>
    <row r="23" spans="1:18" x14ac:dyDescent="0.3">
      <c r="A23" s="2"/>
      <c r="B23" s="1" t="s">
        <v>47</v>
      </c>
      <c r="C23" s="1">
        <v>2.0099999999999998</v>
      </c>
      <c r="D23" s="1">
        <v>0</v>
      </c>
      <c r="E23" s="1">
        <v>0</v>
      </c>
      <c r="F23" s="1">
        <v>2.9</v>
      </c>
      <c r="G23" s="1">
        <v>8.26</v>
      </c>
      <c r="H23" s="1">
        <v>11.19</v>
      </c>
      <c r="I23" s="1">
        <v>62.95</v>
      </c>
      <c r="J23" s="1">
        <v>22.54</v>
      </c>
      <c r="K23" s="1">
        <v>19.87</v>
      </c>
      <c r="L23" s="1">
        <v>0.22</v>
      </c>
      <c r="M23" s="1">
        <v>13.17</v>
      </c>
      <c r="N23" s="1">
        <v>59.37</v>
      </c>
      <c r="O23" s="1">
        <v>20.09</v>
      </c>
      <c r="P23" s="1">
        <v>32.89</v>
      </c>
      <c r="Q23" s="1">
        <v>17.190000000000001</v>
      </c>
      <c r="R23" s="1">
        <v>0</v>
      </c>
    </row>
    <row r="24" spans="1:18" x14ac:dyDescent="0.3">
      <c r="B24" s="1" t="s">
        <v>48</v>
      </c>
      <c r="C24" s="1">
        <v>19.2</v>
      </c>
      <c r="D24" s="1">
        <v>0</v>
      </c>
      <c r="E24" s="1">
        <v>0</v>
      </c>
      <c r="F24" s="1">
        <v>0</v>
      </c>
      <c r="G24" s="1">
        <v>5.13</v>
      </c>
      <c r="H24" s="1">
        <v>6.03</v>
      </c>
      <c r="I24" s="1">
        <v>39.29</v>
      </c>
      <c r="J24" s="1">
        <v>27.68</v>
      </c>
      <c r="K24" s="1">
        <v>7.38</v>
      </c>
      <c r="L24" s="1">
        <v>8.0399999999999991</v>
      </c>
      <c r="M24" s="1">
        <v>44.64</v>
      </c>
      <c r="N24" s="1">
        <v>10.74</v>
      </c>
      <c r="O24" s="1">
        <v>0</v>
      </c>
      <c r="P24" s="1">
        <v>5.58</v>
      </c>
      <c r="Q24" s="1">
        <v>1.79</v>
      </c>
      <c r="R24" s="1">
        <v>18.829999999999998</v>
      </c>
    </row>
    <row r="25" spans="1:18" x14ac:dyDescent="0.3">
      <c r="B25" s="1" t="s">
        <v>51</v>
      </c>
      <c r="C25" s="1">
        <v>3.8</v>
      </c>
      <c r="D25" s="1">
        <v>11.16</v>
      </c>
      <c r="E25" s="1">
        <v>0</v>
      </c>
      <c r="F25" s="1">
        <v>0</v>
      </c>
      <c r="G25" s="1">
        <v>3.13</v>
      </c>
      <c r="H25" s="1">
        <v>2.0099999999999998</v>
      </c>
      <c r="I25" s="1">
        <v>47.99</v>
      </c>
      <c r="J25" s="1">
        <v>7.37</v>
      </c>
      <c r="K25" s="1">
        <v>1.79</v>
      </c>
      <c r="L25" s="1">
        <v>0</v>
      </c>
      <c r="M25" s="1">
        <v>0</v>
      </c>
      <c r="N25" s="1">
        <v>23.88</v>
      </c>
      <c r="O25" s="1">
        <v>0</v>
      </c>
      <c r="P25" s="1">
        <v>2.0099999999999998</v>
      </c>
      <c r="Q25" s="1">
        <v>25</v>
      </c>
      <c r="R25" s="1">
        <v>0</v>
      </c>
    </row>
    <row r="26" spans="1:18" x14ac:dyDescent="0.3">
      <c r="B26" s="1" t="s">
        <v>52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44.64</v>
      </c>
      <c r="J26" s="1">
        <v>28.12</v>
      </c>
      <c r="K26" s="1">
        <v>4.6900000000000004</v>
      </c>
      <c r="L26" s="1">
        <v>9.15</v>
      </c>
      <c r="M26" s="1">
        <v>9.6199999999999992</v>
      </c>
      <c r="N26" s="1">
        <v>47.32</v>
      </c>
      <c r="O26" s="1">
        <v>12.95</v>
      </c>
      <c r="P26" s="1">
        <v>10.71</v>
      </c>
      <c r="Q26" s="1">
        <v>15.21</v>
      </c>
      <c r="R26" s="1">
        <v>0</v>
      </c>
    </row>
    <row r="27" spans="1:18" x14ac:dyDescent="0.3">
      <c r="B27" s="1" t="s">
        <v>101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34.15</v>
      </c>
      <c r="J27" s="1">
        <v>16.78</v>
      </c>
      <c r="K27" s="1">
        <v>0</v>
      </c>
      <c r="L27" s="1">
        <v>1.79</v>
      </c>
      <c r="M27" s="1">
        <v>0</v>
      </c>
      <c r="N27" s="1">
        <v>23.27</v>
      </c>
      <c r="O27" s="1">
        <v>6.33</v>
      </c>
      <c r="P27" s="1">
        <v>6.33</v>
      </c>
      <c r="Q27" s="1">
        <v>6.33</v>
      </c>
      <c r="R27" s="1">
        <v>6.33</v>
      </c>
    </row>
    <row r="28" spans="1:18" x14ac:dyDescent="0.3">
      <c r="A28" t="s">
        <v>14</v>
      </c>
      <c r="C28">
        <f t="shared" ref="C28:R28" si="1">AVERAGE(C17:C27)</f>
        <v>4.8290909090909082</v>
      </c>
      <c r="D28">
        <f t="shared" si="1"/>
        <v>5.2618181818181817</v>
      </c>
      <c r="E28">
        <f t="shared" si="1"/>
        <v>2.76</v>
      </c>
      <c r="F28">
        <f t="shared" si="1"/>
        <v>2.9009090909090904</v>
      </c>
      <c r="G28">
        <f t="shared" si="1"/>
        <v>4.3245454545454551</v>
      </c>
      <c r="H28">
        <f t="shared" si="1"/>
        <v>3.4972727272727271</v>
      </c>
      <c r="I28">
        <f t="shared" si="1"/>
        <v>30.928181818181812</v>
      </c>
      <c r="J28">
        <f t="shared" si="1"/>
        <v>18.29</v>
      </c>
      <c r="K28">
        <f t="shared" si="1"/>
        <v>7.4109090909090902</v>
      </c>
      <c r="L28">
        <f t="shared" si="1"/>
        <v>4.7118181818181819</v>
      </c>
      <c r="M28">
        <f t="shared" si="1"/>
        <v>12.078181818181816</v>
      </c>
      <c r="N28">
        <f t="shared" si="1"/>
        <v>26.521111111111111</v>
      </c>
      <c r="O28">
        <f t="shared" si="1"/>
        <v>8.7700000000000014</v>
      </c>
      <c r="P28">
        <f t="shared" si="1"/>
        <v>7.9788888888888874</v>
      </c>
      <c r="Q28">
        <f t="shared" si="1"/>
        <v>14.39777777777778</v>
      </c>
      <c r="R28">
        <f t="shared" si="1"/>
        <v>9.5322222222222219</v>
      </c>
    </row>
    <row r="31" spans="1:18" x14ac:dyDescent="0.3">
      <c r="A31" t="s">
        <v>55</v>
      </c>
      <c r="B31" s="4"/>
      <c r="C31" s="1"/>
      <c r="D31" s="1"/>
      <c r="E31" s="1"/>
      <c r="F31" s="1"/>
      <c r="G31" s="1"/>
      <c r="H31" s="1"/>
      <c r="I31" s="1"/>
      <c r="J31" s="1"/>
    </row>
    <row r="32" spans="1:18" x14ac:dyDescent="0.3">
      <c r="A32" s="2"/>
      <c r="B32" s="1" t="s">
        <v>104</v>
      </c>
      <c r="C32" s="1">
        <v>0</v>
      </c>
      <c r="D32" s="1">
        <v>4.0199999999999996</v>
      </c>
      <c r="E32" s="1">
        <v>4.03</v>
      </c>
      <c r="F32" s="1">
        <v>14.73</v>
      </c>
      <c r="G32" s="1">
        <v>0</v>
      </c>
      <c r="H32" s="1">
        <v>0.22</v>
      </c>
      <c r="I32" s="1">
        <v>18.3</v>
      </c>
      <c r="J32" s="1">
        <v>2.46</v>
      </c>
      <c r="K32" s="1">
        <v>12.5</v>
      </c>
      <c r="L32" s="1">
        <v>26.12</v>
      </c>
      <c r="M32" s="1">
        <v>4.91</v>
      </c>
      <c r="N32" s="1">
        <v>4.25</v>
      </c>
      <c r="O32" s="1">
        <v>7.72</v>
      </c>
      <c r="P32" s="1">
        <v>7.72</v>
      </c>
      <c r="Q32" s="1">
        <v>7.72</v>
      </c>
      <c r="R32" s="1">
        <v>7.72</v>
      </c>
    </row>
    <row r="33" spans="1:18" x14ac:dyDescent="0.3">
      <c r="B33" s="1"/>
      <c r="C33" s="1"/>
      <c r="D33" s="1"/>
      <c r="E33" s="1"/>
      <c r="F33" s="1"/>
      <c r="G33" s="1"/>
      <c r="H33" s="1"/>
      <c r="I33" s="1"/>
      <c r="J33" s="1"/>
    </row>
    <row r="34" spans="1:18" x14ac:dyDescent="0.3">
      <c r="A34" s="2"/>
      <c r="B34" s="1"/>
      <c r="C34" s="1"/>
      <c r="D34" s="1"/>
      <c r="E34" s="1"/>
      <c r="F34" s="1"/>
      <c r="G34" s="1"/>
      <c r="H34" s="1"/>
      <c r="I34" s="1"/>
      <c r="J34" s="1"/>
    </row>
    <row r="35" spans="1:18" x14ac:dyDescent="0.3">
      <c r="B35" s="1"/>
      <c r="C35" s="1"/>
      <c r="D35" s="1"/>
      <c r="E35" s="1"/>
      <c r="F35" s="1"/>
      <c r="G35" s="1"/>
      <c r="H35" s="1"/>
      <c r="I35" s="1"/>
      <c r="J35" s="1"/>
    </row>
    <row r="36" spans="1:18" x14ac:dyDescent="0.3">
      <c r="B36" s="1"/>
      <c r="C36" s="1"/>
      <c r="D36" s="1"/>
      <c r="E36" s="1"/>
      <c r="F36" s="1"/>
      <c r="G36" s="1"/>
      <c r="H36" s="1"/>
      <c r="I36" s="1"/>
      <c r="J36" s="1"/>
    </row>
    <row r="37" spans="1:18" x14ac:dyDescent="0.3">
      <c r="B37" s="1"/>
      <c r="C37" s="1"/>
      <c r="D37" s="1"/>
      <c r="E37" s="1"/>
      <c r="F37" s="1"/>
      <c r="G37" s="1"/>
      <c r="H37" s="1"/>
      <c r="I37" s="1"/>
      <c r="J37" s="1"/>
    </row>
    <row r="38" spans="1:18" x14ac:dyDescent="0.3">
      <c r="B38" s="1"/>
      <c r="C38" s="1"/>
      <c r="D38" s="1"/>
      <c r="E38" s="1"/>
      <c r="F38" s="1"/>
      <c r="G38" s="1"/>
      <c r="H38" s="1"/>
      <c r="I38" s="1"/>
      <c r="J38" s="1"/>
    </row>
    <row r="39" spans="1:18" x14ac:dyDescent="0.3">
      <c r="B39" s="1"/>
      <c r="C39" s="1"/>
      <c r="D39" s="1"/>
      <c r="E39" s="1"/>
      <c r="F39" s="1"/>
      <c r="G39" s="1"/>
      <c r="H39" s="1"/>
      <c r="I39" s="1"/>
      <c r="J39" s="1"/>
    </row>
    <row r="40" spans="1:18" x14ac:dyDescent="0.3">
      <c r="B40" s="1"/>
      <c r="C40" s="1"/>
      <c r="D40" s="1"/>
      <c r="E40" s="1"/>
      <c r="F40" s="1"/>
      <c r="G40" s="1"/>
      <c r="H40" s="1"/>
      <c r="I40" s="1"/>
      <c r="J40" s="1"/>
    </row>
    <row r="43" spans="1:18" x14ac:dyDescent="0.3">
      <c r="A43" t="s">
        <v>14</v>
      </c>
      <c r="C43">
        <f t="shared" ref="C43:R43" si="2">AVERAGE(C31:C42)</f>
        <v>0</v>
      </c>
      <c r="D43">
        <f t="shared" si="2"/>
        <v>4.0199999999999996</v>
      </c>
      <c r="E43">
        <f t="shared" si="2"/>
        <v>4.03</v>
      </c>
      <c r="F43">
        <f t="shared" si="2"/>
        <v>14.73</v>
      </c>
      <c r="G43">
        <f t="shared" si="2"/>
        <v>0</v>
      </c>
      <c r="H43">
        <f t="shared" si="2"/>
        <v>0.22</v>
      </c>
      <c r="I43">
        <f t="shared" si="2"/>
        <v>18.3</v>
      </c>
      <c r="J43">
        <f t="shared" si="2"/>
        <v>2.46</v>
      </c>
      <c r="K43">
        <f t="shared" si="2"/>
        <v>12.5</v>
      </c>
      <c r="L43">
        <f t="shared" si="2"/>
        <v>26.12</v>
      </c>
      <c r="M43">
        <f t="shared" si="2"/>
        <v>4.91</v>
      </c>
      <c r="N43">
        <f t="shared" si="2"/>
        <v>4.25</v>
      </c>
      <c r="O43">
        <f t="shared" si="2"/>
        <v>7.72</v>
      </c>
      <c r="P43">
        <f t="shared" si="2"/>
        <v>7.72</v>
      </c>
      <c r="Q43">
        <f t="shared" si="2"/>
        <v>7.72</v>
      </c>
      <c r="R43">
        <f t="shared" si="2"/>
        <v>7.72</v>
      </c>
    </row>
    <row r="46" spans="1:18" x14ac:dyDescent="0.3">
      <c r="A46" t="s">
        <v>79</v>
      </c>
    </row>
    <row r="47" spans="1:18" x14ac:dyDescent="0.3">
      <c r="B47" s="4" t="s">
        <v>80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51.35</v>
      </c>
      <c r="J47" s="1">
        <v>2.23</v>
      </c>
      <c r="K47" s="1">
        <v>0</v>
      </c>
      <c r="L47" s="1">
        <v>0</v>
      </c>
      <c r="M47" s="1">
        <v>0</v>
      </c>
      <c r="N47" s="1">
        <v>33.33</v>
      </c>
      <c r="O47" s="1">
        <v>7.23</v>
      </c>
      <c r="P47" s="1">
        <v>7.23</v>
      </c>
      <c r="Q47" s="1">
        <v>7.23</v>
      </c>
      <c r="R47" s="1">
        <v>7.23</v>
      </c>
    </row>
    <row r="48" spans="1:18" x14ac:dyDescent="0.3">
      <c r="B48" s="4" t="s">
        <v>81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66.67</v>
      </c>
      <c r="J48" s="1">
        <v>21.21</v>
      </c>
      <c r="K48" s="1">
        <v>0</v>
      </c>
      <c r="L48" s="1">
        <v>0</v>
      </c>
      <c r="M48" s="1">
        <v>0</v>
      </c>
      <c r="N48" s="1">
        <v>27.96</v>
      </c>
      <c r="O48" s="1">
        <v>9.66</v>
      </c>
      <c r="P48" s="1">
        <v>9.66</v>
      </c>
      <c r="Q48" s="1">
        <v>9.66</v>
      </c>
      <c r="R48" s="1">
        <v>9.66</v>
      </c>
    </row>
    <row r="49" spans="1:18" x14ac:dyDescent="0.3">
      <c r="B49" s="4" t="s">
        <v>82</v>
      </c>
      <c r="C49" s="1">
        <v>0</v>
      </c>
      <c r="D49" s="1">
        <v>0</v>
      </c>
      <c r="E49" s="1">
        <v>7.14</v>
      </c>
      <c r="F49" s="1">
        <v>0</v>
      </c>
      <c r="G49" s="1">
        <v>0</v>
      </c>
      <c r="H49" s="1">
        <v>0</v>
      </c>
      <c r="I49" s="1">
        <v>8.26</v>
      </c>
      <c r="J49" s="1">
        <v>0</v>
      </c>
      <c r="K49" s="1">
        <v>3.57</v>
      </c>
      <c r="L49" s="1">
        <v>1.79</v>
      </c>
      <c r="M49" s="1">
        <v>4.0199999999999996</v>
      </c>
      <c r="N49" s="1">
        <v>16.37</v>
      </c>
      <c r="O49" s="1">
        <v>3.42</v>
      </c>
      <c r="P49" s="1">
        <v>3.42</v>
      </c>
      <c r="Q49" s="1">
        <v>3.42</v>
      </c>
      <c r="R49" s="1">
        <v>3.42</v>
      </c>
    </row>
    <row r="50" spans="1:18" x14ac:dyDescent="0.3">
      <c r="B50" s="4" t="s">
        <v>83</v>
      </c>
      <c r="C50" s="1">
        <v>0</v>
      </c>
      <c r="D50" s="1">
        <v>2.0099999999999998</v>
      </c>
      <c r="E50" s="1">
        <v>0</v>
      </c>
      <c r="F50" s="1">
        <v>14.73</v>
      </c>
      <c r="G50" s="1">
        <v>0</v>
      </c>
      <c r="H50" s="1">
        <v>1.79</v>
      </c>
      <c r="I50" s="1">
        <v>22.6</v>
      </c>
      <c r="J50" s="1">
        <v>2.0099999999999998</v>
      </c>
      <c r="K50" s="1">
        <v>3.57</v>
      </c>
      <c r="L50" s="1">
        <v>0</v>
      </c>
      <c r="M50" s="1">
        <v>9.3699999999999992</v>
      </c>
      <c r="N50" s="1">
        <v>14.54</v>
      </c>
      <c r="O50" s="1">
        <v>5.88</v>
      </c>
      <c r="P50" s="1">
        <v>5.88</v>
      </c>
      <c r="Q50" s="1">
        <v>5.88</v>
      </c>
      <c r="R50" s="1">
        <v>5.88</v>
      </c>
    </row>
    <row r="51" spans="1:18" x14ac:dyDescent="0.3">
      <c r="B51" s="1" t="s">
        <v>92</v>
      </c>
      <c r="C51" s="1">
        <v>0</v>
      </c>
      <c r="D51" s="1">
        <v>0</v>
      </c>
      <c r="E51" s="1">
        <v>3.57</v>
      </c>
      <c r="F51" s="1">
        <v>2.0099999999999998</v>
      </c>
      <c r="G51" s="1">
        <v>16.96</v>
      </c>
      <c r="H51" s="1">
        <v>7.83</v>
      </c>
      <c r="I51" s="1">
        <v>13.17</v>
      </c>
      <c r="J51" s="1">
        <v>9.3699999999999992</v>
      </c>
      <c r="K51" s="1">
        <v>6.47</v>
      </c>
      <c r="L51" s="1">
        <v>1.79</v>
      </c>
      <c r="M51" s="1">
        <v>6.47</v>
      </c>
      <c r="N51" s="1">
        <v>27.29</v>
      </c>
      <c r="O51" s="1">
        <v>7.91</v>
      </c>
      <c r="P51" s="1">
        <v>7.91</v>
      </c>
      <c r="Q51" s="1">
        <v>7.91</v>
      </c>
      <c r="R51" s="1">
        <v>7.91</v>
      </c>
    </row>
    <row r="55" spans="1:18" x14ac:dyDescent="0.3">
      <c r="B55" t="s">
        <v>14</v>
      </c>
      <c r="C55">
        <f>AVERAGE(C47:C53)</f>
        <v>0</v>
      </c>
      <c r="D55">
        <f t="shared" ref="D55:R55" si="3">AVERAGE(D47:D53)</f>
        <v>0.40199999999999997</v>
      </c>
      <c r="E55">
        <f t="shared" si="3"/>
        <v>2.1419999999999999</v>
      </c>
      <c r="F55">
        <f t="shared" si="3"/>
        <v>3.3480000000000003</v>
      </c>
      <c r="G55">
        <f t="shared" si="3"/>
        <v>3.3920000000000003</v>
      </c>
      <c r="H55">
        <f t="shared" si="3"/>
        <v>1.9240000000000002</v>
      </c>
      <c r="I55">
        <f t="shared" si="3"/>
        <v>32.410000000000004</v>
      </c>
      <c r="J55">
        <f t="shared" si="3"/>
        <v>6.9640000000000004</v>
      </c>
      <c r="K55">
        <f t="shared" si="3"/>
        <v>2.722</v>
      </c>
      <c r="L55">
        <f t="shared" si="3"/>
        <v>0.71599999999999997</v>
      </c>
      <c r="M55">
        <f t="shared" si="3"/>
        <v>3.972</v>
      </c>
      <c r="N55">
        <f t="shared" si="3"/>
        <v>23.897999999999996</v>
      </c>
      <c r="O55">
        <f t="shared" si="3"/>
        <v>6.82</v>
      </c>
      <c r="P55">
        <f t="shared" si="3"/>
        <v>6.82</v>
      </c>
      <c r="Q55">
        <f t="shared" si="3"/>
        <v>6.82</v>
      </c>
      <c r="R55">
        <f t="shared" si="3"/>
        <v>6.82</v>
      </c>
    </row>
    <row r="58" spans="1:18" x14ac:dyDescent="0.3">
      <c r="A58" t="s">
        <v>58</v>
      </c>
    </row>
    <row r="59" spans="1:18" x14ac:dyDescent="0.3">
      <c r="B59" s="1" t="s">
        <v>93</v>
      </c>
      <c r="C59" s="1">
        <v>0</v>
      </c>
      <c r="D59" s="1">
        <v>2.0099999999999998</v>
      </c>
      <c r="E59" s="1">
        <v>14.51</v>
      </c>
      <c r="F59" s="1">
        <v>11.61</v>
      </c>
      <c r="G59" s="1">
        <v>0</v>
      </c>
      <c r="H59" s="1">
        <v>4.25</v>
      </c>
      <c r="I59" s="1">
        <v>18.3</v>
      </c>
      <c r="J59" s="1">
        <v>0</v>
      </c>
      <c r="K59" s="1">
        <v>4.24</v>
      </c>
      <c r="L59" s="1">
        <v>2.0099999999999998</v>
      </c>
      <c r="M59" s="1">
        <v>0</v>
      </c>
      <c r="N59" s="1">
        <v>0</v>
      </c>
      <c r="O59" s="1">
        <v>4.75</v>
      </c>
      <c r="P59" s="1">
        <v>4.75</v>
      </c>
      <c r="Q59" s="1">
        <v>4.75</v>
      </c>
      <c r="R59" s="1">
        <v>4.75</v>
      </c>
    </row>
    <row r="60" spans="1:18" x14ac:dyDescent="0.3">
      <c r="B60" s="1" t="s">
        <v>90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88.39</v>
      </c>
      <c r="J60" s="1">
        <v>24.78</v>
      </c>
      <c r="K60" s="1">
        <v>6.47</v>
      </c>
      <c r="L60" s="1">
        <v>0</v>
      </c>
      <c r="M60" s="1">
        <v>0</v>
      </c>
      <c r="N60" s="1">
        <v>70.25</v>
      </c>
      <c r="O60" s="1">
        <v>15.82</v>
      </c>
      <c r="P60" s="1">
        <v>15.82</v>
      </c>
      <c r="Q60" s="1">
        <v>15.82</v>
      </c>
      <c r="R60" s="1">
        <v>15.82</v>
      </c>
    </row>
    <row r="61" spans="1:18" x14ac:dyDescent="0.3">
      <c r="B61" s="1" t="s">
        <v>91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1.79</v>
      </c>
      <c r="J61" s="1">
        <v>0</v>
      </c>
      <c r="K61" s="1">
        <v>0</v>
      </c>
      <c r="L61" s="1">
        <v>0</v>
      </c>
      <c r="M61" s="1">
        <v>0</v>
      </c>
      <c r="N61" s="1">
        <v>2.68</v>
      </c>
      <c r="O61" s="1">
        <v>0.37</v>
      </c>
      <c r="P61" s="1">
        <v>0.37</v>
      </c>
      <c r="Q61" s="1">
        <v>0.37</v>
      </c>
      <c r="R61" s="1">
        <v>0.37</v>
      </c>
    </row>
    <row r="62" spans="1:18" x14ac:dyDescent="0.3">
      <c r="B62" s="1" t="s">
        <v>88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20.54</v>
      </c>
      <c r="J62" s="1">
        <v>2.0099999999999998</v>
      </c>
      <c r="K62" s="1">
        <v>0</v>
      </c>
      <c r="L62" s="1">
        <v>1.79</v>
      </c>
      <c r="M62" s="1">
        <v>2.9</v>
      </c>
      <c r="N62" s="1">
        <v>17.23</v>
      </c>
      <c r="O62" s="1">
        <v>3.7</v>
      </c>
      <c r="P62" s="1">
        <v>3.7</v>
      </c>
      <c r="Q62" s="1">
        <v>3.7</v>
      </c>
      <c r="R62" s="1">
        <v>3.7</v>
      </c>
    </row>
    <row r="63" spans="1:18" x14ac:dyDescent="0.3">
      <c r="B63" s="1" t="s">
        <v>89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0.67</v>
      </c>
      <c r="I63" s="1">
        <v>16.96</v>
      </c>
      <c r="J63" s="1">
        <v>2.2400000000000002</v>
      </c>
      <c r="K63" s="1">
        <v>0</v>
      </c>
      <c r="L63" s="1">
        <v>3.79</v>
      </c>
      <c r="M63" s="1">
        <v>2.0099999999999998</v>
      </c>
      <c r="N63" s="1">
        <v>56.73</v>
      </c>
      <c r="O63" s="1">
        <v>6.87</v>
      </c>
      <c r="P63" s="1">
        <v>6.87</v>
      </c>
      <c r="Q63" s="1">
        <v>6.87</v>
      </c>
      <c r="R63" s="1">
        <v>6.87</v>
      </c>
    </row>
    <row r="64" spans="1:18" x14ac:dyDescent="0.3">
      <c r="B64" s="1" t="s">
        <v>100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57.37</v>
      </c>
      <c r="J64" s="1">
        <v>11.83</v>
      </c>
      <c r="K64" s="1">
        <v>0</v>
      </c>
      <c r="L64" s="1">
        <v>0</v>
      </c>
      <c r="M64" s="1">
        <v>0</v>
      </c>
      <c r="N64" s="1">
        <v>35.65</v>
      </c>
      <c r="O64" s="1">
        <v>8.73</v>
      </c>
      <c r="P64" s="1">
        <v>8.73</v>
      </c>
      <c r="Q64" s="1">
        <v>8.73</v>
      </c>
      <c r="R64" s="1">
        <v>8.73</v>
      </c>
    </row>
    <row r="65" spans="2:18" x14ac:dyDescent="0.3">
      <c r="B65" s="1" t="s">
        <v>105</v>
      </c>
      <c r="C65" s="1">
        <v>0</v>
      </c>
      <c r="D65" s="1">
        <v>0</v>
      </c>
      <c r="E65" s="1">
        <v>2.0099999999999998</v>
      </c>
      <c r="F65" s="1">
        <v>0</v>
      </c>
      <c r="G65" s="1">
        <v>0</v>
      </c>
      <c r="H65" s="1">
        <v>0</v>
      </c>
      <c r="I65" s="1">
        <v>21.43</v>
      </c>
      <c r="J65" s="1">
        <v>8.48</v>
      </c>
      <c r="K65" s="1">
        <v>0</v>
      </c>
      <c r="L65" s="1">
        <v>2.68</v>
      </c>
      <c r="M65" s="1">
        <v>6.03</v>
      </c>
      <c r="N65" s="1">
        <v>13.87</v>
      </c>
      <c r="O65" s="1">
        <v>4.54</v>
      </c>
      <c r="P65" s="1">
        <v>4.54</v>
      </c>
      <c r="Q65" s="1">
        <v>4.54</v>
      </c>
      <c r="R65" s="1">
        <v>4.54</v>
      </c>
    </row>
    <row r="67" spans="2:18" x14ac:dyDescent="0.3">
      <c r="B67" t="s">
        <v>14</v>
      </c>
      <c r="C67">
        <f t="shared" ref="C67:R67" si="4">AVERAGE(C59:C65)</f>
        <v>0</v>
      </c>
      <c r="D67">
        <f t="shared" si="4"/>
        <v>0.28714285714285709</v>
      </c>
      <c r="E67">
        <f t="shared" si="4"/>
        <v>2.36</v>
      </c>
      <c r="F67">
        <f t="shared" si="4"/>
        <v>1.6585714285714286</v>
      </c>
      <c r="G67">
        <f t="shared" si="4"/>
        <v>0</v>
      </c>
      <c r="H67">
        <f t="shared" si="4"/>
        <v>0.70285714285714285</v>
      </c>
      <c r="I67">
        <f t="shared" si="4"/>
        <v>32.111428571428576</v>
      </c>
      <c r="J67">
        <f t="shared" si="4"/>
        <v>7.0485714285714289</v>
      </c>
      <c r="K67">
        <f t="shared" si="4"/>
        <v>1.53</v>
      </c>
      <c r="L67">
        <f t="shared" si="4"/>
        <v>1.4671428571428571</v>
      </c>
      <c r="M67">
        <f t="shared" si="4"/>
        <v>1.5628571428571429</v>
      </c>
      <c r="N67">
        <f t="shared" si="4"/>
        <v>28.058571428571433</v>
      </c>
      <c r="O67">
        <f t="shared" si="4"/>
        <v>6.3971428571428577</v>
      </c>
      <c r="P67">
        <f t="shared" si="4"/>
        <v>6.3971428571428577</v>
      </c>
      <c r="Q67">
        <f t="shared" si="4"/>
        <v>6.3971428571428577</v>
      </c>
      <c r="R67">
        <f t="shared" si="4"/>
        <v>6.3971428571428577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Conditioning</vt:lpstr>
      <vt:lpstr>Context</vt:lpstr>
      <vt:lpstr>Tone</vt:lpstr>
      <vt:lpstr>Tone 30s2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2017-03-21T01:38:10Z</dcterms:modified>
</cp:coreProperties>
</file>