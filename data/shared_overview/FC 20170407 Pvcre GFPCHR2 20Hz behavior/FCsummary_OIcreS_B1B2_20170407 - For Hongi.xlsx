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30"/>
  <workbookPr filterPrivacy="1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10 - FC 20170407 Pvcre GFPCHR2 20Hz/"/>
    </mc:Choice>
  </mc:AlternateContent>
  <bookViews>
    <workbookView xWindow="12260" yWindow="1380" windowWidth="16080" windowHeight="15360" activeTab="1"/>
  </bookViews>
  <sheets>
    <sheet name="Conditioning" sheetId="1" r:id="rId1"/>
    <sheet name="Context" sheetId="2" r:id="rId2"/>
    <sheet name="Tone" sheetId="3" r:id="rId3"/>
    <sheet name="Tone 30s2" sheetId="5" r:id="rId4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8" i="2" l="1"/>
  <c r="K22" i="2"/>
  <c r="D29" i="3"/>
  <c r="E29" i="3"/>
  <c r="F29" i="3"/>
  <c r="G29" i="3"/>
  <c r="H29" i="3"/>
  <c r="I29" i="3"/>
  <c r="J29" i="3"/>
  <c r="C29" i="3"/>
  <c r="D16" i="3"/>
  <c r="E16" i="3"/>
  <c r="F16" i="3"/>
  <c r="G16" i="3"/>
  <c r="H16" i="3"/>
  <c r="I16" i="3"/>
  <c r="J16" i="3"/>
  <c r="C16" i="3"/>
  <c r="K14" i="2"/>
  <c r="K15" i="2"/>
  <c r="K28" i="2"/>
  <c r="K27" i="2"/>
  <c r="D30" i="2"/>
  <c r="E30" i="2"/>
  <c r="F30" i="2"/>
  <c r="G30" i="2"/>
  <c r="H30" i="2"/>
  <c r="I30" i="2"/>
  <c r="J30" i="2"/>
  <c r="C30" i="2"/>
  <c r="K13" i="2"/>
  <c r="D16" i="2"/>
  <c r="E16" i="2"/>
  <c r="F16" i="2"/>
  <c r="G16" i="2"/>
  <c r="H16" i="2"/>
  <c r="I16" i="2"/>
  <c r="J16" i="2"/>
  <c r="C16" i="2"/>
  <c r="D16" i="1"/>
  <c r="E16" i="1"/>
  <c r="F16" i="1"/>
  <c r="G16" i="1"/>
  <c r="H16" i="1"/>
  <c r="I16" i="1"/>
  <c r="J16" i="1"/>
  <c r="C16" i="1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C5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C67" i="5"/>
  <c r="K12" i="2"/>
  <c r="K11" i="2"/>
  <c r="K26" i="2"/>
  <c r="K10" i="2"/>
  <c r="K24" i="2"/>
  <c r="K25" i="2"/>
  <c r="J29" i="1"/>
  <c r="C29" i="1"/>
  <c r="K6" i="2"/>
  <c r="K21" i="2"/>
  <c r="K30" i="2"/>
  <c r="K43" i="5"/>
  <c r="L43" i="5"/>
  <c r="M43" i="5"/>
  <c r="N43" i="5"/>
  <c r="O43" i="5"/>
  <c r="P43" i="5"/>
  <c r="Q43" i="5"/>
  <c r="R43" i="5"/>
  <c r="K28" i="5"/>
  <c r="L28" i="5"/>
  <c r="M28" i="5"/>
  <c r="N28" i="5"/>
  <c r="O28" i="5"/>
  <c r="P28" i="5"/>
  <c r="Q28" i="5"/>
  <c r="R28" i="5"/>
  <c r="K14" i="5"/>
  <c r="L14" i="5"/>
  <c r="M14" i="5"/>
  <c r="N14" i="5"/>
  <c r="O14" i="5"/>
  <c r="P14" i="5"/>
  <c r="Q14" i="5"/>
  <c r="R14" i="5"/>
  <c r="J43" i="5"/>
  <c r="I43" i="5"/>
  <c r="H43" i="5"/>
  <c r="G43" i="5"/>
  <c r="F43" i="5"/>
  <c r="E43" i="5"/>
  <c r="D43" i="5"/>
  <c r="C43" i="5"/>
  <c r="J28" i="5"/>
  <c r="I28" i="5"/>
  <c r="H28" i="5"/>
  <c r="G28" i="5"/>
  <c r="F28" i="5"/>
  <c r="E28" i="5"/>
  <c r="D28" i="5"/>
  <c r="C28" i="5"/>
  <c r="J14" i="5"/>
  <c r="I14" i="5"/>
  <c r="H14" i="5"/>
  <c r="G14" i="5"/>
  <c r="F14" i="5"/>
  <c r="E14" i="5"/>
  <c r="D14" i="5"/>
  <c r="C14" i="5"/>
  <c r="D29" i="1"/>
  <c r="E29" i="1"/>
  <c r="F29" i="1"/>
  <c r="G29" i="1"/>
  <c r="H29" i="1"/>
  <c r="I29" i="1"/>
  <c r="K7" i="2"/>
  <c r="K5" i="2"/>
  <c r="K16" i="2"/>
</calcChain>
</file>

<file path=xl/sharedStrings.xml><?xml version="1.0" encoding="utf-8"?>
<sst xmlns="http://schemas.openxmlformats.org/spreadsheetml/2006/main" count="118" uniqueCount="86">
  <si>
    <t>% freeze</t>
  </si>
  <si>
    <t>Onset</t>
  </si>
  <si>
    <t>NO</t>
    <phoneticPr fontId="1" type="noConversion"/>
  </si>
  <si>
    <t>CH</t>
    <phoneticPr fontId="1" type="noConversion"/>
  </si>
  <si>
    <t>mean</t>
    <phoneticPr fontId="1" type="noConversion"/>
  </si>
  <si>
    <t>OIcreNO1t</t>
  </si>
  <si>
    <t>OIcreNO2t</t>
  </si>
  <si>
    <t>OIcreCH1t</t>
  </si>
  <si>
    <t>OIcreCH2t</t>
  </si>
  <si>
    <t>OIcreNO3t</t>
  </si>
  <si>
    <t>OIcreNO4t</t>
  </si>
  <si>
    <t>Duration</t>
  </si>
  <si>
    <t>4min</t>
    <phoneticPr fontId="1" type="noConversion"/>
  </si>
  <si>
    <t>OIcreNO5t</t>
  </si>
  <si>
    <t>OIcreNO6t</t>
  </si>
  <si>
    <t>OIcreCH3t</t>
  </si>
  <si>
    <t>OIcreCH4t</t>
  </si>
  <si>
    <t>OIcreCH5t</t>
  </si>
  <si>
    <t>OIcreCH6t</t>
  </si>
  <si>
    <t>OIcreCH7t</t>
  </si>
  <si>
    <t>OIcreCH8t</t>
  </si>
  <si>
    <t>OIcreCH9tt</t>
  </si>
  <si>
    <t>OIcreCH10tt</t>
  </si>
  <si>
    <t>mean</t>
    <phoneticPr fontId="1" type="noConversion"/>
  </si>
  <si>
    <t>IN-GFP-Spindle</t>
    <phoneticPr fontId="1" type="noConversion"/>
  </si>
  <si>
    <t>IN-CH-Spindle</t>
    <phoneticPr fontId="1" type="noConversion"/>
  </si>
  <si>
    <t>IN-GFP-20hz</t>
    <phoneticPr fontId="1" type="noConversion"/>
  </si>
  <si>
    <t>IN-CH-20Hz</t>
    <phoneticPr fontId="1" type="noConversion"/>
  </si>
  <si>
    <t>OIcreS1c</t>
    <phoneticPr fontId="1" type="noConversion"/>
  </si>
  <si>
    <t>OIcreS2c</t>
    <phoneticPr fontId="1" type="noConversion"/>
  </si>
  <si>
    <t>OIcreS3c</t>
  </si>
  <si>
    <t>OIcreS4c</t>
  </si>
  <si>
    <t>OIcreS6</t>
    <phoneticPr fontId="1" type="noConversion"/>
  </si>
  <si>
    <t>OIcreS7</t>
  </si>
  <si>
    <t>OIcreS9</t>
  </si>
  <si>
    <t>OIcreS10</t>
  </si>
  <si>
    <t>OIcreS6c</t>
    <phoneticPr fontId="1" type="noConversion"/>
  </si>
  <si>
    <t>OIcreS7c</t>
    <phoneticPr fontId="1" type="noConversion"/>
  </si>
  <si>
    <t>mean</t>
    <phoneticPr fontId="1" type="noConversion"/>
  </si>
  <si>
    <t>IN-GFP-20Hz</t>
    <phoneticPr fontId="1" type="noConversion"/>
  </si>
  <si>
    <t>OIcreS1t</t>
    <phoneticPr fontId="1" type="noConversion"/>
  </si>
  <si>
    <t>OIcreS2t</t>
    <phoneticPr fontId="1" type="noConversion"/>
  </si>
  <si>
    <t>OIcreS3t</t>
    <phoneticPr fontId="1" type="noConversion"/>
  </si>
  <si>
    <t>OIcreS4t</t>
    <phoneticPr fontId="1" type="noConversion"/>
  </si>
  <si>
    <t>OIcreS6t</t>
    <phoneticPr fontId="1" type="noConversion"/>
  </si>
  <si>
    <t>OIcreS9c</t>
  </si>
  <si>
    <t>OIcreS10c</t>
  </si>
  <si>
    <t>OIcreS9t</t>
  </si>
  <si>
    <t>OIcreS10t</t>
  </si>
  <si>
    <t>OIcreS7t</t>
  </si>
  <si>
    <t>OIcreS8t</t>
  </si>
  <si>
    <t>OicreS5t</t>
  </si>
  <si>
    <t>OicreS6t</t>
  </si>
  <si>
    <t>OIcreS12c</t>
  </si>
  <si>
    <t>OIcreS12</t>
  </si>
  <si>
    <t>OIcreS14</t>
  </si>
  <si>
    <t>OIcreS12t</t>
  </si>
  <si>
    <t>OIcreS11tt</t>
  </si>
  <si>
    <t>OIcreS14c</t>
  </si>
  <si>
    <t>OIcreS13t</t>
  </si>
  <si>
    <t>OIcreS14t</t>
  </si>
  <si>
    <t>OIcreS1</t>
  </si>
  <si>
    <t>OIcreS2</t>
  </si>
  <si>
    <t>OIcreS3</t>
  </si>
  <si>
    <t>OIcreS4</t>
  </si>
  <si>
    <t>OIcreS16</t>
  </si>
  <si>
    <t>OIcreS17</t>
  </si>
  <si>
    <t>OIcreS18</t>
  </si>
  <si>
    <t>OIcreS16c</t>
  </si>
  <si>
    <t>OIcreS19</t>
  </si>
  <si>
    <t>OIcreS20</t>
  </si>
  <si>
    <t>OIcreS17c</t>
  </si>
  <si>
    <t>OIcreS18c</t>
  </si>
  <si>
    <t>OIcreS16t</t>
  </si>
  <si>
    <t>OIcreS17t</t>
  </si>
  <si>
    <t>OIcreS18t</t>
  </si>
  <si>
    <t>OIcreS21</t>
  </si>
  <si>
    <t>OIcreS22</t>
  </si>
  <si>
    <t>OIcreS19c</t>
  </si>
  <si>
    <t>OIcreS20c</t>
  </si>
  <si>
    <t>OIcreS21c</t>
  </si>
  <si>
    <t>OIcreS22c</t>
  </si>
  <si>
    <t>OIcreS21t</t>
  </si>
  <si>
    <t>OIcreS22t</t>
  </si>
  <si>
    <t>OIcreS19t</t>
  </si>
  <si>
    <t>OIcreS20t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</si>
</sst>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 applyAlignment="1">
      <alignment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Freezing (%) - Conditioning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Conditioning!$C$16:$J$16</c:f>
              <c:numCache>
                <c:formatCode>General</c:formatCode>
                <c:ptCount val="8"/>
                <c:pt idx="0">
                  <c:v>1.452</c:v>
                </c:pt>
                <c:pt idx="1">
                  <c:v>8.04</c:v>
                </c:pt>
                <c:pt idx="2">
                  <c:v>8.634</c:v>
                </c:pt>
                <c:pt idx="3">
                  <c:v>5.216</c:v>
                </c:pt>
                <c:pt idx="4">
                  <c:v>4.981</c:v>
                </c:pt>
                <c:pt idx="5">
                  <c:v>14.111</c:v>
                </c:pt>
                <c:pt idx="6">
                  <c:v>24.747</c:v>
                </c:pt>
                <c:pt idx="7">
                  <c:v>25.751</c:v>
                </c:pt>
              </c:numCache>
            </c:numRef>
          </c:val>
          <c:smooth val="0"/>
        </c:ser>
        <c:ser>
          <c:idx val="4"/>
          <c:order val="1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Conditioning!$C$29:$J$29</c:f>
              <c:numCache>
                <c:formatCode>General</c:formatCode>
                <c:ptCount val="8"/>
                <c:pt idx="0">
                  <c:v>1.028</c:v>
                </c:pt>
                <c:pt idx="1">
                  <c:v>1.608</c:v>
                </c:pt>
                <c:pt idx="2">
                  <c:v>3.552</c:v>
                </c:pt>
                <c:pt idx="3">
                  <c:v>3.794</c:v>
                </c:pt>
                <c:pt idx="4">
                  <c:v>4.466</c:v>
                </c:pt>
                <c:pt idx="5">
                  <c:v>6.792</c:v>
                </c:pt>
                <c:pt idx="6">
                  <c:v>14.49</c:v>
                </c:pt>
                <c:pt idx="7">
                  <c:v>32.854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7213456"/>
        <c:axId val="-2117186144"/>
      </c:lineChart>
      <c:catAx>
        <c:axId val="-211721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186144"/>
        <c:crosses val="autoZero"/>
        <c:auto val="1"/>
        <c:lblAlgn val="ctr"/>
        <c:lblOffset val="100"/>
        <c:noMultiLvlLbl val="0"/>
      </c:catAx>
      <c:valAx>
        <c:axId val="-211718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21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IN-GFP-20hz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Conditioning!$J$16</c:f>
              <c:numCache>
                <c:formatCode>General</c:formatCode>
                <c:ptCount val="1"/>
                <c:pt idx="0">
                  <c:v>25.751</c:v>
                </c:pt>
              </c:numCache>
            </c:numRef>
          </c:val>
        </c:ser>
        <c:ser>
          <c:idx val="4"/>
          <c:order val="1"/>
          <c:tx>
            <c:v>IN-CH-20hz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Conditioning!$J$29</c:f>
              <c:numCache>
                <c:formatCode>General</c:formatCode>
                <c:ptCount val="1"/>
                <c:pt idx="0">
                  <c:v>32.854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17717760"/>
        <c:axId val="-2117714544"/>
      </c:barChart>
      <c:catAx>
        <c:axId val="-21177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714544"/>
        <c:crosses val="autoZero"/>
        <c:auto val="1"/>
        <c:lblAlgn val="ctr"/>
        <c:lblOffset val="100"/>
        <c:noMultiLvlLbl val="0"/>
      </c:catAx>
      <c:valAx>
        <c:axId val="-21177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71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"/>
          <c:y val="0.0790321624896623"/>
          <c:w val="0.81570943948212"/>
          <c:h val="0.813506339147618"/>
        </c:manualLayout>
      </c:layout>
      <c:scatterChart>
        <c:scatterStyle val="lineMarker"/>
        <c:varyColors val="0"/>
        <c:ser>
          <c:idx val="3"/>
          <c:order val="0"/>
          <c:tx>
            <c:v>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Conditioning!#REF!</c:f>
            </c:numRef>
          </c:xVal>
          <c:yVal>
            <c:numRef>
              <c:f>Conditioning!#REF!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0"/>
        </c:ser>
        <c:ser>
          <c:idx val="1"/>
          <c:order val="1"/>
          <c:tx>
            <c:v>IN-CH-Spindle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Conditioning!#REF!</c:f>
            </c:numRef>
          </c:xVal>
          <c:yVal>
            <c:numRef>
              <c:f>Conditioning!#REF!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0"/>
        </c:ser>
        <c:ser>
          <c:idx val="2"/>
          <c:order val="2"/>
          <c:tx>
            <c:v>IN-GFP-SPindle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Conditioning!#REF!</c:f>
            </c:numRef>
          </c:xVal>
          <c:yVal>
            <c:numRef>
              <c:f>Conditioning!#REF!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yVal>
          <c:smooth val="0"/>
        </c:ser>
        <c:ser>
          <c:idx val="0"/>
          <c:order val="3"/>
          <c:tx>
            <c:v>IN-GFP-20hz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Conditioning!$K$5:$K$15</c:f>
              <c:numCache>
                <c:formatCode>General</c:formatCode>
                <c:ptCount val="11"/>
                <c:pt idx="0">
                  <c:v>4.0</c:v>
                </c:pt>
                <c:pt idx="1">
                  <c:v>4.0</c:v>
                </c:pt>
                <c:pt idx="2">
                  <c:v>4.0</c:v>
                </c:pt>
                <c:pt idx="3">
                  <c:v>4.0</c:v>
                </c:pt>
                <c:pt idx="5">
                  <c:v>4.0</c:v>
                </c:pt>
                <c:pt idx="6">
                  <c:v>4.0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4.0</c:v>
                </c:pt>
              </c:numCache>
            </c:numRef>
          </c:xVal>
          <c:yVal>
            <c:numRef>
              <c:f>Conditioning!$J$5:$J$15</c:f>
              <c:numCache>
                <c:formatCode>General</c:formatCode>
                <c:ptCount val="11"/>
                <c:pt idx="0">
                  <c:v>34.34</c:v>
                </c:pt>
                <c:pt idx="1">
                  <c:v>20.63</c:v>
                </c:pt>
                <c:pt idx="2">
                  <c:v>17.32</c:v>
                </c:pt>
                <c:pt idx="3">
                  <c:v>20.89</c:v>
                </c:pt>
                <c:pt idx="5">
                  <c:v>20.56</c:v>
                </c:pt>
                <c:pt idx="6">
                  <c:v>28.75</c:v>
                </c:pt>
                <c:pt idx="7">
                  <c:v>25.14</c:v>
                </c:pt>
                <c:pt idx="8">
                  <c:v>19.57</c:v>
                </c:pt>
                <c:pt idx="9">
                  <c:v>42.12</c:v>
                </c:pt>
                <c:pt idx="10">
                  <c:v>28.19</c:v>
                </c:pt>
              </c:numCache>
            </c:numRef>
          </c:yVal>
          <c:smooth val="0"/>
        </c:ser>
        <c:ser>
          <c:idx val="4"/>
          <c:order val="4"/>
          <c:tx>
            <c:v>IN-CH-20hz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Conditioning!$K$20:$K$28</c:f>
              <c:numCache>
                <c:formatCode>General</c:formatCode>
                <c:ptCount val="9"/>
                <c:pt idx="0">
                  <c:v>5.0</c:v>
                </c:pt>
                <c:pt idx="1">
                  <c:v>5.0</c:v>
                </c:pt>
                <c:pt idx="3">
                  <c:v>5.0</c:v>
                </c:pt>
                <c:pt idx="4">
                  <c:v>5.0</c:v>
                </c:pt>
                <c:pt idx="5">
                  <c:v>5.0</c:v>
                </c:pt>
                <c:pt idx="6">
                  <c:v>5.0</c:v>
                </c:pt>
                <c:pt idx="7">
                  <c:v>5.0</c:v>
                </c:pt>
              </c:numCache>
            </c:numRef>
          </c:xVal>
          <c:yVal>
            <c:numRef>
              <c:f>Conditioning!$J$20:$J$28</c:f>
              <c:numCache>
                <c:formatCode>General</c:formatCode>
                <c:ptCount val="9"/>
                <c:pt idx="0">
                  <c:v>38.26</c:v>
                </c:pt>
                <c:pt idx="1">
                  <c:v>48.55</c:v>
                </c:pt>
                <c:pt idx="3">
                  <c:v>32.74</c:v>
                </c:pt>
                <c:pt idx="4">
                  <c:v>20.89</c:v>
                </c:pt>
                <c:pt idx="5">
                  <c:v>23.83</c:v>
                </c:pt>
                <c:pt idx="6">
                  <c:v>29.39</c:v>
                </c:pt>
                <c:pt idx="7">
                  <c:v>21.84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8290704"/>
        <c:axId val="-2118287776"/>
      </c:scatterChart>
      <c:valAx>
        <c:axId val="-211829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8287776"/>
        <c:crosses val="autoZero"/>
        <c:crossBetween val="midCat"/>
      </c:valAx>
      <c:valAx>
        <c:axId val="-21182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829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 (%) - Context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Context!$C$16:$J$16</c:f>
              <c:numCache>
                <c:formatCode>General</c:formatCode>
                <c:ptCount val="8"/>
                <c:pt idx="0">
                  <c:v>16.053</c:v>
                </c:pt>
                <c:pt idx="1">
                  <c:v>22.262</c:v>
                </c:pt>
                <c:pt idx="2">
                  <c:v>31.313</c:v>
                </c:pt>
                <c:pt idx="3">
                  <c:v>29.75</c:v>
                </c:pt>
                <c:pt idx="4">
                  <c:v>18.027</c:v>
                </c:pt>
                <c:pt idx="5">
                  <c:v>21.871</c:v>
                </c:pt>
                <c:pt idx="6">
                  <c:v>19.635</c:v>
                </c:pt>
                <c:pt idx="7">
                  <c:v>18.218</c:v>
                </c:pt>
              </c:numCache>
            </c:numRef>
          </c:val>
          <c:smooth val="0"/>
        </c:ser>
        <c:ser>
          <c:idx val="4"/>
          <c:order val="1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Context!$C$30:$J$30</c:f>
              <c:numCache>
                <c:formatCode>General</c:formatCode>
                <c:ptCount val="8"/>
                <c:pt idx="0">
                  <c:v>12.40428571428571</c:v>
                </c:pt>
                <c:pt idx="1">
                  <c:v>26.65857142857143</c:v>
                </c:pt>
                <c:pt idx="2">
                  <c:v>33.49285714285714</c:v>
                </c:pt>
                <c:pt idx="3">
                  <c:v>30.00142857142857</c:v>
                </c:pt>
                <c:pt idx="4">
                  <c:v>25.11428571428571</c:v>
                </c:pt>
                <c:pt idx="5">
                  <c:v>23.67428571428571</c:v>
                </c:pt>
                <c:pt idx="6">
                  <c:v>25.06142857142857</c:v>
                </c:pt>
                <c:pt idx="7">
                  <c:v>18.77142857142857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7654080"/>
        <c:axId val="-2117650848"/>
      </c:lineChart>
      <c:catAx>
        <c:axId val="-211765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650848"/>
        <c:crosses val="autoZero"/>
        <c:auto val="1"/>
        <c:lblAlgn val="ctr"/>
        <c:lblOffset val="100"/>
        <c:noMultiLvlLbl val="0"/>
      </c:catAx>
      <c:valAx>
        <c:axId val="-211765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65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"/>
          <c:y val="0.0790321624896623"/>
          <c:w val="0.81570943948212"/>
          <c:h val="0.813506339147618"/>
        </c:manualLayout>
      </c:layout>
      <c:scatterChart>
        <c:scatterStyle val="lineMarker"/>
        <c:varyColors val="0"/>
        <c:ser>
          <c:idx val="0"/>
          <c:order val="0"/>
          <c:tx>
            <c:v>IN-GFP-20hz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Context!$L$5:$L$15</c:f>
              <c:numCache>
                <c:formatCode>General</c:formatCode>
                <c:ptCount val="11"/>
                <c:pt idx="0">
                  <c:v>4.0</c:v>
                </c:pt>
                <c:pt idx="1">
                  <c:v>4.0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4.0</c:v>
                </c:pt>
                <c:pt idx="7">
                  <c:v>4.0</c:v>
                </c:pt>
                <c:pt idx="8">
                  <c:v>4.0</c:v>
                </c:pt>
                <c:pt idx="9">
                  <c:v>4.0</c:v>
                </c:pt>
                <c:pt idx="10">
                  <c:v>4.0</c:v>
                </c:pt>
              </c:numCache>
            </c:numRef>
          </c:xVal>
          <c:yVal>
            <c:numRef>
              <c:f>Context!$K$5:$K$15</c:f>
              <c:numCache>
                <c:formatCode>General</c:formatCode>
                <c:ptCount val="11"/>
                <c:pt idx="0">
                  <c:v>11.97</c:v>
                </c:pt>
                <c:pt idx="1">
                  <c:v>41.1675</c:v>
                </c:pt>
                <c:pt idx="2">
                  <c:v>21.775</c:v>
                </c:pt>
                <c:pt idx="3">
                  <c:v>7.9825</c:v>
                </c:pt>
                <c:pt idx="5">
                  <c:v>10.245</c:v>
                </c:pt>
                <c:pt idx="6">
                  <c:v>29.0625</c:v>
                </c:pt>
                <c:pt idx="7">
                  <c:v>39.9925</c:v>
                </c:pt>
                <c:pt idx="8">
                  <c:v>32.77</c:v>
                </c:pt>
                <c:pt idx="9">
                  <c:v>27.465</c:v>
                </c:pt>
                <c:pt idx="10">
                  <c:v>26.015</c:v>
                </c:pt>
              </c:numCache>
            </c:numRef>
          </c:yVal>
          <c:smooth val="0"/>
        </c:ser>
        <c:ser>
          <c:idx val="4"/>
          <c:order val="1"/>
          <c:tx>
            <c:v>IN-CH-20hz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Context!$L$21:$L$29</c:f>
              <c:numCache>
                <c:formatCode>General</c:formatCode>
                <c:ptCount val="9"/>
                <c:pt idx="0">
                  <c:v>5.0</c:v>
                </c:pt>
                <c:pt idx="1">
                  <c:v>5.0</c:v>
                </c:pt>
                <c:pt idx="2">
                  <c:v>5.0</c:v>
                </c:pt>
                <c:pt idx="3">
                  <c:v>5.0</c:v>
                </c:pt>
                <c:pt idx="4">
                  <c:v>5.0</c:v>
                </c:pt>
                <c:pt idx="5">
                  <c:v>5.0</c:v>
                </c:pt>
                <c:pt idx="6">
                  <c:v>5.0</c:v>
                </c:pt>
                <c:pt idx="7">
                  <c:v>5.0</c:v>
                </c:pt>
              </c:numCache>
            </c:numRef>
          </c:xVal>
          <c:yVal>
            <c:numRef>
              <c:f>Context!$K$21:$K$29</c:f>
              <c:numCache>
                <c:formatCode>General</c:formatCode>
                <c:ptCount val="9"/>
                <c:pt idx="0">
                  <c:v>21.355</c:v>
                </c:pt>
                <c:pt idx="1">
                  <c:v>50.3625</c:v>
                </c:pt>
                <c:pt idx="3">
                  <c:v>10.4675</c:v>
                </c:pt>
                <c:pt idx="4">
                  <c:v>13.2625</c:v>
                </c:pt>
                <c:pt idx="5">
                  <c:v>21.4125</c:v>
                </c:pt>
                <c:pt idx="6">
                  <c:v>32.025</c:v>
                </c:pt>
                <c:pt idx="7">
                  <c:v>30.59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7617520"/>
        <c:axId val="-2117614576"/>
      </c:scatterChart>
      <c:valAx>
        <c:axId val="-21176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614576"/>
        <c:crosses val="autoZero"/>
        <c:crossBetween val="midCat"/>
      </c:valAx>
      <c:valAx>
        <c:axId val="-211761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61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Tone!#REF!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Tone!#REF!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Tone!#REF!</c:f>
              <c:numCache>
                <c:formatCode>General</c:formatCode>
                <c:ptCount val="1"/>
                <c:pt idx="0">
                  <c:v>1.0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Tone!$C$16:$J$16</c:f>
              <c:numCache>
                <c:formatCode>General</c:formatCode>
                <c:ptCount val="8"/>
                <c:pt idx="0">
                  <c:v>1.407</c:v>
                </c:pt>
                <c:pt idx="1">
                  <c:v>4.431</c:v>
                </c:pt>
                <c:pt idx="2">
                  <c:v>3.138</c:v>
                </c:pt>
                <c:pt idx="3">
                  <c:v>19.446</c:v>
                </c:pt>
                <c:pt idx="4">
                  <c:v>3.519</c:v>
                </c:pt>
                <c:pt idx="5">
                  <c:v>13.562</c:v>
                </c:pt>
                <c:pt idx="6">
                  <c:v>7.590000000000001</c:v>
                </c:pt>
                <c:pt idx="7">
                  <c:v>7.590000000000001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Tone!$C$29:$J$29</c:f>
              <c:numCache>
                <c:formatCode>General</c:formatCode>
                <c:ptCount val="8"/>
                <c:pt idx="0">
                  <c:v>3.19</c:v>
                </c:pt>
                <c:pt idx="1">
                  <c:v>3.092857142857143</c:v>
                </c:pt>
                <c:pt idx="2">
                  <c:v>1.754285714285714</c:v>
                </c:pt>
                <c:pt idx="3">
                  <c:v>18.35428571428571</c:v>
                </c:pt>
                <c:pt idx="4">
                  <c:v>2.521428571428571</c:v>
                </c:pt>
                <c:pt idx="5">
                  <c:v>15.21857142857143</c:v>
                </c:pt>
                <c:pt idx="6">
                  <c:v>7.358571428571429</c:v>
                </c:pt>
                <c:pt idx="7">
                  <c:v>7.358571428571429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7549600"/>
        <c:axId val="-2117546368"/>
      </c:lineChart>
      <c:catAx>
        <c:axId val="-211754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546368"/>
        <c:crosses val="autoZero"/>
        <c:auto val="1"/>
        <c:lblAlgn val="ctr"/>
        <c:lblOffset val="100"/>
        <c:noMultiLvlLbl val="0"/>
      </c:catAx>
      <c:valAx>
        <c:axId val="-2117546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54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0822553012076413"/>
          <c:y val="0.212821510884549"/>
          <c:w val="0.907120533249455"/>
          <c:h val="0.723265296989232"/>
        </c:manualLayout>
      </c:layout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'Tone 30s2'!$C$14:$R$14</c:f>
              <c:numCache>
                <c:formatCode>General</c:formatCode>
                <c:ptCount val="16"/>
                <c:pt idx="0">
                  <c:v>0.87</c:v>
                </c:pt>
                <c:pt idx="1">
                  <c:v>0.827</c:v>
                </c:pt>
                <c:pt idx="2">
                  <c:v>2.257</c:v>
                </c:pt>
                <c:pt idx="3">
                  <c:v>1.25</c:v>
                </c:pt>
                <c:pt idx="4">
                  <c:v>2.188</c:v>
                </c:pt>
                <c:pt idx="5">
                  <c:v>3.415999999999999</c:v>
                </c:pt>
                <c:pt idx="6">
                  <c:v>27.97</c:v>
                </c:pt>
                <c:pt idx="7">
                  <c:v>19.285</c:v>
                </c:pt>
                <c:pt idx="8">
                  <c:v>4.846</c:v>
                </c:pt>
                <c:pt idx="9">
                  <c:v>6.544</c:v>
                </c:pt>
                <c:pt idx="10">
                  <c:v>3.66</c:v>
                </c:pt>
                <c:pt idx="11">
                  <c:v>33.23125</c:v>
                </c:pt>
                <c:pt idx="12">
                  <c:v>15.15625</c:v>
                </c:pt>
                <c:pt idx="13">
                  <c:v>2.93375</c:v>
                </c:pt>
                <c:pt idx="14">
                  <c:v>5.75</c:v>
                </c:pt>
                <c:pt idx="15">
                  <c:v>9.5375</c:v>
                </c:pt>
              </c:numCache>
            </c:numRef>
          </c:val>
          <c:smooth val="0"/>
        </c:ser>
        <c:ser>
          <c:idx val="1"/>
          <c:order val="1"/>
          <c:tx>
            <c:v>IN-CH-Spindle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'Tone 30s2'!$C$28:$R$28</c:f>
              <c:numCache>
                <c:formatCode>General</c:formatCode>
                <c:ptCount val="16"/>
                <c:pt idx="0">
                  <c:v>4.829090909090908</c:v>
                </c:pt>
                <c:pt idx="1">
                  <c:v>5.261818181818181</c:v>
                </c:pt>
                <c:pt idx="2">
                  <c:v>2.76</c:v>
                </c:pt>
                <c:pt idx="3">
                  <c:v>2.90090909090909</c:v>
                </c:pt>
                <c:pt idx="4">
                  <c:v>4.324545454545455</c:v>
                </c:pt>
                <c:pt idx="5">
                  <c:v>3.497272727272727</c:v>
                </c:pt>
                <c:pt idx="6">
                  <c:v>30.92818181818181</c:v>
                </c:pt>
                <c:pt idx="7">
                  <c:v>18.29</c:v>
                </c:pt>
                <c:pt idx="8">
                  <c:v>7.41090909090909</c:v>
                </c:pt>
                <c:pt idx="9">
                  <c:v>4.711818181818181</c:v>
                </c:pt>
                <c:pt idx="10">
                  <c:v>12.07818181818182</c:v>
                </c:pt>
                <c:pt idx="11">
                  <c:v>26.52111111111111</c:v>
                </c:pt>
                <c:pt idx="12">
                  <c:v>8.770000000000001</c:v>
                </c:pt>
                <c:pt idx="13">
                  <c:v>7.978888888888887</c:v>
                </c:pt>
                <c:pt idx="14">
                  <c:v>14.39777777777778</c:v>
                </c:pt>
                <c:pt idx="15">
                  <c:v>9.532222222222221</c:v>
                </c:pt>
              </c:numCache>
            </c:numRef>
          </c:val>
          <c:smooth val="0"/>
        </c:ser>
        <c:ser>
          <c:idx val="2"/>
          <c:order val="2"/>
          <c:tx>
            <c:v>IN-GFP-Spindle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'Tone 30s2'!$C$43:$R$43</c:f>
              <c:numCache>
                <c:formatCode>General</c:formatCode>
                <c:ptCount val="16"/>
                <c:pt idx="0">
                  <c:v>0.0</c:v>
                </c:pt>
                <c:pt idx="1">
                  <c:v>4.02</c:v>
                </c:pt>
                <c:pt idx="2">
                  <c:v>4.03</c:v>
                </c:pt>
                <c:pt idx="3">
                  <c:v>14.73</c:v>
                </c:pt>
                <c:pt idx="4">
                  <c:v>0.0</c:v>
                </c:pt>
                <c:pt idx="5">
                  <c:v>0.22</c:v>
                </c:pt>
                <c:pt idx="6">
                  <c:v>18.3</c:v>
                </c:pt>
                <c:pt idx="7">
                  <c:v>2.46</c:v>
                </c:pt>
                <c:pt idx="8">
                  <c:v>12.5</c:v>
                </c:pt>
                <c:pt idx="9">
                  <c:v>26.12</c:v>
                </c:pt>
                <c:pt idx="10">
                  <c:v>4.91</c:v>
                </c:pt>
                <c:pt idx="11">
                  <c:v>4.25</c:v>
                </c:pt>
                <c:pt idx="12">
                  <c:v>7.72</c:v>
                </c:pt>
                <c:pt idx="13">
                  <c:v>7.72</c:v>
                </c:pt>
                <c:pt idx="14">
                  <c:v>7.72</c:v>
                </c:pt>
                <c:pt idx="15">
                  <c:v>7.72</c:v>
                </c:pt>
              </c:numCache>
            </c:numRef>
          </c:val>
          <c:smooth val="0"/>
        </c:ser>
        <c:ser>
          <c:idx val="3"/>
          <c:order val="3"/>
          <c:tx>
            <c:v>IN-GFP-20hz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'Tone 30s2'!$C$57:$R$57</c:f>
              <c:numCache>
                <c:formatCode>General</c:formatCode>
                <c:ptCount val="16"/>
                <c:pt idx="0">
                  <c:v>0.0</c:v>
                </c:pt>
                <c:pt idx="1">
                  <c:v>0.25125</c:v>
                </c:pt>
                <c:pt idx="2">
                  <c:v>1.33875</c:v>
                </c:pt>
                <c:pt idx="3">
                  <c:v>2.6225</c:v>
                </c:pt>
                <c:pt idx="4">
                  <c:v>5.0775</c:v>
                </c:pt>
                <c:pt idx="5">
                  <c:v>1.2025</c:v>
                </c:pt>
                <c:pt idx="6">
                  <c:v>37.28625</c:v>
                </c:pt>
                <c:pt idx="7">
                  <c:v>8.845</c:v>
                </c:pt>
                <c:pt idx="8">
                  <c:v>2.2875</c:v>
                </c:pt>
                <c:pt idx="9">
                  <c:v>2.09375</c:v>
                </c:pt>
                <c:pt idx="10">
                  <c:v>3.04125</c:v>
                </c:pt>
                <c:pt idx="11">
                  <c:v>25.265</c:v>
                </c:pt>
                <c:pt idx="12">
                  <c:v>7.4475</c:v>
                </c:pt>
                <c:pt idx="13">
                  <c:v>7.4475</c:v>
                </c:pt>
                <c:pt idx="14">
                  <c:v>7.4475</c:v>
                </c:pt>
                <c:pt idx="15">
                  <c:v>7.4475</c:v>
                </c:pt>
              </c:numCache>
            </c:numRef>
          </c:val>
          <c:smooth val="0"/>
        </c:ser>
        <c:ser>
          <c:idx val="4"/>
          <c:order val="4"/>
          <c:tx>
            <c:v>IN-CH-20hz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'Tone 30s2'!$C$67:$R$67</c:f>
              <c:numCache>
                <c:formatCode>General</c:formatCode>
                <c:ptCount val="16"/>
                <c:pt idx="0">
                  <c:v>0.0</c:v>
                </c:pt>
                <c:pt idx="1">
                  <c:v>2.5675</c:v>
                </c:pt>
                <c:pt idx="2">
                  <c:v>2.065</c:v>
                </c:pt>
                <c:pt idx="3">
                  <c:v>2.79</c:v>
                </c:pt>
                <c:pt idx="4">
                  <c:v>0.41875</c:v>
                </c:pt>
                <c:pt idx="5">
                  <c:v>0.83875</c:v>
                </c:pt>
                <c:pt idx="6">
                  <c:v>29.88375</c:v>
                </c:pt>
                <c:pt idx="7">
                  <c:v>10.21375</c:v>
                </c:pt>
                <c:pt idx="8">
                  <c:v>1.59</c:v>
                </c:pt>
                <c:pt idx="9">
                  <c:v>1.28375</c:v>
                </c:pt>
                <c:pt idx="10">
                  <c:v>1.3675</c:v>
                </c:pt>
                <c:pt idx="11">
                  <c:v>27.73875</c:v>
                </c:pt>
                <c:pt idx="12">
                  <c:v>6.73</c:v>
                </c:pt>
                <c:pt idx="13">
                  <c:v>6.73</c:v>
                </c:pt>
                <c:pt idx="14">
                  <c:v>6.73</c:v>
                </c:pt>
                <c:pt idx="15">
                  <c:v>6.73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7935152"/>
        <c:axId val="-2117931920"/>
      </c:lineChart>
      <c:catAx>
        <c:axId val="-211793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931920"/>
        <c:crosses val="autoZero"/>
        <c:auto val="1"/>
        <c:lblAlgn val="ctr"/>
        <c:lblOffset val="100"/>
        <c:noMultiLvlLbl val="0"/>
      </c:catAx>
      <c:valAx>
        <c:axId val="-2117931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793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4</xdr:row>
      <xdr:rowOff>61912</xdr:rowOff>
    </xdr:from>
    <xdr:to>
      <xdr:col>18</xdr:col>
      <xdr:colOff>228600</xdr:colOff>
      <xdr:row>17</xdr:row>
      <xdr:rowOff>80962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423862</xdr:colOff>
      <xdr:row>19</xdr:row>
      <xdr:rowOff>176212</xdr:rowOff>
    </xdr:from>
    <xdr:to>
      <xdr:col>18</xdr:col>
      <xdr:colOff>195262</xdr:colOff>
      <xdr:row>32</xdr:row>
      <xdr:rowOff>195262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609600</xdr:colOff>
      <xdr:row>33</xdr:row>
      <xdr:rowOff>95250</xdr:rowOff>
    </xdr:from>
    <xdr:to>
      <xdr:col>15</xdr:col>
      <xdr:colOff>276225</xdr:colOff>
      <xdr:row>44</xdr:row>
      <xdr:rowOff>119062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5</xdr:row>
      <xdr:rowOff>33337</xdr:rowOff>
    </xdr:from>
    <xdr:to>
      <xdr:col>19</xdr:col>
      <xdr:colOff>266700</xdr:colOff>
      <xdr:row>18</xdr:row>
      <xdr:rowOff>52387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476250</xdr:colOff>
      <xdr:row>20</xdr:row>
      <xdr:rowOff>19050</xdr:rowOff>
    </xdr:from>
    <xdr:to>
      <xdr:col>16</xdr:col>
      <xdr:colOff>142875</xdr:colOff>
      <xdr:row>31</xdr:row>
      <xdr:rowOff>42862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380998</xdr:colOff>
      <xdr:row>5</xdr:row>
      <xdr:rowOff>90487</xdr:rowOff>
    </xdr:from>
    <xdr:to>
      <xdr:col>17</xdr:col>
      <xdr:colOff>361950</xdr:colOff>
      <xdr:row>23</xdr:row>
      <xdr:rowOff>161925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628648</xdr:colOff>
      <xdr:row>14</xdr:row>
      <xdr:rowOff>157162</xdr:rowOff>
    </xdr:from>
    <xdr:to>
      <xdr:col>19</xdr:col>
      <xdr:colOff>609600</xdr:colOff>
      <xdr:row>33</xdr:row>
      <xdr:rowOff>19050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J20" sqref="J20:J27"/>
    </sheetView>
  </sheetViews>
  <sheetFormatPr baseColWidth="10" defaultColWidth="8.83203125" defaultRowHeight="15" x14ac:dyDescent="0.2"/>
  <cols>
    <col min="2" max="2" width="11.5" customWidth="1"/>
  </cols>
  <sheetData>
    <row r="1" spans="1:11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1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4" spans="1:11" x14ac:dyDescent="0.2">
      <c r="A4" t="s">
        <v>26</v>
      </c>
    </row>
    <row r="5" spans="1:11" x14ac:dyDescent="0.2">
      <c r="B5" s="1" t="s">
        <v>61</v>
      </c>
      <c r="C5" s="1">
        <v>0</v>
      </c>
      <c r="D5" s="1">
        <v>10.95</v>
      </c>
      <c r="E5" s="1">
        <v>9.7100000000000009</v>
      </c>
      <c r="F5" s="1">
        <v>12.96</v>
      </c>
      <c r="G5" s="1">
        <v>1.1200000000000001</v>
      </c>
      <c r="H5" s="1">
        <v>21.56</v>
      </c>
      <c r="I5" s="1">
        <v>44.87</v>
      </c>
      <c r="J5" s="1">
        <v>34.340000000000003</v>
      </c>
      <c r="K5" s="1">
        <v>4</v>
      </c>
    </row>
    <row r="6" spans="1:11" x14ac:dyDescent="0.2">
      <c r="B6" s="1" t="s">
        <v>62</v>
      </c>
      <c r="C6" s="1">
        <v>1.1200000000000001</v>
      </c>
      <c r="D6" s="1">
        <v>0</v>
      </c>
      <c r="E6" s="1">
        <v>7.6</v>
      </c>
      <c r="F6" s="1">
        <v>2.91</v>
      </c>
      <c r="G6" s="1">
        <v>7.15</v>
      </c>
      <c r="H6" s="1">
        <v>20.76</v>
      </c>
      <c r="I6" s="1">
        <v>22.77</v>
      </c>
      <c r="J6" s="1">
        <v>20.63</v>
      </c>
      <c r="K6" s="1">
        <v>4</v>
      </c>
    </row>
    <row r="7" spans="1:11" x14ac:dyDescent="0.2">
      <c r="B7" s="1" t="s">
        <v>63</v>
      </c>
      <c r="C7" s="1">
        <v>2.9</v>
      </c>
      <c r="D7" s="1">
        <v>10.95</v>
      </c>
      <c r="E7" s="1">
        <v>18.190000000000001</v>
      </c>
      <c r="F7" s="1">
        <v>7.26</v>
      </c>
      <c r="G7" s="1">
        <v>5.13</v>
      </c>
      <c r="H7" s="1">
        <v>17.75</v>
      </c>
      <c r="I7" s="1">
        <v>25.47</v>
      </c>
      <c r="J7" s="1">
        <v>17.32</v>
      </c>
      <c r="K7" s="1">
        <v>4</v>
      </c>
    </row>
    <row r="8" spans="1:11" x14ac:dyDescent="0.2">
      <c r="A8" s="2"/>
      <c r="B8" s="1" t="s">
        <v>64</v>
      </c>
      <c r="C8" s="1">
        <v>1.1200000000000001</v>
      </c>
      <c r="D8" s="1">
        <v>8.94</v>
      </c>
      <c r="E8" s="1">
        <v>6.93</v>
      </c>
      <c r="F8" s="1">
        <v>3.58</v>
      </c>
      <c r="G8" s="1">
        <v>0</v>
      </c>
      <c r="H8" s="1">
        <v>7.25</v>
      </c>
      <c r="I8" s="1">
        <v>25.59</v>
      </c>
      <c r="J8" s="1">
        <v>20.89</v>
      </c>
      <c r="K8" s="1">
        <v>4</v>
      </c>
    </row>
    <row r="9" spans="1:11" x14ac:dyDescent="0.2">
      <c r="A9" s="2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">
      <c r="B10" s="1" t="s">
        <v>54</v>
      </c>
      <c r="C10" s="1">
        <v>0.89</v>
      </c>
      <c r="D10" s="1">
        <v>8.7100000000000009</v>
      </c>
      <c r="E10" s="1">
        <v>4.8</v>
      </c>
      <c r="F10" s="1">
        <v>4.91</v>
      </c>
      <c r="G10" s="1">
        <v>9.6</v>
      </c>
      <c r="H10" s="1">
        <v>9.16</v>
      </c>
      <c r="I10" s="1">
        <v>14.3</v>
      </c>
      <c r="J10" s="1">
        <v>20.56</v>
      </c>
      <c r="K10" s="1">
        <v>4</v>
      </c>
    </row>
    <row r="11" spans="1:11" x14ac:dyDescent="0.2">
      <c r="B11" s="1" t="s">
        <v>65</v>
      </c>
      <c r="C11" s="1">
        <v>0</v>
      </c>
      <c r="D11" s="1">
        <v>6.81</v>
      </c>
      <c r="E11" s="1">
        <v>1.79</v>
      </c>
      <c r="F11" s="1">
        <v>1.1200000000000001</v>
      </c>
      <c r="G11" s="1">
        <v>6.03</v>
      </c>
      <c r="H11" s="1">
        <v>11.28</v>
      </c>
      <c r="I11" s="1">
        <v>22.21</v>
      </c>
      <c r="J11" s="1">
        <v>28.75</v>
      </c>
      <c r="K11" s="1">
        <v>4</v>
      </c>
    </row>
    <row r="12" spans="1:11" x14ac:dyDescent="0.2">
      <c r="B12" s="1" t="s">
        <v>66</v>
      </c>
      <c r="C12" s="1">
        <v>1.1200000000000001</v>
      </c>
      <c r="D12" s="1">
        <v>7.37</v>
      </c>
      <c r="E12" s="1">
        <v>2.0099999999999998</v>
      </c>
      <c r="F12" s="1">
        <v>0</v>
      </c>
      <c r="G12" s="1">
        <v>5.47</v>
      </c>
      <c r="H12" s="1">
        <v>13.95</v>
      </c>
      <c r="I12" s="1">
        <v>32.85</v>
      </c>
      <c r="J12" s="1">
        <v>25.14</v>
      </c>
      <c r="K12" s="1">
        <v>4</v>
      </c>
    </row>
    <row r="13" spans="1:11" x14ac:dyDescent="0.2">
      <c r="B13" s="1" t="s">
        <v>70</v>
      </c>
      <c r="C13" s="1">
        <v>0</v>
      </c>
      <c r="D13" s="1">
        <v>4.3499999999999996</v>
      </c>
      <c r="E13" s="1">
        <v>15.98</v>
      </c>
      <c r="F13" s="1">
        <v>0.89</v>
      </c>
      <c r="G13" s="1">
        <v>0.89</v>
      </c>
      <c r="H13" s="1">
        <v>6.03</v>
      </c>
      <c r="I13" s="1">
        <v>33.71</v>
      </c>
      <c r="J13" s="1">
        <v>19.57</v>
      </c>
      <c r="K13" s="1">
        <v>4</v>
      </c>
    </row>
    <row r="14" spans="1:11" x14ac:dyDescent="0.2">
      <c r="B14" s="1" t="s">
        <v>76</v>
      </c>
      <c r="C14" s="1">
        <v>2.23</v>
      </c>
      <c r="D14" s="1">
        <v>6.58</v>
      </c>
      <c r="E14" s="1">
        <v>7.26</v>
      </c>
      <c r="F14" s="1">
        <v>7.03</v>
      </c>
      <c r="G14" s="1">
        <v>10.84</v>
      </c>
      <c r="H14" s="1">
        <v>20.87</v>
      </c>
      <c r="I14" s="1">
        <v>21.01</v>
      </c>
      <c r="J14" s="1">
        <v>42.12</v>
      </c>
      <c r="K14" s="1">
        <v>4</v>
      </c>
    </row>
    <row r="15" spans="1:11" x14ac:dyDescent="0.2">
      <c r="B15" s="1" t="s">
        <v>77</v>
      </c>
      <c r="C15" s="1">
        <v>5.14</v>
      </c>
      <c r="D15" s="1">
        <v>15.74</v>
      </c>
      <c r="E15" s="1">
        <v>12.07</v>
      </c>
      <c r="F15" s="1">
        <v>11.5</v>
      </c>
      <c r="G15" s="1">
        <v>3.58</v>
      </c>
      <c r="H15" s="1">
        <v>12.5</v>
      </c>
      <c r="I15" s="1">
        <v>4.6900000000000004</v>
      </c>
      <c r="J15" s="1">
        <v>28.19</v>
      </c>
      <c r="K15" s="1">
        <v>4</v>
      </c>
    </row>
    <row r="16" spans="1:11" x14ac:dyDescent="0.2">
      <c r="B16" t="s">
        <v>23</v>
      </c>
      <c r="C16">
        <f>AVERAGE(C5:C15)</f>
        <v>1.452</v>
      </c>
      <c r="D16">
        <f t="shared" ref="D16:J16" si="0">AVERAGE(D5:D15)</f>
        <v>8.0399999999999991</v>
      </c>
      <c r="E16">
        <f t="shared" si="0"/>
        <v>8.6340000000000003</v>
      </c>
      <c r="F16">
        <f t="shared" si="0"/>
        <v>5.2160000000000002</v>
      </c>
      <c r="G16">
        <f t="shared" si="0"/>
        <v>4.9809999999999999</v>
      </c>
      <c r="H16">
        <f t="shared" si="0"/>
        <v>14.110999999999999</v>
      </c>
      <c r="I16">
        <f t="shared" si="0"/>
        <v>24.747</v>
      </c>
      <c r="J16">
        <f t="shared" si="0"/>
        <v>25.750999999999998</v>
      </c>
    </row>
    <row r="19" spans="1:11" x14ac:dyDescent="0.2">
      <c r="A19" t="s">
        <v>27</v>
      </c>
    </row>
    <row r="20" spans="1:11" x14ac:dyDescent="0.2">
      <c r="B20" t="s">
        <v>32</v>
      </c>
      <c r="C20" s="1">
        <v>2.68</v>
      </c>
      <c r="D20" s="1">
        <v>0</v>
      </c>
      <c r="E20" s="1">
        <v>6.14</v>
      </c>
      <c r="F20" s="1">
        <v>1.34</v>
      </c>
      <c r="G20" s="1">
        <v>1.57</v>
      </c>
      <c r="H20" s="1">
        <v>2.57</v>
      </c>
      <c r="I20" s="1">
        <v>5.26</v>
      </c>
      <c r="J20" s="1">
        <v>38.26</v>
      </c>
      <c r="K20">
        <v>5</v>
      </c>
    </row>
    <row r="21" spans="1:11" x14ac:dyDescent="0.2">
      <c r="A21" s="2"/>
      <c r="B21" t="s">
        <v>33</v>
      </c>
      <c r="C21" s="1">
        <v>0</v>
      </c>
      <c r="D21" s="1">
        <v>3.01</v>
      </c>
      <c r="E21" s="1">
        <v>2.68</v>
      </c>
      <c r="F21" s="1">
        <v>9.3699999999999992</v>
      </c>
      <c r="G21" s="1">
        <v>11.05</v>
      </c>
      <c r="H21" s="1">
        <v>7.26</v>
      </c>
      <c r="I21" s="1">
        <v>25.56</v>
      </c>
      <c r="J21" s="1">
        <v>48.55</v>
      </c>
      <c r="K21">
        <v>5</v>
      </c>
    </row>
    <row r="22" spans="1:11" x14ac:dyDescent="0.2">
      <c r="A22" s="2"/>
      <c r="C22" s="1"/>
      <c r="D22" s="1"/>
      <c r="E22" s="1"/>
      <c r="F22" s="1"/>
      <c r="G22" s="1"/>
      <c r="H22" s="1"/>
      <c r="I22" s="1"/>
      <c r="J22" s="1"/>
    </row>
    <row r="23" spans="1:11" x14ac:dyDescent="0.2">
      <c r="B23" t="s">
        <v>34</v>
      </c>
      <c r="C23" s="1">
        <v>2.46</v>
      </c>
      <c r="D23" s="1">
        <v>0</v>
      </c>
      <c r="E23" s="1">
        <v>3.58</v>
      </c>
      <c r="F23" s="1">
        <v>0</v>
      </c>
      <c r="G23" s="1">
        <v>5.8</v>
      </c>
      <c r="H23" s="1">
        <v>3.46</v>
      </c>
      <c r="I23" s="1">
        <v>27.01</v>
      </c>
      <c r="J23" s="1">
        <v>32.74</v>
      </c>
      <c r="K23">
        <v>5</v>
      </c>
    </row>
    <row r="24" spans="1:11" x14ac:dyDescent="0.2">
      <c r="B24" t="s">
        <v>35</v>
      </c>
      <c r="C24" s="1">
        <v>0</v>
      </c>
      <c r="D24" s="1">
        <v>1.79</v>
      </c>
      <c r="E24" s="1">
        <v>5.36</v>
      </c>
      <c r="F24" s="1">
        <v>6.03</v>
      </c>
      <c r="G24" s="1">
        <v>2.91</v>
      </c>
      <c r="H24" s="1">
        <v>15.42</v>
      </c>
      <c r="I24" s="1">
        <v>7.37</v>
      </c>
      <c r="J24" s="1">
        <v>20.89</v>
      </c>
      <c r="K24">
        <v>5</v>
      </c>
    </row>
    <row r="25" spans="1:11" x14ac:dyDescent="0.2">
      <c r="B25" s="1" t="s">
        <v>55</v>
      </c>
      <c r="C25" s="1">
        <v>0</v>
      </c>
      <c r="D25" s="1">
        <v>3.24</v>
      </c>
      <c r="E25" s="1">
        <v>0</v>
      </c>
      <c r="F25" s="1">
        <v>2.23</v>
      </c>
      <c r="G25" s="1">
        <v>1</v>
      </c>
      <c r="H25" s="1">
        <v>5.25</v>
      </c>
      <c r="I25" s="1">
        <v>7.25</v>
      </c>
      <c r="J25" s="1">
        <v>23.83</v>
      </c>
      <c r="K25">
        <v>5</v>
      </c>
    </row>
    <row r="26" spans="1:11" x14ac:dyDescent="0.2">
      <c r="B26" s="1" t="s">
        <v>67</v>
      </c>
      <c r="C26" s="1">
        <v>0</v>
      </c>
      <c r="D26" s="1">
        <v>7.48</v>
      </c>
      <c r="E26" s="1">
        <v>1.34</v>
      </c>
      <c r="F26" s="1">
        <v>3.91</v>
      </c>
      <c r="G26" s="1">
        <v>3.35</v>
      </c>
      <c r="H26" s="1">
        <v>18.079999999999998</v>
      </c>
      <c r="I26" s="1">
        <v>18.989999999999998</v>
      </c>
      <c r="J26" s="1">
        <v>29.39</v>
      </c>
      <c r="K26">
        <v>5</v>
      </c>
    </row>
    <row r="27" spans="1:11" x14ac:dyDescent="0.2">
      <c r="B27" s="1" t="s">
        <v>69</v>
      </c>
      <c r="C27" s="1">
        <v>0</v>
      </c>
      <c r="D27" s="1">
        <v>0.9</v>
      </c>
      <c r="E27" s="1">
        <v>1</v>
      </c>
      <c r="F27" s="1">
        <v>4.24</v>
      </c>
      <c r="G27" s="1">
        <v>8.94</v>
      </c>
      <c r="H27" s="1">
        <v>12.5</v>
      </c>
      <c r="I27" s="1">
        <v>20.11</v>
      </c>
      <c r="J27" s="1">
        <v>21.84</v>
      </c>
      <c r="K27" s="1">
        <v>5</v>
      </c>
    </row>
    <row r="29" spans="1:11" x14ac:dyDescent="0.2">
      <c r="B29" t="s">
        <v>23</v>
      </c>
      <c r="C29">
        <f t="shared" ref="C29:J29" si="1">AVERAGE(C20:C25)</f>
        <v>1.028</v>
      </c>
      <c r="D29">
        <f t="shared" si="1"/>
        <v>1.6079999999999999</v>
      </c>
      <c r="E29">
        <f t="shared" si="1"/>
        <v>3.5520000000000005</v>
      </c>
      <c r="F29">
        <f t="shared" si="1"/>
        <v>3.7939999999999996</v>
      </c>
      <c r="G29">
        <f t="shared" si="1"/>
        <v>4.4660000000000002</v>
      </c>
      <c r="H29">
        <f t="shared" si="1"/>
        <v>6.7919999999999998</v>
      </c>
      <c r="I29">
        <f t="shared" si="1"/>
        <v>14.49</v>
      </c>
      <c r="J29">
        <f t="shared" si="1"/>
        <v>32.853999999999999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topLeftCell="G3" workbookViewId="0">
      <selection activeCell="K21" sqref="K21:K28"/>
    </sheetView>
  </sheetViews>
  <sheetFormatPr baseColWidth="10" defaultColWidth="8.83203125" defaultRowHeight="15" x14ac:dyDescent="0.2"/>
  <cols>
    <col min="2" max="2" width="14.83203125" customWidth="1"/>
  </cols>
  <sheetData>
    <row r="1" spans="1:12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2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  <c r="K2" t="s">
        <v>12</v>
      </c>
    </row>
    <row r="4" spans="1:12" x14ac:dyDescent="0.2">
      <c r="A4" t="s">
        <v>26</v>
      </c>
    </row>
    <row r="5" spans="1:12" x14ac:dyDescent="0.2">
      <c r="B5" s="3" t="s">
        <v>28</v>
      </c>
      <c r="C5" s="1">
        <v>11.05</v>
      </c>
      <c r="D5" s="1">
        <v>17.3</v>
      </c>
      <c r="E5" s="1">
        <v>16.07</v>
      </c>
      <c r="F5" s="1">
        <v>3.46</v>
      </c>
      <c r="G5" s="1">
        <v>22.35</v>
      </c>
      <c r="H5" s="1">
        <v>10.94</v>
      </c>
      <c r="I5" s="1">
        <v>17.54</v>
      </c>
      <c r="J5" s="1">
        <v>14.53</v>
      </c>
      <c r="K5">
        <f t="shared" ref="K5:K8" si="0">AVERAGE(C5:F5)</f>
        <v>11.97</v>
      </c>
      <c r="L5">
        <v>4</v>
      </c>
    </row>
    <row r="6" spans="1:12" x14ac:dyDescent="0.2">
      <c r="B6" s="3" t="s">
        <v>29</v>
      </c>
      <c r="C6" s="1">
        <v>18.86</v>
      </c>
      <c r="D6" s="1">
        <v>31.03</v>
      </c>
      <c r="E6" s="1">
        <v>51.28</v>
      </c>
      <c r="F6" s="1">
        <v>63.5</v>
      </c>
      <c r="G6" s="1">
        <v>17.88</v>
      </c>
      <c r="H6" s="1">
        <v>38.950000000000003</v>
      </c>
      <c r="I6" s="1">
        <v>22.79</v>
      </c>
      <c r="J6" s="1">
        <v>28.27</v>
      </c>
      <c r="K6">
        <f t="shared" si="0"/>
        <v>41.167500000000004</v>
      </c>
      <c r="L6">
        <v>4</v>
      </c>
    </row>
    <row r="7" spans="1:12" x14ac:dyDescent="0.2">
      <c r="B7" s="3" t="s">
        <v>30</v>
      </c>
      <c r="C7" s="1">
        <v>5.58</v>
      </c>
      <c r="D7" s="1">
        <v>19.11</v>
      </c>
      <c r="E7" s="1">
        <v>41.07</v>
      </c>
      <c r="F7" s="1">
        <v>21.34</v>
      </c>
      <c r="G7" s="1">
        <v>8.48</v>
      </c>
      <c r="H7" s="1">
        <v>19.55</v>
      </c>
      <c r="I7" s="1">
        <v>9.26</v>
      </c>
      <c r="J7" s="1">
        <v>11.06</v>
      </c>
      <c r="K7">
        <f t="shared" si="0"/>
        <v>21.774999999999999</v>
      </c>
      <c r="L7">
        <v>4</v>
      </c>
    </row>
    <row r="8" spans="1:12" x14ac:dyDescent="0.2">
      <c r="A8" s="2"/>
      <c r="B8" s="3" t="s">
        <v>31</v>
      </c>
      <c r="C8" s="1">
        <v>1.01</v>
      </c>
      <c r="D8" s="1">
        <v>9.82</v>
      </c>
      <c r="E8" s="1">
        <v>11.28</v>
      </c>
      <c r="F8" s="1">
        <v>9.82</v>
      </c>
      <c r="G8" s="1">
        <v>1.9</v>
      </c>
      <c r="H8" s="1">
        <v>5.36</v>
      </c>
      <c r="I8" s="1">
        <v>7.15</v>
      </c>
      <c r="J8" s="1">
        <v>4.25</v>
      </c>
      <c r="K8">
        <f t="shared" si="0"/>
        <v>7.9824999999999999</v>
      </c>
      <c r="L8">
        <v>4</v>
      </c>
    </row>
    <row r="9" spans="1:12" x14ac:dyDescent="0.2">
      <c r="A9" s="2"/>
      <c r="B9" s="3"/>
      <c r="C9" s="1"/>
      <c r="D9" s="1"/>
      <c r="E9" s="1"/>
      <c r="F9" s="1"/>
      <c r="G9" s="1"/>
      <c r="H9" s="1"/>
      <c r="I9" s="1"/>
      <c r="J9" s="1"/>
      <c r="L9">
        <v>4</v>
      </c>
    </row>
    <row r="10" spans="1:12" x14ac:dyDescent="0.2">
      <c r="B10" s="1" t="s">
        <v>53</v>
      </c>
      <c r="C10" s="1">
        <v>0.89</v>
      </c>
      <c r="D10" s="1">
        <v>3.35</v>
      </c>
      <c r="E10" s="1">
        <v>24.8</v>
      </c>
      <c r="F10" s="1">
        <v>11.94</v>
      </c>
      <c r="G10" s="1">
        <v>16.649999999999999</v>
      </c>
      <c r="H10" s="1">
        <v>25.45</v>
      </c>
      <c r="I10" s="1">
        <v>14.53</v>
      </c>
      <c r="J10" s="1">
        <v>10.28</v>
      </c>
      <c r="K10">
        <f>AVERAGE(C10:F10)</f>
        <v>10.244999999999999</v>
      </c>
      <c r="L10">
        <v>4</v>
      </c>
    </row>
    <row r="11" spans="1:12" x14ac:dyDescent="0.2">
      <c r="B11" s="1" t="s">
        <v>68</v>
      </c>
      <c r="C11" s="1">
        <v>13.84</v>
      </c>
      <c r="D11" s="1">
        <v>13.74</v>
      </c>
      <c r="E11" s="1">
        <v>43.42</v>
      </c>
      <c r="F11" s="1">
        <v>45.25</v>
      </c>
      <c r="G11" s="1">
        <v>18.53</v>
      </c>
      <c r="H11" s="1">
        <v>24.13</v>
      </c>
      <c r="I11" s="1">
        <v>39.619999999999997</v>
      </c>
      <c r="J11" s="1">
        <v>32.1</v>
      </c>
      <c r="K11">
        <f>AVERAGE(C11:F11)</f>
        <v>29.0625</v>
      </c>
      <c r="L11">
        <v>4</v>
      </c>
    </row>
    <row r="12" spans="1:12" x14ac:dyDescent="0.2">
      <c r="B12" s="1" t="s">
        <v>71</v>
      </c>
      <c r="C12" s="1">
        <v>38.06</v>
      </c>
      <c r="D12" s="1">
        <v>43.97</v>
      </c>
      <c r="E12" s="1">
        <v>35.08</v>
      </c>
      <c r="F12" s="1">
        <v>42.86</v>
      </c>
      <c r="G12" s="1">
        <v>43.24</v>
      </c>
      <c r="H12" s="1">
        <v>21.65</v>
      </c>
      <c r="I12" s="1">
        <v>28.94</v>
      </c>
      <c r="J12" s="1">
        <v>20.67</v>
      </c>
      <c r="K12">
        <f>AVERAGE(C12:F12)</f>
        <v>39.9925</v>
      </c>
      <c r="L12" s="1">
        <v>4</v>
      </c>
    </row>
    <row r="13" spans="1:12" x14ac:dyDescent="0.2">
      <c r="B13" s="1" t="s">
        <v>79</v>
      </c>
      <c r="C13" s="1">
        <v>29.16</v>
      </c>
      <c r="D13" s="1">
        <v>31.81</v>
      </c>
      <c r="E13" s="1">
        <v>18.21</v>
      </c>
      <c r="F13" s="1">
        <v>51.9</v>
      </c>
      <c r="G13" s="1">
        <v>18.32</v>
      </c>
      <c r="H13" s="1">
        <v>26.23</v>
      </c>
      <c r="I13" s="1">
        <v>30.39</v>
      </c>
      <c r="J13" s="1">
        <v>27.6</v>
      </c>
      <c r="K13">
        <f>AVERAGE(C13:F13)</f>
        <v>32.770000000000003</v>
      </c>
      <c r="L13" s="1">
        <v>4</v>
      </c>
    </row>
    <row r="14" spans="1:12" x14ac:dyDescent="0.2">
      <c r="B14" s="1" t="s">
        <v>80</v>
      </c>
      <c r="C14" s="1">
        <v>35.270000000000003</v>
      </c>
      <c r="D14" s="1">
        <v>28.16</v>
      </c>
      <c r="E14" s="1">
        <v>28.46</v>
      </c>
      <c r="F14" s="1">
        <v>17.97</v>
      </c>
      <c r="G14" s="1">
        <v>20.98</v>
      </c>
      <c r="H14" s="1">
        <v>23.77</v>
      </c>
      <c r="I14" s="1">
        <v>13.3</v>
      </c>
      <c r="J14" s="1">
        <v>22.46</v>
      </c>
      <c r="K14">
        <f t="shared" ref="K14:K15" si="1">AVERAGE(C14:F14)</f>
        <v>27.465000000000003</v>
      </c>
      <c r="L14">
        <v>4</v>
      </c>
    </row>
    <row r="15" spans="1:12" x14ac:dyDescent="0.2">
      <c r="B15" s="1" t="s">
        <v>81</v>
      </c>
      <c r="C15" s="1">
        <v>6.81</v>
      </c>
      <c r="D15" s="1">
        <v>24.33</v>
      </c>
      <c r="E15" s="1">
        <v>43.46</v>
      </c>
      <c r="F15" s="1">
        <v>29.46</v>
      </c>
      <c r="G15" s="1">
        <v>11.94</v>
      </c>
      <c r="H15" s="1">
        <v>22.68</v>
      </c>
      <c r="I15" s="1">
        <v>12.83</v>
      </c>
      <c r="J15" s="1">
        <v>10.96</v>
      </c>
      <c r="K15">
        <f t="shared" si="1"/>
        <v>26.015000000000001</v>
      </c>
      <c r="L15">
        <v>4</v>
      </c>
    </row>
    <row r="16" spans="1:12" x14ac:dyDescent="0.2">
      <c r="B16" t="s">
        <v>23</v>
      </c>
      <c r="C16">
        <f>AVERAGE(C5:C15)</f>
        <v>16.053000000000001</v>
      </c>
      <c r="D16">
        <f t="shared" ref="D16:K16" si="2">AVERAGE(D5:D15)</f>
        <v>22.262</v>
      </c>
      <c r="E16">
        <f t="shared" si="2"/>
        <v>31.312999999999999</v>
      </c>
      <c r="F16">
        <f t="shared" si="2"/>
        <v>29.75</v>
      </c>
      <c r="G16">
        <f t="shared" si="2"/>
        <v>18.026999999999997</v>
      </c>
      <c r="H16">
        <f t="shared" si="2"/>
        <v>21.871000000000002</v>
      </c>
      <c r="I16">
        <f t="shared" si="2"/>
        <v>19.634999999999998</v>
      </c>
      <c r="J16">
        <f t="shared" si="2"/>
        <v>18.218000000000004</v>
      </c>
      <c r="K16">
        <f t="shared" si="2"/>
        <v>24.8445</v>
      </c>
    </row>
    <row r="20" spans="1:12" x14ac:dyDescent="0.2">
      <c r="A20" t="s">
        <v>27</v>
      </c>
    </row>
    <row r="21" spans="1:12" x14ac:dyDescent="0.2">
      <c r="B21" t="s">
        <v>36</v>
      </c>
      <c r="C21" s="1">
        <v>2.57</v>
      </c>
      <c r="D21" s="1">
        <v>10.27</v>
      </c>
      <c r="E21" s="1">
        <v>41.07</v>
      </c>
      <c r="F21" s="1">
        <v>31.51</v>
      </c>
      <c r="G21" s="1">
        <v>6.47</v>
      </c>
      <c r="H21" s="1">
        <v>4.3600000000000003</v>
      </c>
      <c r="I21" s="1">
        <v>3.35</v>
      </c>
      <c r="J21" s="1">
        <v>14.41</v>
      </c>
      <c r="K21">
        <f t="shared" ref="K21:K26" si="3">AVERAGE(C21:F21)</f>
        <v>21.355</v>
      </c>
      <c r="L21">
        <v>5</v>
      </c>
    </row>
    <row r="22" spans="1:12" x14ac:dyDescent="0.2">
      <c r="A22" s="2"/>
      <c r="B22" t="s">
        <v>37</v>
      </c>
      <c r="C22" s="1">
        <v>27.79</v>
      </c>
      <c r="D22" s="1">
        <v>51.28</v>
      </c>
      <c r="E22" s="1">
        <v>62.83</v>
      </c>
      <c r="F22" s="1">
        <v>59.55</v>
      </c>
      <c r="G22" s="1">
        <v>66.52</v>
      </c>
      <c r="H22" s="1">
        <v>79.02</v>
      </c>
      <c r="I22" s="1">
        <v>84.8</v>
      </c>
      <c r="J22" s="1">
        <v>51.4</v>
      </c>
      <c r="K22">
        <f t="shared" si="3"/>
        <v>50.362499999999997</v>
      </c>
      <c r="L22">
        <v>5</v>
      </c>
    </row>
    <row r="23" spans="1:12" x14ac:dyDescent="0.2">
      <c r="A23" s="2"/>
      <c r="C23" s="1"/>
      <c r="D23" s="1"/>
      <c r="E23" s="1"/>
      <c r="F23" s="1"/>
      <c r="G23" s="1"/>
      <c r="H23" s="1"/>
      <c r="I23" s="1"/>
      <c r="J23" s="1"/>
      <c r="L23">
        <v>5</v>
      </c>
    </row>
    <row r="24" spans="1:12" x14ac:dyDescent="0.2">
      <c r="B24" s="1" t="s">
        <v>45</v>
      </c>
      <c r="C24" s="1">
        <v>0.56000000000000005</v>
      </c>
      <c r="D24" s="1">
        <v>15.07</v>
      </c>
      <c r="E24" s="1">
        <v>14.19</v>
      </c>
      <c r="F24" s="1">
        <v>12.05</v>
      </c>
      <c r="G24" s="1">
        <v>6.59</v>
      </c>
      <c r="H24" s="1">
        <v>6.7</v>
      </c>
      <c r="I24" s="1">
        <v>8.3699999999999992</v>
      </c>
      <c r="J24" s="1">
        <v>20.11</v>
      </c>
      <c r="K24">
        <f t="shared" si="3"/>
        <v>10.467500000000001</v>
      </c>
      <c r="L24">
        <v>5</v>
      </c>
    </row>
    <row r="25" spans="1:12" x14ac:dyDescent="0.2">
      <c r="B25" s="1" t="s">
        <v>46</v>
      </c>
      <c r="C25" s="1">
        <v>9.3699999999999992</v>
      </c>
      <c r="D25" s="1">
        <v>7.92</v>
      </c>
      <c r="E25" s="1">
        <v>16.54</v>
      </c>
      <c r="F25" s="1">
        <v>19.22</v>
      </c>
      <c r="G25" s="1">
        <v>8.59</v>
      </c>
      <c r="H25" s="1">
        <v>14.19</v>
      </c>
      <c r="I25" s="1">
        <v>14.06</v>
      </c>
      <c r="J25" s="1">
        <v>9.7200000000000006</v>
      </c>
      <c r="K25">
        <f t="shared" si="3"/>
        <v>13.262499999999999</v>
      </c>
      <c r="L25">
        <v>5</v>
      </c>
    </row>
    <row r="26" spans="1:12" x14ac:dyDescent="0.2">
      <c r="B26" s="1" t="s">
        <v>58</v>
      </c>
      <c r="C26" s="1">
        <v>2.34</v>
      </c>
      <c r="D26" s="1">
        <v>19.66</v>
      </c>
      <c r="E26" s="1">
        <v>33.04</v>
      </c>
      <c r="F26" s="1">
        <v>30.61</v>
      </c>
      <c r="G26" s="1">
        <v>27.68</v>
      </c>
      <c r="H26" s="1">
        <v>14.3</v>
      </c>
      <c r="I26" s="1">
        <v>12.17</v>
      </c>
      <c r="J26" s="1">
        <v>7.27</v>
      </c>
      <c r="K26">
        <f t="shared" si="3"/>
        <v>21.412500000000001</v>
      </c>
      <c r="L26">
        <v>5</v>
      </c>
    </row>
    <row r="27" spans="1:12" x14ac:dyDescent="0.2">
      <c r="B27" s="1" t="s">
        <v>72</v>
      </c>
      <c r="C27" s="1">
        <v>24.33</v>
      </c>
      <c r="D27" s="1">
        <v>41.12</v>
      </c>
      <c r="E27" s="1">
        <v>33.82</v>
      </c>
      <c r="F27" s="1">
        <v>28.83</v>
      </c>
      <c r="G27" s="1">
        <v>42.41</v>
      </c>
      <c r="H27" s="1">
        <v>26.37</v>
      </c>
      <c r="I27" s="1">
        <v>25.45</v>
      </c>
      <c r="J27" s="1">
        <v>9.16</v>
      </c>
      <c r="K27">
        <f>AVERAGE(C27:F27)</f>
        <v>32.024999999999991</v>
      </c>
      <c r="L27">
        <v>5</v>
      </c>
    </row>
    <row r="28" spans="1:12" x14ac:dyDescent="0.2">
      <c r="B28" s="1" t="s">
        <v>78</v>
      </c>
      <c r="C28" s="1">
        <v>19.87</v>
      </c>
      <c r="D28" s="1">
        <v>41.29</v>
      </c>
      <c r="E28" s="1">
        <v>32.96</v>
      </c>
      <c r="F28" s="1">
        <v>28.24</v>
      </c>
      <c r="G28" s="1">
        <v>17.54</v>
      </c>
      <c r="H28" s="1">
        <v>20.78</v>
      </c>
      <c r="I28" s="1">
        <v>27.23</v>
      </c>
      <c r="J28" s="1">
        <v>19.329999999999998</v>
      </c>
      <c r="K28">
        <f>AVERAGE(C28:F28)</f>
        <v>30.59</v>
      </c>
      <c r="L28" s="1">
        <v>5</v>
      </c>
    </row>
    <row r="30" spans="1:12" x14ac:dyDescent="0.2">
      <c r="B30" t="s">
        <v>38</v>
      </c>
      <c r="C30">
        <f>AVERAGE(C21:C28)</f>
        <v>12.404285714285715</v>
      </c>
      <c r="D30">
        <f t="shared" ref="D30:K30" si="4">AVERAGE(D21:D28)</f>
        <v>26.658571428571427</v>
      </c>
      <c r="E30">
        <f t="shared" si="4"/>
        <v>33.49285714285714</v>
      </c>
      <c r="F30">
        <f t="shared" si="4"/>
        <v>30.001428571428569</v>
      </c>
      <c r="G30">
        <f t="shared" si="4"/>
        <v>25.11428571428571</v>
      </c>
      <c r="H30">
        <f t="shared" si="4"/>
        <v>23.674285714285713</v>
      </c>
      <c r="I30">
        <f t="shared" si="4"/>
        <v>25.061428571428568</v>
      </c>
      <c r="J30">
        <f t="shared" si="4"/>
        <v>18.771428571428569</v>
      </c>
      <c r="K30">
        <f t="shared" si="4"/>
        <v>25.639285714285712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F20" sqref="F20:F27"/>
    </sheetView>
  </sheetViews>
  <sheetFormatPr baseColWidth="10" defaultColWidth="8.83203125" defaultRowHeight="15" x14ac:dyDescent="0.2"/>
  <cols>
    <col min="2" max="2" width="12.33203125" customWidth="1"/>
  </cols>
  <sheetData>
    <row r="1" spans="1:10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4" spans="1:10" x14ac:dyDescent="0.2">
      <c r="A4" t="s">
        <v>39</v>
      </c>
    </row>
    <row r="5" spans="1:10" x14ac:dyDescent="0.2">
      <c r="B5" s="3" t="s">
        <v>40</v>
      </c>
      <c r="C5" s="1">
        <v>0</v>
      </c>
      <c r="D5" s="1">
        <v>0</v>
      </c>
      <c r="E5" s="1">
        <v>0</v>
      </c>
      <c r="F5" s="1">
        <v>26.73</v>
      </c>
      <c r="G5" s="1">
        <v>0</v>
      </c>
      <c r="H5" s="1">
        <v>16.649999999999999</v>
      </c>
      <c r="I5" s="1">
        <v>7.23</v>
      </c>
      <c r="J5" s="1">
        <v>7.23</v>
      </c>
    </row>
    <row r="6" spans="1:10" x14ac:dyDescent="0.2">
      <c r="B6" s="3" t="s">
        <v>41</v>
      </c>
      <c r="C6" s="1">
        <v>0</v>
      </c>
      <c r="D6" s="1">
        <v>0</v>
      </c>
      <c r="E6" s="1">
        <v>0</v>
      </c>
      <c r="F6" s="1">
        <v>43.91</v>
      </c>
      <c r="G6" s="1">
        <v>0</v>
      </c>
      <c r="H6" s="1">
        <v>13.98</v>
      </c>
      <c r="I6" s="1">
        <v>9.66</v>
      </c>
      <c r="J6" s="1">
        <v>9.66</v>
      </c>
    </row>
    <row r="7" spans="1:10" x14ac:dyDescent="0.2">
      <c r="B7" s="3" t="s">
        <v>42</v>
      </c>
      <c r="C7" s="1">
        <v>0</v>
      </c>
      <c r="D7" s="1">
        <v>3.57</v>
      </c>
      <c r="E7" s="1">
        <v>0</v>
      </c>
      <c r="F7" s="1">
        <v>4.13</v>
      </c>
      <c r="G7" s="1">
        <v>2.68</v>
      </c>
      <c r="H7" s="1">
        <v>10.18</v>
      </c>
      <c r="I7" s="1">
        <v>3.42</v>
      </c>
      <c r="J7" s="1">
        <v>3.42</v>
      </c>
    </row>
    <row r="8" spans="1:10" x14ac:dyDescent="0.2">
      <c r="A8" s="2"/>
      <c r="B8" s="3" t="s">
        <v>43</v>
      </c>
      <c r="C8" s="1">
        <v>1.01</v>
      </c>
      <c r="D8" s="1">
        <v>7.37</v>
      </c>
      <c r="E8" s="1">
        <v>0.89</v>
      </c>
      <c r="F8" s="1">
        <v>12.29</v>
      </c>
      <c r="G8" s="1">
        <v>1.79</v>
      </c>
      <c r="H8" s="1">
        <v>11.96</v>
      </c>
      <c r="I8" s="1">
        <v>5.88</v>
      </c>
      <c r="J8" s="1">
        <v>5.88</v>
      </c>
    </row>
    <row r="9" spans="1:10" x14ac:dyDescent="0.2">
      <c r="A9" s="2"/>
      <c r="B9" s="3"/>
      <c r="C9" s="1"/>
      <c r="D9" s="1"/>
      <c r="E9" s="1"/>
      <c r="F9" s="1"/>
      <c r="G9" s="1"/>
      <c r="H9" s="1"/>
      <c r="I9" s="1"/>
      <c r="J9" s="1"/>
    </row>
    <row r="10" spans="1:10" x14ac:dyDescent="0.2">
      <c r="B10" s="1" t="s">
        <v>56</v>
      </c>
      <c r="C10" s="1">
        <v>0</v>
      </c>
      <c r="D10" s="1">
        <v>0</v>
      </c>
      <c r="E10" s="1">
        <v>0</v>
      </c>
      <c r="F10" s="1">
        <v>34.6</v>
      </c>
      <c r="G10" s="1">
        <v>0</v>
      </c>
      <c r="H10" s="1">
        <v>17.79</v>
      </c>
      <c r="I10" s="1">
        <v>8.73</v>
      </c>
      <c r="J10" s="1">
        <v>8.73</v>
      </c>
    </row>
    <row r="11" spans="1:10" x14ac:dyDescent="0.2">
      <c r="B11" s="1" t="s">
        <v>73</v>
      </c>
      <c r="C11" s="1">
        <v>0</v>
      </c>
      <c r="D11" s="1">
        <v>2.12</v>
      </c>
      <c r="E11" s="1">
        <v>10.94</v>
      </c>
      <c r="F11" s="1">
        <v>26.7</v>
      </c>
      <c r="G11" s="1">
        <v>7.92</v>
      </c>
      <c r="H11" s="1">
        <v>12.86</v>
      </c>
      <c r="I11" s="1">
        <v>10.09</v>
      </c>
      <c r="J11" s="1">
        <v>10.09</v>
      </c>
    </row>
    <row r="12" spans="1:10" x14ac:dyDescent="0.2">
      <c r="B12" s="1" t="s">
        <v>74</v>
      </c>
      <c r="C12" s="1">
        <v>0</v>
      </c>
      <c r="D12" s="1">
        <v>0</v>
      </c>
      <c r="E12" s="1">
        <v>0.89</v>
      </c>
      <c r="F12" s="1">
        <v>24.78</v>
      </c>
      <c r="G12" s="1">
        <v>1.01</v>
      </c>
      <c r="H12" s="1">
        <v>12.85</v>
      </c>
      <c r="I12" s="1">
        <v>6.66</v>
      </c>
      <c r="J12" s="1">
        <v>6.66</v>
      </c>
    </row>
    <row r="13" spans="1:10" x14ac:dyDescent="0.2">
      <c r="B13" s="1" t="s">
        <v>85</v>
      </c>
      <c r="C13" s="1">
        <v>1.9</v>
      </c>
      <c r="D13" s="1">
        <v>18.97</v>
      </c>
      <c r="E13" s="1">
        <v>17.54</v>
      </c>
      <c r="F13" s="1">
        <v>8.82</v>
      </c>
      <c r="G13" s="1">
        <v>5.25</v>
      </c>
      <c r="H13" s="1">
        <v>13.2</v>
      </c>
      <c r="I13" s="1">
        <v>10.94</v>
      </c>
      <c r="J13" s="1">
        <v>10.94</v>
      </c>
    </row>
    <row r="14" spans="1:10" x14ac:dyDescent="0.2">
      <c r="B14" s="1" t="s">
        <v>82</v>
      </c>
      <c r="C14" s="1">
        <v>0.89</v>
      </c>
      <c r="D14" s="1">
        <v>7.03</v>
      </c>
      <c r="E14" s="1">
        <v>1.1200000000000001</v>
      </c>
      <c r="F14" s="1">
        <v>7.48</v>
      </c>
      <c r="G14" s="1">
        <v>2.57</v>
      </c>
      <c r="H14" s="1">
        <v>8.94</v>
      </c>
      <c r="I14" s="1">
        <v>4.67</v>
      </c>
      <c r="J14" s="1">
        <v>4.67</v>
      </c>
    </row>
    <row r="15" spans="1:10" x14ac:dyDescent="0.2">
      <c r="B15" s="1" t="s">
        <v>83</v>
      </c>
      <c r="C15" s="1">
        <v>10.27</v>
      </c>
      <c r="D15" s="1">
        <v>5.25</v>
      </c>
      <c r="E15" s="1">
        <v>0</v>
      </c>
      <c r="F15" s="1">
        <v>5.0199999999999996</v>
      </c>
      <c r="G15" s="1">
        <v>13.97</v>
      </c>
      <c r="H15" s="1">
        <v>17.21</v>
      </c>
      <c r="I15" s="1">
        <v>8.6199999999999992</v>
      </c>
      <c r="J15" s="1">
        <v>8.6199999999999992</v>
      </c>
    </row>
    <row r="16" spans="1:10" x14ac:dyDescent="0.2">
      <c r="B16" t="s">
        <v>23</v>
      </c>
      <c r="C16">
        <f t="shared" ref="C16:J16" si="0">AVERAGE(C5:C15)</f>
        <v>1.407</v>
      </c>
      <c r="D16">
        <f t="shared" si="0"/>
        <v>4.431</v>
      </c>
      <c r="E16">
        <f t="shared" si="0"/>
        <v>3.1379999999999999</v>
      </c>
      <c r="F16">
        <f t="shared" si="0"/>
        <v>19.445999999999998</v>
      </c>
      <c r="G16">
        <f t="shared" si="0"/>
        <v>3.5189999999999997</v>
      </c>
      <c r="H16">
        <f t="shared" si="0"/>
        <v>13.562000000000001</v>
      </c>
      <c r="I16">
        <f t="shared" si="0"/>
        <v>7.5900000000000007</v>
      </c>
      <c r="J16">
        <f t="shared" si="0"/>
        <v>7.5900000000000007</v>
      </c>
    </row>
    <row r="19" spans="1:10" x14ac:dyDescent="0.2">
      <c r="A19" t="s">
        <v>27</v>
      </c>
    </row>
    <row r="20" spans="1:10" x14ac:dyDescent="0.2">
      <c r="B20" t="s">
        <v>44</v>
      </c>
      <c r="C20" s="1">
        <v>2.0099999999999998</v>
      </c>
      <c r="D20" s="1">
        <v>13.5</v>
      </c>
      <c r="E20" s="1">
        <v>3.24</v>
      </c>
      <c r="F20" s="1">
        <v>9.26</v>
      </c>
      <c r="G20" s="1">
        <v>4.0199999999999996</v>
      </c>
      <c r="H20" s="1">
        <v>0</v>
      </c>
      <c r="I20" s="1">
        <v>5.34</v>
      </c>
      <c r="J20" s="1">
        <v>5.34</v>
      </c>
    </row>
    <row r="21" spans="1:10" x14ac:dyDescent="0.2">
      <c r="A21" s="2"/>
      <c r="B21" s="1" t="s">
        <v>49</v>
      </c>
      <c r="C21" s="1">
        <v>0</v>
      </c>
      <c r="D21" s="1">
        <v>0</v>
      </c>
      <c r="E21" s="1">
        <v>0</v>
      </c>
      <c r="F21" s="1">
        <v>56.58</v>
      </c>
      <c r="G21" s="1">
        <v>3.24</v>
      </c>
      <c r="H21" s="1">
        <v>35.08</v>
      </c>
      <c r="I21" s="1">
        <v>15.82</v>
      </c>
      <c r="J21" s="1">
        <v>15.82</v>
      </c>
    </row>
    <row r="22" spans="1:10" x14ac:dyDescent="0.2">
      <c r="A22" s="2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B23" s="1" t="s">
        <v>47</v>
      </c>
      <c r="C23" s="1">
        <v>0</v>
      </c>
      <c r="D23" s="1">
        <v>0</v>
      </c>
      <c r="E23" s="1">
        <v>0</v>
      </c>
      <c r="F23" s="1">
        <v>11.28</v>
      </c>
      <c r="G23" s="1">
        <v>0.89</v>
      </c>
      <c r="H23" s="1">
        <v>10.06</v>
      </c>
      <c r="I23" s="1">
        <v>3.7</v>
      </c>
      <c r="J23" s="1">
        <v>3.7</v>
      </c>
    </row>
    <row r="24" spans="1:10" x14ac:dyDescent="0.2">
      <c r="B24" s="1" t="s">
        <v>48</v>
      </c>
      <c r="C24" s="1">
        <v>0</v>
      </c>
      <c r="D24" s="1">
        <v>0</v>
      </c>
      <c r="E24" s="1">
        <v>0.33</v>
      </c>
      <c r="F24" s="1">
        <v>9.61</v>
      </c>
      <c r="G24" s="1">
        <v>1.9</v>
      </c>
      <c r="H24" s="1">
        <v>29.31</v>
      </c>
      <c r="I24" s="1">
        <v>6.87</v>
      </c>
      <c r="J24" s="1">
        <v>6.87</v>
      </c>
    </row>
    <row r="25" spans="1:10" x14ac:dyDescent="0.2">
      <c r="B25" s="1" t="s">
        <v>60</v>
      </c>
      <c r="C25" s="1">
        <v>0</v>
      </c>
      <c r="D25" s="1">
        <v>1</v>
      </c>
      <c r="E25" s="1">
        <v>0</v>
      </c>
      <c r="F25" s="1">
        <v>14.96</v>
      </c>
      <c r="G25" s="1">
        <v>1.34</v>
      </c>
      <c r="H25" s="1">
        <v>9.94</v>
      </c>
      <c r="I25" s="1">
        <v>4.54</v>
      </c>
      <c r="J25" s="1">
        <v>4.54</v>
      </c>
    </row>
    <row r="26" spans="1:10" x14ac:dyDescent="0.2">
      <c r="B26" s="1" t="s">
        <v>75</v>
      </c>
      <c r="C26" s="1">
        <v>9.27</v>
      </c>
      <c r="D26" s="1">
        <v>5.36</v>
      </c>
      <c r="E26" s="1">
        <v>2.57</v>
      </c>
      <c r="F26" s="1">
        <v>23.33</v>
      </c>
      <c r="G26" s="1">
        <v>1.01</v>
      </c>
      <c r="H26" s="1">
        <v>12.74</v>
      </c>
      <c r="I26" s="1">
        <v>9.06</v>
      </c>
      <c r="J26" s="1">
        <v>9.06</v>
      </c>
    </row>
    <row r="27" spans="1:10" x14ac:dyDescent="0.2">
      <c r="B27" s="1" t="s">
        <v>84</v>
      </c>
      <c r="C27" s="1">
        <v>11.05</v>
      </c>
      <c r="D27" s="1">
        <v>1.79</v>
      </c>
      <c r="E27" s="1">
        <v>6.14</v>
      </c>
      <c r="F27" s="1">
        <v>3.46</v>
      </c>
      <c r="G27" s="1">
        <v>5.25</v>
      </c>
      <c r="H27" s="1">
        <v>9.4</v>
      </c>
      <c r="I27" s="1">
        <v>6.18</v>
      </c>
      <c r="J27" s="1">
        <v>6.18</v>
      </c>
    </row>
    <row r="29" spans="1:10" x14ac:dyDescent="0.2">
      <c r="B29" t="s">
        <v>23</v>
      </c>
      <c r="C29">
        <f>AVERAGE(C20:C28)</f>
        <v>3.19</v>
      </c>
      <c r="D29">
        <f t="shared" ref="D29:J29" si="1">AVERAGE(D20:D28)</f>
        <v>3.0928571428571425</v>
      </c>
      <c r="E29">
        <f t="shared" si="1"/>
        <v>1.7542857142857144</v>
      </c>
      <c r="F29">
        <f t="shared" si="1"/>
        <v>18.354285714285712</v>
      </c>
      <c r="G29">
        <f t="shared" si="1"/>
        <v>2.5214285714285714</v>
      </c>
      <c r="H29">
        <f t="shared" si="1"/>
        <v>15.218571428571428</v>
      </c>
      <c r="I29">
        <f t="shared" si="1"/>
        <v>7.3585714285714294</v>
      </c>
      <c r="J29">
        <f t="shared" si="1"/>
        <v>7.3585714285714294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opLeftCell="A36" workbookViewId="0">
      <selection activeCell="G54" sqref="G54"/>
    </sheetView>
  </sheetViews>
  <sheetFormatPr baseColWidth="10" defaultColWidth="8.83203125" defaultRowHeight="15" x14ac:dyDescent="0.2"/>
  <cols>
    <col min="2" max="2" width="12.33203125" customWidth="1"/>
  </cols>
  <sheetData>
    <row r="1" spans="1:18" x14ac:dyDescent="0.2">
      <c r="A1" s="1" t="s">
        <v>0</v>
      </c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</row>
    <row r="2" spans="1:18" x14ac:dyDescent="0.2">
      <c r="A2" s="1" t="s">
        <v>1</v>
      </c>
      <c r="C2" s="1">
        <v>0</v>
      </c>
      <c r="D2" s="1">
        <v>30</v>
      </c>
      <c r="E2" s="1">
        <v>60</v>
      </c>
      <c r="F2" s="1">
        <v>90</v>
      </c>
      <c r="G2" s="1">
        <v>120</v>
      </c>
      <c r="H2" s="1">
        <v>150</v>
      </c>
      <c r="I2" s="1">
        <v>180</v>
      </c>
      <c r="J2" s="1">
        <v>210</v>
      </c>
      <c r="K2" s="1">
        <v>240</v>
      </c>
      <c r="L2" s="1">
        <v>270</v>
      </c>
      <c r="M2" s="1">
        <v>300</v>
      </c>
      <c r="N2" s="1">
        <v>330</v>
      </c>
      <c r="O2" s="1">
        <v>360</v>
      </c>
      <c r="P2" s="1">
        <v>390</v>
      </c>
      <c r="Q2" s="1">
        <v>420</v>
      </c>
      <c r="R2" s="1">
        <v>450</v>
      </c>
    </row>
    <row r="3" spans="1:18" x14ac:dyDescent="0.2">
      <c r="A3" s="1" t="s">
        <v>11</v>
      </c>
      <c r="C3" s="1">
        <v>30</v>
      </c>
      <c r="D3" s="1">
        <v>30</v>
      </c>
      <c r="E3" s="1">
        <v>30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30</v>
      </c>
      <c r="O3" s="1">
        <v>30</v>
      </c>
      <c r="P3" s="1">
        <v>30</v>
      </c>
      <c r="Q3" s="1">
        <v>30</v>
      </c>
      <c r="R3" s="1">
        <v>30</v>
      </c>
    </row>
    <row r="4" spans="1:18" x14ac:dyDescent="0.2">
      <c r="A4" t="s">
        <v>2</v>
      </c>
      <c r="B4" s="1" t="s">
        <v>5</v>
      </c>
      <c r="C4" s="1">
        <v>0</v>
      </c>
      <c r="D4" s="1">
        <v>0</v>
      </c>
      <c r="E4" s="1">
        <v>2.46</v>
      </c>
      <c r="F4" s="1">
        <v>0</v>
      </c>
      <c r="G4" s="1">
        <v>0</v>
      </c>
      <c r="H4" s="1">
        <v>0</v>
      </c>
      <c r="I4" s="1">
        <v>31.32</v>
      </c>
      <c r="J4" s="1">
        <v>12.5</v>
      </c>
      <c r="K4" s="1">
        <v>0</v>
      </c>
      <c r="L4" s="1">
        <v>0</v>
      </c>
      <c r="M4" s="1">
        <v>0</v>
      </c>
      <c r="N4" s="1"/>
      <c r="O4" s="1"/>
      <c r="P4" s="1"/>
      <c r="Q4" s="1"/>
      <c r="R4" s="1"/>
    </row>
    <row r="5" spans="1:18" x14ac:dyDescent="0.2">
      <c r="B5" s="1" t="s">
        <v>6</v>
      </c>
      <c r="C5" s="1">
        <v>3.12</v>
      </c>
      <c r="D5" s="1">
        <v>0</v>
      </c>
      <c r="E5" s="1">
        <v>0</v>
      </c>
      <c r="F5" s="1">
        <v>0</v>
      </c>
      <c r="G5" s="1">
        <v>0</v>
      </c>
      <c r="H5" s="1">
        <v>1.79</v>
      </c>
      <c r="I5" s="1">
        <v>42.51</v>
      </c>
      <c r="J5" s="1">
        <v>13.39</v>
      </c>
      <c r="K5" s="1">
        <v>0</v>
      </c>
      <c r="L5" s="1">
        <v>2.0099999999999998</v>
      </c>
      <c r="M5" s="1">
        <v>0</v>
      </c>
      <c r="N5" s="1"/>
      <c r="O5" s="1"/>
      <c r="P5" s="1"/>
      <c r="Q5" s="1"/>
      <c r="R5" s="1"/>
    </row>
    <row r="6" spans="1:18" x14ac:dyDescent="0.2">
      <c r="A6" s="2"/>
      <c r="B6" s="1" t="s">
        <v>9</v>
      </c>
      <c r="C6" s="1">
        <v>5.58</v>
      </c>
      <c r="D6" s="1">
        <v>0</v>
      </c>
      <c r="E6" s="1">
        <v>0</v>
      </c>
      <c r="F6" s="1">
        <v>10.039999999999999</v>
      </c>
      <c r="G6" s="1">
        <v>0</v>
      </c>
      <c r="H6" s="1">
        <v>0</v>
      </c>
      <c r="I6" s="1">
        <v>6.47</v>
      </c>
      <c r="J6" s="1">
        <v>9.3699999999999992</v>
      </c>
      <c r="K6" s="1">
        <v>0</v>
      </c>
      <c r="L6" s="1">
        <v>0</v>
      </c>
      <c r="M6" s="1">
        <v>2.9</v>
      </c>
      <c r="N6" s="1">
        <v>29.46</v>
      </c>
      <c r="O6" s="1">
        <v>0</v>
      </c>
      <c r="P6" s="1">
        <v>0</v>
      </c>
      <c r="Q6" s="1">
        <v>27.01</v>
      </c>
      <c r="R6" s="1">
        <v>11.19</v>
      </c>
    </row>
    <row r="7" spans="1:18" x14ac:dyDescent="0.2">
      <c r="B7" s="1" t="s">
        <v>10</v>
      </c>
      <c r="C7" s="1">
        <v>0</v>
      </c>
      <c r="D7" s="1">
        <v>0</v>
      </c>
      <c r="E7" s="1">
        <v>3.79</v>
      </c>
      <c r="F7" s="1">
        <v>0</v>
      </c>
      <c r="G7" s="1">
        <v>11.83</v>
      </c>
      <c r="H7" s="1">
        <v>5.58</v>
      </c>
      <c r="I7" s="1">
        <v>6.49</v>
      </c>
      <c r="J7" s="1">
        <v>4.91</v>
      </c>
      <c r="K7" s="1">
        <v>3.12</v>
      </c>
      <c r="L7" s="1">
        <v>5.59</v>
      </c>
      <c r="M7" s="1">
        <v>11.38</v>
      </c>
      <c r="N7" s="1">
        <v>11.16</v>
      </c>
      <c r="O7" s="1">
        <v>22.54</v>
      </c>
      <c r="P7" s="1">
        <v>8.48</v>
      </c>
      <c r="Q7" s="1">
        <v>4.47</v>
      </c>
      <c r="R7" s="1">
        <v>9.84</v>
      </c>
    </row>
    <row r="8" spans="1:18" x14ac:dyDescent="0.2">
      <c r="B8" s="1" t="s">
        <v>13</v>
      </c>
      <c r="C8" s="1">
        <v>0</v>
      </c>
      <c r="D8" s="1">
        <v>0</v>
      </c>
      <c r="E8" s="1">
        <v>0</v>
      </c>
      <c r="F8" s="1">
        <v>0</v>
      </c>
      <c r="G8" s="1">
        <v>2.23</v>
      </c>
      <c r="H8" s="1">
        <v>0</v>
      </c>
      <c r="I8" s="1">
        <v>6.47</v>
      </c>
      <c r="J8" s="1">
        <v>4.0199999999999996</v>
      </c>
      <c r="K8" s="1">
        <v>1.79</v>
      </c>
      <c r="L8" s="1">
        <v>4.46</v>
      </c>
      <c r="M8" s="1">
        <v>0</v>
      </c>
      <c r="N8" s="1">
        <v>23.88</v>
      </c>
      <c r="O8" s="1">
        <v>22.77</v>
      </c>
      <c r="P8" s="1">
        <v>1.79</v>
      </c>
      <c r="Q8" s="1">
        <v>0</v>
      </c>
      <c r="R8" s="1">
        <v>0</v>
      </c>
    </row>
    <row r="9" spans="1:18" x14ac:dyDescent="0.2">
      <c r="B9" s="1" t="s">
        <v>14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20.98</v>
      </c>
      <c r="I9" s="1">
        <v>4.24</v>
      </c>
      <c r="J9" s="1">
        <v>0</v>
      </c>
      <c r="K9" s="1">
        <v>2.0099999999999998</v>
      </c>
      <c r="L9" s="1">
        <v>8.7200000000000006</v>
      </c>
      <c r="M9" s="1">
        <v>6.92</v>
      </c>
      <c r="N9" s="1">
        <v>6.25</v>
      </c>
      <c r="O9" s="1">
        <v>0</v>
      </c>
      <c r="P9" s="1">
        <v>0</v>
      </c>
      <c r="Q9" s="1">
        <v>2.46</v>
      </c>
      <c r="R9" s="1">
        <v>33.78</v>
      </c>
    </row>
    <row r="10" spans="1:18" x14ac:dyDescent="0.2">
      <c r="B10" s="1"/>
      <c r="C10" s="1">
        <v>0</v>
      </c>
      <c r="D10" s="1">
        <v>0</v>
      </c>
      <c r="E10" s="1">
        <v>8.0399999999999991</v>
      </c>
      <c r="F10" s="1">
        <v>2.46</v>
      </c>
      <c r="G10" s="1">
        <v>0</v>
      </c>
      <c r="H10" s="1">
        <v>0</v>
      </c>
      <c r="I10" s="1">
        <v>39.729999999999997</v>
      </c>
      <c r="J10" s="1">
        <v>27.68</v>
      </c>
      <c r="K10" s="1">
        <v>3.58</v>
      </c>
      <c r="L10" s="1">
        <v>0</v>
      </c>
      <c r="M10" s="1">
        <v>9.6</v>
      </c>
      <c r="N10" s="1">
        <v>40.85</v>
      </c>
      <c r="O10" s="1">
        <v>26.62</v>
      </c>
      <c r="P10" s="1">
        <v>1.79</v>
      </c>
      <c r="Q10" s="1">
        <v>7.81</v>
      </c>
      <c r="R10" s="1">
        <v>6.94</v>
      </c>
    </row>
    <row r="11" spans="1:18" x14ac:dyDescent="0.2">
      <c r="B11" s="1"/>
      <c r="C11" s="1">
        <v>0</v>
      </c>
      <c r="D11" s="1">
        <v>2.0099999999999998</v>
      </c>
      <c r="E11" s="1">
        <v>8.2799999999999994</v>
      </c>
      <c r="F11" s="1">
        <v>0</v>
      </c>
      <c r="G11" s="1">
        <v>0</v>
      </c>
      <c r="H11" s="1">
        <v>1.79</v>
      </c>
      <c r="I11" s="1">
        <v>64.88</v>
      </c>
      <c r="J11" s="1">
        <v>25.45</v>
      </c>
      <c r="K11" s="1">
        <v>25.67</v>
      </c>
      <c r="L11" s="1">
        <v>2.91</v>
      </c>
      <c r="M11" s="1">
        <v>2.0099999999999998</v>
      </c>
      <c r="N11" s="1">
        <v>33.04</v>
      </c>
      <c r="O11" s="1">
        <v>5.13</v>
      </c>
      <c r="P11" s="1">
        <v>1.79</v>
      </c>
      <c r="Q11" s="1">
        <v>2.2400000000000002</v>
      </c>
      <c r="R11" s="1">
        <v>11.19</v>
      </c>
    </row>
    <row r="12" spans="1:18" x14ac:dyDescent="0.2">
      <c r="A12" s="2"/>
      <c r="B12" s="1"/>
      <c r="C12" s="1">
        <v>0</v>
      </c>
      <c r="D12" s="1">
        <v>2.0099999999999998</v>
      </c>
      <c r="E12" s="1">
        <v>0</v>
      </c>
      <c r="F12" s="1">
        <v>0</v>
      </c>
      <c r="G12" s="1">
        <v>2.9</v>
      </c>
      <c r="H12" s="1">
        <v>2.0099999999999998</v>
      </c>
      <c r="I12" s="1">
        <v>61.97</v>
      </c>
      <c r="J12" s="1">
        <v>54.24</v>
      </c>
      <c r="K12" s="1">
        <v>3.12</v>
      </c>
      <c r="L12" s="1">
        <v>2.2400000000000002</v>
      </c>
      <c r="M12" s="1">
        <v>3.79</v>
      </c>
      <c r="N12" s="1">
        <v>63.84</v>
      </c>
      <c r="O12" s="1">
        <v>33.479999999999997</v>
      </c>
      <c r="P12" s="1">
        <v>6.26</v>
      </c>
      <c r="Q12" s="1">
        <v>2.0099999999999998</v>
      </c>
      <c r="R12" s="1">
        <v>3.36</v>
      </c>
    </row>
    <row r="13" spans="1:18" x14ac:dyDescent="0.2">
      <c r="B13" s="1"/>
      <c r="C13" s="1">
        <v>0</v>
      </c>
      <c r="D13" s="1">
        <v>4.25</v>
      </c>
      <c r="E13" s="1">
        <v>0</v>
      </c>
      <c r="F13" s="1">
        <v>0</v>
      </c>
      <c r="G13" s="1">
        <v>4.92</v>
      </c>
      <c r="H13" s="1">
        <v>2.0099999999999998</v>
      </c>
      <c r="I13" s="1">
        <v>15.62</v>
      </c>
      <c r="J13" s="1">
        <v>41.29</v>
      </c>
      <c r="K13" s="1">
        <v>9.17</v>
      </c>
      <c r="L13" s="1">
        <v>39.51</v>
      </c>
      <c r="M13" s="1">
        <v>0</v>
      </c>
      <c r="N13" s="1">
        <v>57.37</v>
      </c>
      <c r="O13" s="1">
        <v>10.71</v>
      </c>
      <c r="P13" s="1">
        <v>3.36</v>
      </c>
      <c r="Q13" s="1">
        <v>0</v>
      </c>
      <c r="R13" s="1">
        <v>0</v>
      </c>
    </row>
    <row r="14" spans="1:18" x14ac:dyDescent="0.2">
      <c r="A14" t="s">
        <v>4</v>
      </c>
      <c r="C14">
        <f>AVERAGE(C4:C13)</f>
        <v>0.86999999999999988</v>
      </c>
      <c r="D14">
        <f t="shared" ref="D14:R14" si="0">AVERAGE(D4:D13)</f>
        <v>0.82699999999999996</v>
      </c>
      <c r="E14">
        <f t="shared" si="0"/>
        <v>2.2570000000000001</v>
      </c>
      <c r="F14">
        <f t="shared" si="0"/>
        <v>1.25</v>
      </c>
      <c r="G14">
        <f t="shared" si="0"/>
        <v>2.1880000000000002</v>
      </c>
      <c r="H14">
        <f t="shared" si="0"/>
        <v>3.4159999999999995</v>
      </c>
      <c r="I14">
        <f>AVERAGE(I4:I13)</f>
        <v>27.97</v>
      </c>
      <c r="J14">
        <f t="shared" si="0"/>
        <v>19.285</v>
      </c>
      <c r="K14">
        <f t="shared" si="0"/>
        <v>4.8460000000000001</v>
      </c>
      <c r="L14">
        <f t="shared" si="0"/>
        <v>6.5439999999999996</v>
      </c>
      <c r="M14">
        <f t="shared" si="0"/>
        <v>3.66</v>
      </c>
      <c r="N14">
        <f t="shared" si="0"/>
        <v>33.231249999999996</v>
      </c>
      <c r="O14">
        <f t="shared" si="0"/>
        <v>15.15625</v>
      </c>
      <c r="P14">
        <f t="shared" si="0"/>
        <v>2.9337499999999999</v>
      </c>
      <c r="Q14">
        <f t="shared" si="0"/>
        <v>5.75</v>
      </c>
      <c r="R14">
        <f t="shared" si="0"/>
        <v>9.5374999999999996</v>
      </c>
    </row>
    <row r="16" spans="1:18" x14ac:dyDescent="0.2">
      <c r="A16" t="s">
        <v>25</v>
      </c>
    </row>
    <row r="17" spans="1:18" x14ac:dyDescent="0.2">
      <c r="A17" t="s">
        <v>3</v>
      </c>
      <c r="B17" s="1" t="s">
        <v>7</v>
      </c>
      <c r="C17" s="1">
        <v>5.13</v>
      </c>
      <c r="D17" s="1">
        <v>0</v>
      </c>
      <c r="E17" s="1">
        <v>0</v>
      </c>
      <c r="F17" s="1">
        <v>0</v>
      </c>
      <c r="G17" s="1">
        <v>14.06</v>
      </c>
      <c r="H17" s="1">
        <v>1.79</v>
      </c>
      <c r="I17" s="1">
        <v>11.19</v>
      </c>
      <c r="J17" s="1">
        <v>18.53</v>
      </c>
      <c r="K17" s="1">
        <v>6.03</v>
      </c>
      <c r="L17" s="1">
        <v>9.3699999999999992</v>
      </c>
      <c r="M17" s="1">
        <v>16.329999999999998</v>
      </c>
      <c r="N17" s="1"/>
      <c r="O17" s="1"/>
      <c r="P17" s="1"/>
      <c r="Q17" s="1"/>
      <c r="R17" s="1"/>
    </row>
    <row r="18" spans="1:18" x14ac:dyDescent="0.2">
      <c r="A18" s="2"/>
      <c r="B18" s="1" t="s">
        <v>8</v>
      </c>
      <c r="C18" s="1">
        <v>5.12</v>
      </c>
      <c r="D18" s="1">
        <v>12.08</v>
      </c>
      <c r="E18" s="1">
        <v>2.68</v>
      </c>
      <c r="F18" s="1">
        <v>0</v>
      </c>
      <c r="G18" s="1">
        <v>0</v>
      </c>
      <c r="H18" s="1">
        <v>7.83</v>
      </c>
      <c r="I18" s="1">
        <v>5.58</v>
      </c>
      <c r="J18" s="1">
        <v>4.91</v>
      </c>
      <c r="K18" s="1">
        <v>4.6900000000000004</v>
      </c>
      <c r="L18" s="1">
        <v>2.68</v>
      </c>
      <c r="M18" s="1">
        <v>31.47</v>
      </c>
      <c r="N18" s="1"/>
      <c r="O18" s="1"/>
      <c r="P18" s="1"/>
      <c r="Q18" s="1"/>
      <c r="R18" s="1"/>
    </row>
    <row r="19" spans="1:18" x14ac:dyDescent="0.2">
      <c r="B19" s="1" t="s">
        <v>15</v>
      </c>
      <c r="C19" s="1">
        <v>1.79</v>
      </c>
      <c r="D19" s="1">
        <v>1.79</v>
      </c>
      <c r="E19" s="1">
        <v>2.23</v>
      </c>
      <c r="F19" s="1">
        <v>22.54</v>
      </c>
      <c r="G19" s="1">
        <v>5.13</v>
      </c>
      <c r="H19" s="1">
        <v>7.16</v>
      </c>
      <c r="I19" s="1">
        <v>23.88</v>
      </c>
      <c r="J19" s="1">
        <v>8.7100000000000009</v>
      </c>
      <c r="K19" s="1">
        <v>8.7100000000000009</v>
      </c>
      <c r="L19" s="1">
        <v>16.55</v>
      </c>
      <c r="M19" s="1">
        <v>0</v>
      </c>
      <c r="N19" s="1">
        <v>13.62</v>
      </c>
      <c r="O19" s="1">
        <v>3.79</v>
      </c>
      <c r="P19" s="1">
        <v>9.82</v>
      </c>
      <c r="Q19" s="1">
        <v>32.590000000000003</v>
      </c>
      <c r="R19" s="1">
        <v>36.69</v>
      </c>
    </row>
    <row r="20" spans="1:18" x14ac:dyDescent="0.2">
      <c r="B20" s="1" t="s">
        <v>16</v>
      </c>
      <c r="C20" s="1">
        <v>3.12</v>
      </c>
      <c r="D20" s="1">
        <v>18.79</v>
      </c>
      <c r="E20" s="1">
        <v>0</v>
      </c>
      <c r="F20" s="1">
        <v>2.23</v>
      </c>
      <c r="G20" s="1">
        <v>0</v>
      </c>
      <c r="H20" s="1">
        <v>2.46</v>
      </c>
      <c r="I20" s="1">
        <v>16.29</v>
      </c>
      <c r="J20" s="1">
        <v>47.1</v>
      </c>
      <c r="K20" s="1">
        <v>22.1</v>
      </c>
      <c r="L20" s="1">
        <v>2.2400000000000002</v>
      </c>
      <c r="M20" s="1">
        <v>17.63</v>
      </c>
      <c r="N20" s="1">
        <v>22.32</v>
      </c>
      <c r="O20" s="1">
        <v>8.93</v>
      </c>
      <c r="P20" s="1">
        <v>4.47</v>
      </c>
      <c r="Q20" s="1">
        <v>16.29</v>
      </c>
      <c r="R20" s="1">
        <v>15.66</v>
      </c>
    </row>
    <row r="21" spans="1:18" x14ac:dyDescent="0.2">
      <c r="B21" s="1" t="s">
        <v>17</v>
      </c>
      <c r="C21" s="1">
        <v>10.94</v>
      </c>
      <c r="D21" s="1">
        <v>11.38</v>
      </c>
      <c r="E21" s="1">
        <v>0</v>
      </c>
      <c r="F21" s="1">
        <v>0</v>
      </c>
      <c r="G21" s="1">
        <v>2.91</v>
      </c>
      <c r="H21" s="1">
        <v>0</v>
      </c>
      <c r="I21" s="1">
        <v>20.54</v>
      </c>
      <c r="J21" s="1">
        <v>4.24</v>
      </c>
      <c r="K21" s="1">
        <v>4.47</v>
      </c>
      <c r="L21" s="1">
        <v>1.79</v>
      </c>
      <c r="M21" s="1">
        <v>0</v>
      </c>
      <c r="N21" s="1">
        <v>12.95</v>
      </c>
      <c r="O21" s="1">
        <v>12.75</v>
      </c>
      <c r="P21" s="1">
        <v>0</v>
      </c>
      <c r="Q21" s="1">
        <v>15.18</v>
      </c>
      <c r="R21" s="1">
        <v>5.15</v>
      </c>
    </row>
    <row r="22" spans="1:18" x14ac:dyDescent="0.2">
      <c r="B22" s="1" t="s">
        <v>18</v>
      </c>
      <c r="C22" s="1">
        <v>2.0099999999999998</v>
      </c>
      <c r="D22" s="1">
        <v>2.68</v>
      </c>
      <c r="E22" s="1">
        <v>25.45</v>
      </c>
      <c r="F22" s="1">
        <v>4.24</v>
      </c>
      <c r="G22" s="1">
        <v>8.9499999999999993</v>
      </c>
      <c r="H22" s="1">
        <v>0</v>
      </c>
      <c r="I22" s="1">
        <v>33.71</v>
      </c>
      <c r="J22" s="1">
        <v>15.21</v>
      </c>
      <c r="K22" s="1">
        <v>1.79</v>
      </c>
      <c r="L22" s="1">
        <v>0</v>
      </c>
      <c r="M22" s="1">
        <v>0</v>
      </c>
      <c r="N22" s="1">
        <v>25.22</v>
      </c>
      <c r="O22" s="1">
        <v>14.09</v>
      </c>
      <c r="P22" s="1">
        <v>0</v>
      </c>
      <c r="Q22" s="1">
        <v>0</v>
      </c>
      <c r="R22" s="1">
        <v>3.13</v>
      </c>
    </row>
    <row r="23" spans="1:18" x14ac:dyDescent="0.2">
      <c r="A23" s="2"/>
      <c r="B23" s="1" t="s">
        <v>19</v>
      </c>
      <c r="C23" s="1">
        <v>2.0099999999999998</v>
      </c>
      <c r="D23" s="1">
        <v>0</v>
      </c>
      <c r="E23" s="1">
        <v>0</v>
      </c>
      <c r="F23" s="1">
        <v>2.9</v>
      </c>
      <c r="G23" s="1">
        <v>8.26</v>
      </c>
      <c r="H23" s="1">
        <v>11.19</v>
      </c>
      <c r="I23" s="1">
        <v>62.95</v>
      </c>
      <c r="J23" s="1">
        <v>22.54</v>
      </c>
      <c r="K23" s="1">
        <v>19.87</v>
      </c>
      <c r="L23" s="1">
        <v>0.22</v>
      </c>
      <c r="M23" s="1">
        <v>13.17</v>
      </c>
      <c r="N23" s="1">
        <v>59.37</v>
      </c>
      <c r="O23" s="1">
        <v>20.09</v>
      </c>
      <c r="P23" s="1">
        <v>32.89</v>
      </c>
      <c r="Q23" s="1">
        <v>17.190000000000001</v>
      </c>
      <c r="R23" s="1">
        <v>0</v>
      </c>
    </row>
    <row r="24" spans="1:18" x14ac:dyDescent="0.2">
      <c r="B24" s="1" t="s">
        <v>20</v>
      </c>
      <c r="C24" s="1">
        <v>19.2</v>
      </c>
      <c r="D24" s="1">
        <v>0</v>
      </c>
      <c r="E24" s="1">
        <v>0</v>
      </c>
      <c r="F24" s="1">
        <v>0</v>
      </c>
      <c r="G24" s="1">
        <v>5.13</v>
      </c>
      <c r="H24" s="1">
        <v>6.03</v>
      </c>
      <c r="I24" s="1">
        <v>39.29</v>
      </c>
      <c r="J24" s="1">
        <v>27.68</v>
      </c>
      <c r="K24" s="1">
        <v>7.38</v>
      </c>
      <c r="L24" s="1">
        <v>8.0399999999999991</v>
      </c>
      <c r="M24" s="1">
        <v>44.64</v>
      </c>
      <c r="N24" s="1">
        <v>10.74</v>
      </c>
      <c r="O24" s="1">
        <v>0</v>
      </c>
      <c r="P24" s="1">
        <v>5.58</v>
      </c>
      <c r="Q24" s="1">
        <v>1.79</v>
      </c>
      <c r="R24" s="1">
        <v>18.829999999999998</v>
      </c>
    </row>
    <row r="25" spans="1:18" x14ac:dyDescent="0.2">
      <c r="B25" s="1" t="s">
        <v>21</v>
      </c>
      <c r="C25" s="1">
        <v>3.8</v>
      </c>
      <c r="D25" s="1">
        <v>11.16</v>
      </c>
      <c r="E25" s="1">
        <v>0</v>
      </c>
      <c r="F25" s="1">
        <v>0</v>
      </c>
      <c r="G25" s="1">
        <v>3.13</v>
      </c>
      <c r="H25" s="1">
        <v>2.0099999999999998</v>
      </c>
      <c r="I25" s="1">
        <v>47.99</v>
      </c>
      <c r="J25" s="1">
        <v>7.37</v>
      </c>
      <c r="K25" s="1">
        <v>1.79</v>
      </c>
      <c r="L25" s="1">
        <v>0</v>
      </c>
      <c r="M25" s="1">
        <v>0</v>
      </c>
      <c r="N25" s="1">
        <v>23.88</v>
      </c>
      <c r="O25" s="1">
        <v>0</v>
      </c>
      <c r="P25" s="1">
        <v>2.0099999999999998</v>
      </c>
      <c r="Q25" s="1">
        <v>25</v>
      </c>
      <c r="R25" s="1">
        <v>0</v>
      </c>
    </row>
    <row r="26" spans="1:18" x14ac:dyDescent="0.2">
      <c r="B26" s="1" t="s">
        <v>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44.64</v>
      </c>
      <c r="J26" s="1">
        <v>28.12</v>
      </c>
      <c r="K26" s="1">
        <v>4.6900000000000004</v>
      </c>
      <c r="L26" s="1">
        <v>9.15</v>
      </c>
      <c r="M26" s="1">
        <v>9.6199999999999992</v>
      </c>
      <c r="N26" s="1">
        <v>47.32</v>
      </c>
      <c r="O26" s="1">
        <v>12.95</v>
      </c>
      <c r="P26" s="1">
        <v>10.71</v>
      </c>
      <c r="Q26" s="1">
        <v>15.21</v>
      </c>
      <c r="R26" s="1">
        <v>0</v>
      </c>
    </row>
    <row r="27" spans="1:18" x14ac:dyDescent="0.2">
      <c r="B27" s="1" t="s">
        <v>57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34.15</v>
      </c>
      <c r="J27" s="1">
        <v>16.78</v>
      </c>
      <c r="K27" s="1">
        <v>0</v>
      </c>
      <c r="L27" s="1">
        <v>1.79</v>
      </c>
      <c r="M27" s="1">
        <v>0</v>
      </c>
      <c r="N27" s="1">
        <v>23.27</v>
      </c>
      <c r="O27" s="1">
        <v>6.33</v>
      </c>
      <c r="P27" s="1">
        <v>6.33</v>
      </c>
      <c r="Q27" s="1">
        <v>6.33</v>
      </c>
      <c r="R27" s="1">
        <v>6.33</v>
      </c>
    </row>
    <row r="28" spans="1:18" x14ac:dyDescent="0.2">
      <c r="A28" t="s">
        <v>4</v>
      </c>
      <c r="C28">
        <f t="shared" ref="C28:R28" si="1">AVERAGE(C17:C27)</f>
        <v>4.8290909090909082</v>
      </c>
      <c r="D28">
        <f t="shared" si="1"/>
        <v>5.2618181818181817</v>
      </c>
      <c r="E28">
        <f t="shared" si="1"/>
        <v>2.76</v>
      </c>
      <c r="F28">
        <f t="shared" si="1"/>
        <v>2.9009090909090904</v>
      </c>
      <c r="G28">
        <f t="shared" si="1"/>
        <v>4.3245454545454551</v>
      </c>
      <c r="H28">
        <f t="shared" si="1"/>
        <v>3.4972727272727271</v>
      </c>
      <c r="I28">
        <f t="shared" si="1"/>
        <v>30.928181818181812</v>
      </c>
      <c r="J28">
        <f t="shared" si="1"/>
        <v>18.29</v>
      </c>
      <c r="K28">
        <f t="shared" si="1"/>
        <v>7.4109090909090902</v>
      </c>
      <c r="L28">
        <f t="shared" si="1"/>
        <v>4.7118181818181819</v>
      </c>
      <c r="M28">
        <f t="shared" si="1"/>
        <v>12.078181818181816</v>
      </c>
      <c r="N28">
        <f t="shared" si="1"/>
        <v>26.521111111111111</v>
      </c>
      <c r="O28">
        <f t="shared" si="1"/>
        <v>8.7700000000000014</v>
      </c>
      <c r="P28">
        <f t="shared" si="1"/>
        <v>7.9788888888888874</v>
      </c>
      <c r="Q28">
        <f t="shared" si="1"/>
        <v>14.39777777777778</v>
      </c>
      <c r="R28">
        <f t="shared" si="1"/>
        <v>9.5322222222222219</v>
      </c>
    </row>
    <row r="31" spans="1:18" x14ac:dyDescent="0.2">
      <c r="A31" t="s">
        <v>24</v>
      </c>
      <c r="B31" s="3"/>
      <c r="C31" s="1"/>
      <c r="D31" s="1"/>
      <c r="E31" s="1"/>
      <c r="F31" s="1"/>
      <c r="G31" s="1"/>
      <c r="H31" s="1"/>
      <c r="I31" s="1"/>
      <c r="J31" s="1"/>
    </row>
    <row r="32" spans="1:18" x14ac:dyDescent="0.2">
      <c r="A32" s="2"/>
      <c r="B32" s="1" t="s">
        <v>59</v>
      </c>
      <c r="C32" s="1">
        <v>0</v>
      </c>
      <c r="D32" s="1">
        <v>4.0199999999999996</v>
      </c>
      <c r="E32" s="1">
        <v>4.03</v>
      </c>
      <c r="F32" s="1">
        <v>14.73</v>
      </c>
      <c r="G32" s="1">
        <v>0</v>
      </c>
      <c r="H32" s="1">
        <v>0.22</v>
      </c>
      <c r="I32" s="1">
        <v>18.3</v>
      </c>
      <c r="J32" s="1">
        <v>2.46</v>
      </c>
      <c r="K32" s="1">
        <v>12.5</v>
      </c>
      <c r="L32" s="1">
        <v>26.12</v>
      </c>
      <c r="M32" s="1">
        <v>4.91</v>
      </c>
      <c r="N32" s="1">
        <v>4.25</v>
      </c>
      <c r="O32" s="1">
        <v>7.72</v>
      </c>
      <c r="P32" s="1">
        <v>7.72</v>
      </c>
      <c r="Q32" s="1">
        <v>7.72</v>
      </c>
      <c r="R32" s="1">
        <v>7.72</v>
      </c>
    </row>
    <row r="33" spans="1:18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1:18" x14ac:dyDescent="0.2">
      <c r="A34" s="2"/>
      <c r="B34" s="1"/>
      <c r="C34" s="1"/>
      <c r="D34" s="1"/>
      <c r="E34" s="1"/>
      <c r="F34" s="1"/>
      <c r="G34" s="1"/>
      <c r="H34" s="1"/>
      <c r="I34" s="1"/>
      <c r="J34" s="1"/>
    </row>
    <row r="35" spans="1:18" x14ac:dyDescent="0.2">
      <c r="B35" s="1"/>
      <c r="C35" s="1"/>
      <c r="D35" s="1"/>
      <c r="E35" s="1"/>
      <c r="F35" s="1"/>
      <c r="G35" s="1"/>
      <c r="H35" s="1"/>
      <c r="I35" s="1"/>
      <c r="J35" s="1"/>
    </row>
    <row r="36" spans="1:18" x14ac:dyDescent="0.2">
      <c r="B36" s="1"/>
      <c r="C36" s="1"/>
      <c r="D36" s="1"/>
      <c r="E36" s="1"/>
      <c r="F36" s="1"/>
      <c r="G36" s="1"/>
      <c r="H36" s="1"/>
      <c r="I36" s="1"/>
      <c r="J36" s="1"/>
    </row>
    <row r="37" spans="1:18" x14ac:dyDescent="0.2">
      <c r="B37" s="1"/>
      <c r="C37" s="1"/>
      <c r="D37" s="1"/>
      <c r="E37" s="1"/>
      <c r="F37" s="1"/>
      <c r="G37" s="1"/>
      <c r="H37" s="1"/>
      <c r="I37" s="1"/>
      <c r="J37" s="1"/>
    </row>
    <row r="38" spans="1:18" x14ac:dyDescent="0.2">
      <c r="B38" s="1"/>
      <c r="C38" s="1"/>
      <c r="D38" s="1"/>
      <c r="E38" s="1"/>
      <c r="F38" s="1"/>
      <c r="G38" s="1"/>
      <c r="H38" s="1"/>
      <c r="I38" s="1"/>
      <c r="J38" s="1"/>
    </row>
    <row r="39" spans="1:18" x14ac:dyDescent="0.2">
      <c r="B39" s="1"/>
      <c r="C39" s="1"/>
      <c r="D39" s="1"/>
      <c r="E39" s="1"/>
      <c r="F39" s="1"/>
      <c r="G39" s="1"/>
      <c r="H39" s="1"/>
      <c r="I39" s="1"/>
      <c r="J39" s="1"/>
    </row>
    <row r="40" spans="1:18" x14ac:dyDescent="0.2">
      <c r="B40" s="1"/>
      <c r="C40" s="1"/>
      <c r="D40" s="1"/>
      <c r="E40" s="1"/>
      <c r="F40" s="1"/>
      <c r="G40" s="1"/>
      <c r="H40" s="1"/>
      <c r="I40" s="1"/>
      <c r="J40" s="1"/>
    </row>
    <row r="43" spans="1:18" x14ac:dyDescent="0.2">
      <c r="A43" t="s">
        <v>4</v>
      </c>
      <c r="C43">
        <f t="shared" ref="C43:R43" si="2">AVERAGE(C31:C42)</f>
        <v>0</v>
      </c>
      <c r="D43">
        <f t="shared" si="2"/>
        <v>4.0199999999999996</v>
      </c>
      <c r="E43">
        <f t="shared" si="2"/>
        <v>4.03</v>
      </c>
      <c r="F43">
        <f t="shared" si="2"/>
        <v>14.73</v>
      </c>
      <c r="G43">
        <f t="shared" si="2"/>
        <v>0</v>
      </c>
      <c r="H43">
        <f t="shared" si="2"/>
        <v>0.22</v>
      </c>
      <c r="I43">
        <f t="shared" si="2"/>
        <v>18.3</v>
      </c>
      <c r="J43">
        <f t="shared" si="2"/>
        <v>2.46</v>
      </c>
      <c r="K43">
        <f t="shared" si="2"/>
        <v>12.5</v>
      </c>
      <c r="L43">
        <f t="shared" si="2"/>
        <v>26.12</v>
      </c>
      <c r="M43">
        <f t="shared" si="2"/>
        <v>4.91</v>
      </c>
      <c r="N43">
        <f t="shared" si="2"/>
        <v>4.25</v>
      </c>
      <c r="O43">
        <f t="shared" si="2"/>
        <v>7.72</v>
      </c>
      <c r="P43">
        <f t="shared" si="2"/>
        <v>7.72</v>
      </c>
      <c r="Q43">
        <f t="shared" si="2"/>
        <v>7.72</v>
      </c>
      <c r="R43">
        <f t="shared" si="2"/>
        <v>7.72</v>
      </c>
    </row>
    <row r="46" spans="1:18" x14ac:dyDescent="0.2">
      <c r="A46" t="s">
        <v>39</v>
      </c>
    </row>
    <row r="47" spans="1:18" x14ac:dyDescent="0.2">
      <c r="B47" s="3" t="s">
        <v>40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51.35</v>
      </c>
      <c r="J47" s="1">
        <v>2.23</v>
      </c>
      <c r="K47" s="1">
        <v>0</v>
      </c>
      <c r="L47" s="1">
        <v>0</v>
      </c>
      <c r="M47" s="1">
        <v>0</v>
      </c>
      <c r="N47" s="1">
        <v>33.33</v>
      </c>
      <c r="O47" s="1">
        <v>7.23</v>
      </c>
      <c r="P47" s="1">
        <v>7.23</v>
      </c>
      <c r="Q47" s="1">
        <v>7.23</v>
      </c>
      <c r="R47" s="1">
        <v>7.23</v>
      </c>
    </row>
    <row r="48" spans="1:18" x14ac:dyDescent="0.2">
      <c r="B48" s="3" t="s">
        <v>41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66.67</v>
      </c>
      <c r="J48" s="1">
        <v>21.21</v>
      </c>
      <c r="K48" s="1">
        <v>0</v>
      </c>
      <c r="L48" s="1">
        <v>0</v>
      </c>
      <c r="M48" s="1">
        <v>0</v>
      </c>
      <c r="N48" s="1">
        <v>27.96</v>
      </c>
      <c r="O48" s="1">
        <v>9.66</v>
      </c>
      <c r="P48" s="1">
        <v>9.66</v>
      </c>
      <c r="Q48" s="1">
        <v>9.66</v>
      </c>
      <c r="R48" s="1">
        <v>9.66</v>
      </c>
    </row>
    <row r="49" spans="1:18" x14ac:dyDescent="0.2">
      <c r="B49" s="3" t="s">
        <v>42</v>
      </c>
      <c r="C49" s="1">
        <v>0</v>
      </c>
      <c r="D49" s="1">
        <v>0</v>
      </c>
      <c r="E49" s="1">
        <v>7.14</v>
      </c>
      <c r="F49" s="1">
        <v>0</v>
      </c>
      <c r="G49" s="1">
        <v>0</v>
      </c>
      <c r="H49" s="1">
        <v>0</v>
      </c>
      <c r="I49" s="1">
        <v>8.26</v>
      </c>
      <c r="J49" s="1">
        <v>0</v>
      </c>
      <c r="K49" s="1">
        <v>3.57</v>
      </c>
      <c r="L49" s="1">
        <v>1.79</v>
      </c>
      <c r="M49" s="1">
        <v>4.0199999999999996</v>
      </c>
      <c r="N49" s="1">
        <v>16.37</v>
      </c>
      <c r="O49" s="1">
        <v>3.42</v>
      </c>
      <c r="P49" s="1">
        <v>3.42</v>
      </c>
      <c r="Q49" s="1">
        <v>3.42</v>
      </c>
      <c r="R49" s="1">
        <v>3.42</v>
      </c>
    </row>
    <row r="50" spans="1:18" x14ac:dyDescent="0.2">
      <c r="B50" s="3" t="s">
        <v>43</v>
      </c>
      <c r="C50" s="1">
        <v>0</v>
      </c>
      <c r="D50" s="1">
        <v>2.0099999999999998</v>
      </c>
      <c r="E50" s="1">
        <v>0</v>
      </c>
      <c r="F50" s="1">
        <v>14.73</v>
      </c>
      <c r="G50" s="1">
        <v>0</v>
      </c>
      <c r="H50" s="1">
        <v>1.79</v>
      </c>
      <c r="I50" s="1">
        <v>22.6</v>
      </c>
      <c r="J50" s="1">
        <v>2.0099999999999998</v>
      </c>
      <c r="K50" s="1">
        <v>3.57</v>
      </c>
      <c r="L50" s="1">
        <v>0</v>
      </c>
      <c r="M50" s="1">
        <v>9.3699999999999992</v>
      </c>
      <c r="N50" s="1">
        <v>14.54</v>
      </c>
      <c r="O50" s="1">
        <v>5.88</v>
      </c>
      <c r="P50" s="1">
        <v>5.88</v>
      </c>
      <c r="Q50" s="1">
        <v>5.88</v>
      </c>
      <c r="R50" s="1">
        <v>5.88</v>
      </c>
    </row>
    <row r="51" spans="1:18" x14ac:dyDescent="0.2">
      <c r="B51" s="1" t="s">
        <v>51</v>
      </c>
      <c r="C51" s="1">
        <v>0</v>
      </c>
      <c r="D51" s="1">
        <v>0</v>
      </c>
      <c r="E51" s="1">
        <v>3.57</v>
      </c>
      <c r="F51" s="1">
        <v>2.0099999999999998</v>
      </c>
      <c r="G51" s="1">
        <v>16.96</v>
      </c>
      <c r="H51" s="1">
        <v>7.83</v>
      </c>
      <c r="I51" s="1">
        <v>13.17</v>
      </c>
      <c r="J51" s="1">
        <v>9.3699999999999992</v>
      </c>
      <c r="K51" s="1">
        <v>6.47</v>
      </c>
      <c r="L51" s="1">
        <v>1.79</v>
      </c>
      <c r="M51" s="1">
        <v>6.47</v>
      </c>
      <c r="N51" s="1">
        <v>27.29</v>
      </c>
      <c r="O51" s="1">
        <v>7.91</v>
      </c>
      <c r="P51" s="1">
        <v>7.91</v>
      </c>
      <c r="Q51" s="1">
        <v>7.91</v>
      </c>
      <c r="R51" s="1">
        <v>7.91</v>
      </c>
    </row>
    <row r="52" spans="1:18" x14ac:dyDescent="0.2">
      <c r="B52" s="1" t="s">
        <v>56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57.37</v>
      </c>
      <c r="J52" s="1">
        <v>11.83</v>
      </c>
      <c r="K52" s="1">
        <v>0</v>
      </c>
      <c r="L52" s="1">
        <v>0</v>
      </c>
      <c r="M52" s="1">
        <v>0</v>
      </c>
      <c r="N52" s="1">
        <v>35.65</v>
      </c>
      <c r="O52" s="1">
        <v>8.73</v>
      </c>
      <c r="P52" s="1">
        <v>8.73</v>
      </c>
      <c r="Q52" s="1">
        <v>8.73</v>
      </c>
      <c r="R52" s="1">
        <v>8.73</v>
      </c>
    </row>
    <row r="53" spans="1:18" x14ac:dyDescent="0.2">
      <c r="B53" s="1" t="s">
        <v>73</v>
      </c>
      <c r="C53" s="1">
        <v>0</v>
      </c>
      <c r="D53" s="1">
        <v>0</v>
      </c>
      <c r="E53" s="1">
        <v>0</v>
      </c>
      <c r="F53" s="1">
        <v>4.24</v>
      </c>
      <c r="G53" s="1">
        <v>21.87</v>
      </c>
      <c r="H53" s="1">
        <v>0</v>
      </c>
      <c r="I53" s="1">
        <v>34.9</v>
      </c>
      <c r="J53" s="1">
        <v>18.53</v>
      </c>
      <c r="K53" s="1">
        <v>2.68</v>
      </c>
      <c r="L53" s="1">
        <v>13.17</v>
      </c>
      <c r="M53" s="1">
        <v>4.47</v>
      </c>
      <c r="N53" s="1">
        <v>21.25</v>
      </c>
      <c r="O53" s="1">
        <v>10.09</v>
      </c>
      <c r="P53" s="1">
        <v>10.09</v>
      </c>
      <c r="Q53" s="1">
        <v>10.09</v>
      </c>
      <c r="R53" s="1">
        <v>10.09</v>
      </c>
    </row>
    <row r="54" spans="1:18" x14ac:dyDescent="0.2">
      <c r="B54" s="1" t="s">
        <v>74</v>
      </c>
      <c r="C54" s="1">
        <v>0</v>
      </c>
      <c r="D54" s="1">
        <v>0</v>
      </c>
      <c r="E54" s="1">
        <v>0</v>
      </c>
      <c r="F54" s="1">
        <v>0</v>
      </c>
      <c r="G54" s="1">
        <v>1.79</v>
      </c>
      <c r="H54" s="1">
        <v>0</v>
      </c>
      <c r="I54" s="1">
        <v>43.97</v>
      </c>
      <c r="J54" s="1">
        <v>5.58</v>
      </c>
      <c r="K54" s="1">
        <v>2.0099999999999998</v>
      </c>
      <c r="L54" s="1">
        <v>0</v>
      </c>
      <c r="M54" s="1">
        <v>0</v>
      </c>
      <c r="N54" s="1">
        <v>25.73</v>
      </c>
      <c r="O54" s="1">
        <v>6.66</v>
      </c>
      <c r="P54" s="1">
        <v>6.66</v>
      </c>
      <c r="Q54" s="1">
        <v>6.66</v>
      </c>
      <c r="R54" s="1">
        <v>6.66</v>
      </c>
    </row>
    <row r="57" spans="1:18" x14ac:dyDescent="0.2">
      <c r="B57" t="s">
        <v>4</v>
      </c>
      <c r="C57">
        <f>AVERAGE(C47:C56)</f>
        <v>0</v>
      </c>
      <c r="D57">
        <f t="shared" ref="D57:R57" si="3">AVERAGE(D47:D56)</f>
        <v>0.25124999999999997</v>
      </c>
      <c r="E57">
        <f t="shared" si="3"/>
        <v>1.3387499999999999</v>
      </c>
      <c r="F57">
        <f t="shared" si="3"/>
        <v>2.6225000000000005</v>
      </c>
      <c r="G57">
        <f t="shared" si="3"/>
        <v>5.0774999999999997</v>
      </c>
      <c r="H57">
        <f t="shared" si="3"/>
        <v>1.2025000000000001</v>
      </c>
      <c r="I57">
        <f t="shared" si="3"/>
        <v>37.286250000000003</v>
      </c>
      <c r="J57">
        <f t="shared" si="3"/>
        <v>8.8450000000000006</v>
      </c>
      <c r="K57">
        <f t="shared" si="3"/>
        <v>2.2874999999999996</v>
      </c>
      <c r="L57">
        <f t="shared" si="3"/>
        <v>2.09375</v>
      </c>
      <c r="M57">
        <f t="shared" si="3"/>
        <v>3.0412499999999998</v>
      </c>
      <c r="N57">
        <f t="shared" si="3"/>
        <v>25.264999999999997</v>
      </c>
      <c r="O57">
        <f t="shared" si="3"/>
        <v>7.4474999999999998</v>
      </c>
      <c r="P57">
        <f t="shared" si="3"/>
        <v>7.4474999999999998</v>
      </c>
      <c r="Q57">
        <f t="shared" si="3"/>
        <v>7.4474999999999998</v>
      </c>
      <c r="R57">
        <f t="shared" si="3"/>
        <v>7.4474999999999998</v>
      </c>
    </row>
    <row r="58" spans="1:18" x14ac:dyDescent="0.2">
      <c r="A58" t="s">
        <v>27</v>
      </c>
    </row>
    <row r="59" spans="1:18" x14ac:dyDescent="0.2">
      <c r="B59" s="1" t="s">
        <v>52</v>
      </c>
      <c r="C59" s="1">
        <v>0</v>
      </c>
      <c r="D59" s="1">
        <v>2.0099999999999998</v>
      </c>
      <c r="E59" s="1">
        <v>14.51</v>
      </c>
      <c r="F59" s="1">
        <v>11.61</v>
      </c>
      <c r="G59" s="1">
        <v>0</v>
      </c>
      <c r="H59" s="1">
        <v>4.25</v>
      </c>
      <c r="I59" s="1">
        <v>18.3</v>
      </c>
      <c r="J59" s="1">
        <v>0</v>
      </c>
      <c r="K59" s="1">
        <v>4.24</v>
      </c>
      <c r="L59" s="1">
        <v>2.0099999999999998</v>
      </c>
      <c r="M59" s="1">
        <v>0</v>
      </c>
      <c r="N59" s="1">
        <v>0</v>
      </c>
      <c r="O59" s="1">
        <v>4.75</v>
      </c>
      <c r="P59" s="1">
        <v>4.75</v>
      </c>
      <c r="Q59" s="1">
        <v>4.75</v>
      </c>
      <c r="R59" s="1">
        <v>4.75</v>
      </c>
    </row>
    <row r="60" spans="1:18" x14ac:dyDescent="0.2">
      <c r="B60" s="1" t="s">
        <v>49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88.39</v>
      </c>
      <c r="J60" s="1">
        <v>24.78</v>
      </c>
      <c r="K60" s="1">
        <v>6.47</v>
      </c>
      <c r="L60" s="1">
        <v>0</v>
      </c>
      <c r="M60" s="1">
        <v>0</v>
      </c>
      <c r="N60" s="1">
        <v>70.25</v>
      </c>
      <c r="O60" s="1">
        <v>15.82</v>
      </c>
      <c r="P60" s="1">
        <v>15.82</v>
      </c>
      <c r="Q60" s="1">
        <v>15.82</v>
      </c>
      <c r="R60" s="1">
        <v>15.82</v>
      </c>
    </row>
    <row r="61" spans="1:18" x14ac:dyDescent="0.2">
      <c r="B61" s="1" t="s">
        <v>50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1.79</v>
      </c>
      <c r="J61" s="1">
        <v>0</v>
      </c>
      <c r="K61" s="1">
        <v>0</v>
      </c>
      <c r="L61" s="1">
        <v>0</v>
      </c>
      <c r="M61" s="1">
        <v>0</v>
      </c>
      <c r="N61" s="1">
        <v>2.68</v>
      </c>
      <c r="O61" s="1">
        <v>0.37</v>
      </c>
      <c r="P61" s="1">
        <v>0.37</v>
      </c>
      <c r="Q61" s="1">
        <v>0.37</v>
      </c>
      <c r="R61" s="1">
        <v>0.37</v>
      </c>
    </row>
    <row r="62" spans="1:18" x14ac:dyDescent="0.2">
      <c r="B62" s="1" t="s">
        <v>47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20.54</v>
      </c>
      <c r="J62" s="1">
        <v>2.0099999999999998</v>
      </c>
      <c r="K62" s="1">
        <v>0</v>
      </c>
      <c r="L62" s="1">
        <v>1.79</v>
      </c>
      <c r="M62" s="1">
        <v>2.9</v>
      </c>
      <c r="N62" s="1">
        <v>17.23</v>
      </c>
      <c r="O62" s="1">
        <v>3.7</v>
      </c>
      <c r="P62" s="1">
        <v>3.7</v>
      </c>
      <c r="Q62" s="1">
        <v>3.7</v>
      </c>
      <c r="R62" s="1">
        <v>3.7</v>
      </c>
    </row>
    <row r="63" spans="1:18" x14ac:dyDescent="0.2">
      <c r="B63" s="1" t="s">
        <v>48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0.67</v>
      </c>
      <c r="I63" s="1">
        <v>16.96</v>
      </c>
      <c r="J63" s="1">
        <v>2.2400000000000002</v>
      </c>
      <c r="K63" s="1">
        <v>0</v>
      </c>
      <c r="L63" s="1">
        <v>3.79</v>
      </c>
      <c r="M63" s="1">
        <v>2.0099999999999998</v>
      </c>
      <c r="N63" s="1">
        <v>56.73</v>
      </c>
      <c r="O63" s="1">
        <v>6.87</v>
      </c>
      <c r="P63" s="1">
        <v>6.87</v>
      </c>
      <c r="Q63" s="1">
        <v>6.87</v>
      </c>
      <c r="R63" s="1">
        <v>6.87</v>
      </c>
    </row>
    <row r="64" spans="1:18" x14ac:dyDescent="0.2">
      <c r="B64" s="1" t="s">
        <v>56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57.37</v>
      </c>
      <c r="J64" s="1">
        <v>11.83</v>
      </c>
      <c r="K64" s="1">
        <v>0</v>
      </c>
      <c r="L64" s="1">
        <v>0</v>
      </c>
      <c r="M64" s="1">
        <v>0</v>
      </c>
      <c r="N64" s="1">
        <v>35.65</v>
      </c>
      <c r="O64" s="1">
        <v>8.73</v>
      </c>
      <c r="P64" s="1">
        <v>8.73</v>
      </c>
      <c r="Q64" s="1">
        <v>8.73</v>
      </c>
      <c r="R64" s="1">
        <v>8.73</v>
      </c>
    </row>
    <row r="65" spans="2:18" x14ac:dyDescent="0.2">
      <c r="B65" s="1" t="s">
        <v>60</v>
      </c>
      <c r="C65" s="1">
        <v>0</v>
      </c>
      <c r="D65" s="1">
        <v>0</v>
      </c>
      <c r="E65" s="1">
        <v>2.0099999999999998</v>
      </c>
      <c r="F65" s="1">
        <v>0</v>
      </c>
      <c r="G65" s="1">
        <v>0</v>
      </c>
      <c r="H65" s="1">
        <v>0</v>
      </c>
      <c r="I65" s="1">
        <v>21.43</v>
      </c>
      <c r="J65" s="1">
        <v>8.48</v>
      </c>
      <c r="K65" s="1">
        <v>0</v>
      </c>
      <c r="L65" s="1">
        <v>2.68</v>
      </c>
      <c r="M65" s="1">
        <v>6.03</v>
      </c>
      <c r="N65" s="1">
        <v>13.87</v>
      </c>
      <c r="O65" s="1">
        <v>4.54</v>
      </c>
      <c r="P65" s="1">
        <v>4.54</v>
      </c>
      <c r="Q65" s="1">
        <v>4.54</v>
      </c>
      <c r="R65" s="1">
        <v>4.54</v>
      </c>
    </row>
    <row r="66" spans="2:18" x14ac:dyDescent="0.2">
      <c r="B66" s="1" t="s">
        <v>75</v>
      </c>
      <c r="C66" s="1">
        <v>0</v>
      </c>
      <c r="D66" s="1">
        <v>18.53</v>
      </c>
      <c r="E66" s="1">
        <v>0</v>
      </c>
      <c r="F66" s="1">
        <v>10.71</v>
      </c>
      <c r="G66" s="1">
        <v>3.35</v>
      </c>
      <c r="H66" s="1">
        <v>1.79</v>
      </c>
      <c r="I66" s="1">
        <v>14.29</v>
      </c>
      <c r="J66" s="1">
        <v>32.369999999999997</v>
      </c>
      <c r="K66" s="1">
        <v>2.0099999999999998</v>
      </c>
      <c r="L66" s="1">
        <v>0</v>
      </c>
      <c r="M66" s="1">
        <v>0</v>
      </c>
      <c r="N66" s="1">
        <v>25.5</v>
      </c>
      <c r="O66" s="1">
        <v>9.06</v>
      </c>
      <c r="P66" s="1">
        <v>9.06</v>
      </c>
      <c r="Q66" s="1">
        <v>9.06</v>
      </c>
      <c r="R66" s="1">
        <v>9.06</v>
      </c>
    </row>
    <row r="67" spans="2:18" x14ac:dyDescent="0.2">
      <c r="B67" t="s">
        <v>4</v>
      </c>
      <c r="C67">
        <f>AVERAGE(C59:C66)</f>
        <v>0</v>
      </c>
      <c r="D67">
        <f t="shared" ref="D67:R67" si="4">AVERAGE(D59:D66)</f>
        <v>2.5674999999999999</v>
      </c>
      <c r="E67">
        <f t="shared" si="4"/>
        <v>2.0649999999999999</v>
      </c>
      <c r="F67">
        <f t="shared" si="4"/>
        <v>2.79</v>
      </c>
      <c r="G67">
        <f t="shared" si="4"/>
        <v>0.41875000000000001</v>
      </c>
      <c r="H67">
        <f t="shared" si="4"/>
        <v>0.83875</v>
      </c>
      <c r="I67">
        <f t="shared" si="4"/>
        <v>29.883750000000003</v>
      </c>
      <c r="J67">
        <f t="shared" si="4"/>
        <v>10.213750000000001</v>
      </c>
      <c r="K67">
        <f t="shared" si="4"/>
        <v>1.59</v>
      </c>
      <c r="L67">
        <f t="shared" si="4"/>
        <v>1.2837499999999999</v>
      </c>
      <c r="M67">
        <f t="shared" si="4"/>
        <v>1.3675000000000002</v>
      </c>
      <c r="N67">
        <f t="shared" si="4"/>
        <v>27.738750000000003</v>
      </c>
      <c r="O67">
        <f t="shared" si="4"/>
        <v>6.73</v>
      </c>
      <c r="P67">
        <f t="shared" si="4"/>
        <v>6.73</v>
      </c>
      <c r="Q67">
        <f t="shared" si="4"/>
        <v>6.73</v>
      </c>
      <c r="R67">
        <f t="shared" si="4"/>
        <v>6.73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Conditioning</vt:lpstr>
      <vt:lpstr>Context</vt:lpstr>
      <vt:lpstr>Tone</vt:lpstr>
      <vt:lpstr>Tone 30s2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2017-04-10T23:27:27Z</dcterms:modified>
</cp:coreProperties>
</file>