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RO" sheetId="1" r:id="rId1"/>
    <sheet name="PAR" sheetId="4" r:id="rId2"/>
    <sheet name="CA1" sheetId="5" r:id="rId3"/>
  </sheets>
  <calcPr calcId="145621"/>
</workbook>
</file>

<file path=xl/calcChain.xml><?xml version="1.0" encoding="utf-8"?>
<calcChain xmlns="http://schemas.openxmlformats.org/spreadsheetml/2006/main">
  <c r="C48" i="5" l="1"/>
  <c r="D54" i="1"/>
  <c r="C54" i="1"/>
  <c r="B54" i="1"/>
  <c r="D53" i="1"/>
  <c r="C53" i="1"/>
  <c r="B53" i="1"/>
  <c r="D52" i="1"/>
  <c r="C52" i="1"/>
  <c r="B52" i="1"/>
  <c r="D51" i="1"/>
  <c r="C51" i="1"/>
  <c r="B51" i="1"/>
  <c r="D49" i="1"/>
  <c r="C49" i="1"/>
  <c r="B49" i="1"/>
  <c r="D48" i="1"/>
  <c r="C48" i="1"/>
  <c r="B48" i="1"/>
  <c r="D47" i="1"/>
  <c r="C47" i="1"/>
  <c r="B47" i="1"/>
  <c r="D46" i="1"/>
  <c r="C46" i="1"/>
  <c r="B46" i="1"/>
  <c r="D44" i="1"/>
  <c r="C44" i="1"/>
  <c r="B44" i="1"/>
  <c r="D43" i="1"/>
  <c r="C43" i="1"/>
  <c r="B43" i="1"/>
  <c r="D42" i="1"/>
  <c r="C42" i="1"/>
  <c r="B42" i="1"/>
  <c r="D41" i="1"/>
  <c r="C41" i="1"/>
  <c r="B41" i="1"/>
  <c r="D54" i="4"/>
  <c r="C54" i="4"/>
  <c r="B54" i="4"/>
  <c r="D53" i="4"/>
  <c r="C53" i="4"/>
  <c r="B53" i="4"/>
  <c r="D52" i="4"/>
  <c r="C52" i="4"/>
  <c r="B52" i="4"/>
  <c r="D51" i="4"/>
  <c r="C51" i="4"/>
  <c r="B51" i="4"/>
  <c r="D49" i="4"/>
  <c r="C49" i="4"/>
  <c r="B49" i="4"/>
  <c r="D48" i="4"/>
  <c r="C48" i="4"/>
  <c r="B48" i="4"/>
  <c r="D47" i="4"/>
  <c r="C47" i="4"/>
  <c r="B47" i="4"/>
  <c r="D46" i="4"/>
  <c r="C46" i="4"/>
  <c r="B46" i="4"/>
  <c r="D44" i="4"/>
  <c r="C44" i="4"/>
  <c r="B44" i="4"/>
  <c r="D43" i="4"/>
  <c r="C43" i="4"/>
  <c r="B43" i="4"/>
  <c r="D42" i="4"/>
  <c r="C42" i="4"/>
  <c r="B42" i="4"/>
  <c r="D41" i="4"/>
  <c r="C41" i="4"/>
  <c r="B41" i="4"/>
  <c r="C49" i="5"/>
  <c r="D49" i="5"/>
  <c r="B49" i="5"/>
  <c r="D48" i="5"/>
  <c r="B48" i="5"/>
  <c r="D47" i="5"/>
  <c r="C47" i="5"/>
  <c r="B47" i="5"/>
  <c r="C46" i="5"/>
  <c r="D46" i="5"/>
  <c r="B46" i="5"/>
  <c r="B53" i="5"/>
  <c r="D54" i="5"/>
  <c r="C54" i="5"/>
  <c r="B54" i="5"/>
  <c r="D53" i="5"/>
  <c r="C53" i="5"/>
  <c r="D52" i="5"/>
  <c r="C52" i="5"/>
  <c r="B52" i="5"/>
  <c r="D51" i="5"/>
  <c r="C51" i="5"/>
  <c r="B51" i="5"/>
  <c r="D44" i="5"/>
  <c r="C44" i="5"/>
  <c r="B44" i="5"/>
  <c r="D43" i="5"/>
  <c r="C43" i="5"/>
  <c r="B43" i="5"/>
  <c r="D42" i="5"/>
  <c r="C42" i="5"/>
  <c r="B42" i="5"/>
  <c r="D41" i="5"/>
  <c r="C41" i="5"/>
  <c r="B41" i="5"/>
</calcChain>
</file>

<file path=xl/sharedStrings.xml><?xml version="1.0" encoding="utf-8"?>
<sst xmlns="http://schemas.openxmlformats.org/spreadsheetml/2006/main" count="30" uniqueCount="10">
  <si>
    <t>IN</t>
  </si>
  <si>
    <t>OUT</t>
  </si>
  <si>
    <t>PreMin</t>
  </si>
  <si>
    <t>Max</t>
  </si>
  <si>
    <t>PostMin</t>
  </si>
  <si>
    <t>NoStim-IN</t>
  </si>
  <si>
    <t>NoStim-OUT</t>
  </si>
  <si>
    <t>Mean</t>
  </si>
  <si>
    <t>SEM</t>
  </si>
  <si>
    <t>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</si>
</sst>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FRO!$B$46:$B$49</c:f>
                <c:numCache>
                  <c:formatCode>General</c:formatCode>
                  <c:ptCount val="4"/>
                  <c:pt idx="0">
                    <c:v>5.4302843144889059E-4</c:v>
                  </c:pt>
                  <c:pt idx="1">
                    <c:v>5.1768910099681833E-4</c:v>
                  </c:pt>
                  <c:pt idx="2">
                    <c:v>5.4777053894252781E-4</c:v>
                  </c:pt>
                  <c:pt idx="3">
                    <c:v>5.1306213475144091E-4</c:v>
                  </c:pt>
                </c:numCache>
              </c:numRef>
            </c:plus>
            <c:minus>
              <c:numRef>
                <c:f>FRO!$B$46:$B$49</c:f>
                <c:numCache>
                  <c:formatCode>General</c:formatCode>
                  <c:ptCount val="4"/>
                  <c:pt idx="0">
                    <c:v>5.4302843144889059E-4</c:v>
                  </c:pt>
                  <c:pt idx="1">
                    <c:v>5.1768910099681833E-4</c:v>
                  </c:pt>
                  <c:pt idx="2">
                    <c:v>5.4777053894252781E-4</c:v>
                  </c:pt>
                  <c:pt idx="3">
                    <c:v>5.1306213475144091E-4</c:v>
                  </c:pt>
                </c:numCache>
              </c:numRef>
            </c:minus>
          </c:errBars>
          <c:val>
            <c:numRef>
              <c:f>FRO!$B$41:$B$44</c:f>
              <c:numCache>
                <c:formatCode>General</c:formatCode>
                <c:ptCount val="4"/>
                <c:pt idx="0">
                  <c:v>3.9387668482656242E-3</c:v>
                </c:pt>
                <c:pt idx="1">
                  <c:v>3.277379866429851E-3</c:v>
                </c:pt>
                <c:pt idx="2">
                  <c:v>3.5391191875724349E-3</c:v>
                </c:pt>
                <c:pt idx="3">
                  <c:v>3.511762982895929E-3</c:v>
                </c:pt>
              </c:numCache>
            </c:numRef>
          </c:val>
        </c:ser>
        <c:ser>
          <c:idx val="1"/>
          <c:order val="1"/>
          <c:invertIfNegative val="0"/>
          <c:errBars>
            <c:errBarType val="both"/>
            <c:errValType val="cust"/>
            <c:noEndCap val="0"/>
            <c:plus>
              <c:numRef>
                <c:f>FRO!$C$46:$C$49</c:f>
                <c:numCache>
                  <c:formatCode>General</c:formatCode>
                  <c:ptCount val="4"/>
                  <c:pt idx="0">
                    <c:v>3.387489280927571E-4</c:v>
                  </c:pt>
                  <c:pt idx="1">
                    <c:v>5.3183316479549724E-4</c:v>
                  </c:pt>
                  <c:pt idx="2">
                    <c:v>5.5661966645671995E-4</c:v>
                  </c:pt>
                  <c:pt idx="3">
                    <c:v>6.4331132743024593E-4</c:v>
                  </c:pt>
                </c:numCache>
              </c:numRef>
            </c:plus>
            <c:minus>
              <c:numRef>
                <c:f>FRO!$C$46:$C$49</c:f>
                <c:numCache>
                  <c:formatCode>General</c:formatCode>
                  <c:ptCount val="4"/>
                  <c:pt idx="0">
                    <c:v>3.387489280927571E-4</c:v>
                  </c:pt>
                  <c:pt idx="1">
                    <c:v>5.3183316479549724E-4</c:v>
                  </c:pt>
                  <c:pt idx="2">
                    <c:v>5.5661966645671995E-4</c:v>
                  </c:pt>
                  <c:pt idx="3">
                    <c:v>6.4331132743024593E-4</c:v>
                  </c:pt>
                </c:numCache>
              </c:numRef>
            </c:minus>
          </c:errBars>
          <c:val>
            <c:numRef>
              <c:f>FRO!$C$41:$C$44</c:f>
              <c:numCache>
                <c:formatCode>General</c:formatCode>
                <c:ptCount val="4"/>
                <c:pt idx="0">
                  <c:v>3.1323764369268286E-3</c:v>
                </c:pt>
                <c:pt idx="1">
                  <c:v>3.1793887922532214E-3</c:v>
                </c:pt>
                <c:pt idx="2">
                  <c:v>4.0065434937147258E-3</c:v>
                </c:pt>
                <c:pt idx="3">
                  <c:v>4.1473088257759118E-3</c:v>
                </c:pt>
              </c:numCache>
            </c:numRef>
          </c:val>
        </c:ser>
        <c:ser>
          <c:idx val="2"/>
          <c:order val="2"/>
          <c:invertIfNegative val="0"/>
          <c:errBars>
            <c:errBarType val="both"/>
            <c:errValType val="cust"/>
            <c:noEndCap val="0"/>
            <c:plus>
              <c:numRef>
                <c:f>FRO!$D$46:$D$49</c:f>
                <c:numCache>
                  <c:formatCode>General</c:formatCode>
                  <c:ptCount val="4"/>
                  <c:pt idx="0">
                    <c:v>4.0604769172718165E-4</c:v>
                  </c:pt>
                  <c:pt idx="1">
                    <c:v>6.0551149558681603E-4</c:v>
                  </c:pt>
                  <c:pt idx="2">
                    <c:v>5.256166847527775E-4</c:v>
                  </c:pt>
                  <c:pt idx="3">
                    <c:v>8.6515561031961163E-4</c:v>
                  </c:pt>
                </c:numCache>
              </c:numRef>
            </c:plus>
            <c:minus>
              <c:numRef>
                <c:f>FRO!$D$46:$D$49</c:f>
                <c:numCache>
                  <c:formatCode>General</c:formatCode>
                  <c:ptCount val="4"/>
                  <c:pt idx="0">
                    <c:v>4.0604769172718165E-4</c:v>
                  </c:pt>
                  <c:pt idx="1">
                    <c:v>6.0551149558681603E-4</c:v>
                  </c:pt>
                  <c:pt idx="2">
                    <c:v>5.256166847527775E-4</c:v>
                  </c:pt>
                  <c:pt idx="3">
                    <c:v>8.6515561031961163E-4</c:v>
                  </c:pt>
                </c:numCache>
              </c:numRef>
            </c:minus>
          </c:errBars>
          <c:val>
            <c:numRef>
              <c:f>FRO!$D$41:$D$44</c:f>
              <c:numCache>
                <c:formatCode>General</c:formatCode>
                <c:ptCount val="4"/>
                <c:pt idx="0">
                  <c:v>4.0366749114760375E-3</c:v>
                </c:pt>
                <c:pt idx="1">
                  <c:v>3.6269751940252613E-3</c:v>
                </c:pt>
                <c:pt idx="2">
                  <c:v>4.0293108323335297E-3</c:v>
                </c:pt>
                <c:pt idx="3">
                  <c:v>3.9361543057845451E-3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84064"/>
        <c:axId val="54585600"/>
      </c:barChart>
      <c:catAx>
        <c:axId val="545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585600"/>
        <c:crosses val="autoZero"/>
        <c:auto val="1"/>
        <c:lblAlgn val="ctr"/>
        <c:lblOffset val="100"/>
        <c:noMultiLvlLbl val="0"/>
      </c:catAx>
      <c:valAx>
        <c:axId val="54585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4584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PAR!$B$46:$B$49</c:f>
                <c:numCache>
                  <c:formatCode>General</c:formatCode>
                  <c:ptCount val="4"/>
                  <c:pt idx="0">
                    <c:v>8.7605187159375245E-4</c:v>
                  </c:pt>
                  <c:pt idx="1">
                    <c:v>7.5533276317193878E-4</c:v>
                  </c:pt>
                  <c:pt idx="2">
                    <c:v>6.9634638058081386E-4</c:v>
                  </c:pt>
                  <c:pt idx="3">
                    <c:v>4.6064433919971358E-4</c:v>
                  </c:pt>
                </c:numCache>
              </c:numRef>
            </c:plus>
            <c:minus>
              <c:numRef>
                <c:f>PAR!$B$46:$B$49</c:f>
                <c:numCache>
                  <c:formatCode>General</c:formatCode>
                  <c:ptCount val="4"/>
                  <c:pt idx="0">
                    <c:v>8.7605187159375245E-4</c:v>
                  </c:pt>
                  <c:pt idx="1">
                    <c:v>7.5533276317193878E-4</c:v>
                  </c:pt>
                  <c:pt idx="2">
                    <c:v>6.9634638058081386E-4</c:v>
                  </c:pt>
                  <c:pt idx="3">
                    <c:v>4.6064433919971358E-4</c:v>
                  </c:pt>
                </c:numCache>
              </c:numRef>
            </c:minus>
          </c:errBars>
          <c:val>
            <c:numRef>
              <c:f>PAR!$B$41:$B$44</c:f>
              <c:numCache>
                <c:formatCode>General</c:formatCode>
                <c:ptCount val="4"/>
                <c:pt idx="0">
                  <c:v>4.6359630674623975E-3</c:v>
                </c:pt>
                <c:pt idx="1">
                  <c:v>4.3931748525313074E-3</c:v>
                </c:pt>
                <c:pt idx="2">
                  <c:v>4.6459302488674834E-3</c:v>
                </c:pt>
                <c:pt idx="3">
                  <c:v>4.9025027674638837E-3</c:v>
                </c:pt>
              </c:numCache>
            </c:numRef>
          </c:val>
        </c:ser>
        <c:ser>
          <c:idx val="1"/>
          <c:order val="1"/>
          <c:invertIfNegative val="0"/>
          <c:errBars>
            <c:errBarType val="both"/>
            <c:errValType val="cust"/>
            <c:noEndCap val="0"/>
            <c:plus>
              <c:numRef>
                <c:f>PAR!$C$46:$C$49</c:f>
                <c:numCache>
                  <c:formatCode>General</c:formatCode>
                  <c:ptCount val="4"/>
                  <c:pt idx="0">
                    <c:v>1.3082813806511548E-3</c:v>
                  </c:pt>
                  <c:pt idx="1">
                    <c:v>1.1148441341488429E-3</c:v>
                  </c:pt>
                  <c:pt idx="2">
                    <c:v>1.5447988761592805E-3</c:v>
                  </c:pt>
                  <c:pt idx="3">
                    <c:v>1.4859178021146746E-3</c:v>
                  </c:pt>
                </c:numCache>
              </c:numRef>
            </c:plus>
            <c:minus>
              <c:numRef>
                <c:f>PAR!$C$46:$C$49</c:f>
                <c:numCache>
                  <c:formatCode>General</c:formatCode>
                  <c:ptCount val="4"/>
                  <c:pt idx="0">
                    <c:v>1.3082813806511548E-3</c:v>
                  </c:pt>
                  <c:pt idx="1">
                    <c:v>1.1148441341488429E-3</c:v>
                  </c:pt>
                  <c:pt idx="2">
                    <c:v>1.5447988761592805E-3</c:v>
                  </c:pt>
                  <c:pt idx="3">
                    <c:v>1.4859178021146746E-3</c:v>
                  </c:pt>
                </c:numCache>
              </c:numRef>
            </c:minus>
          </c:errBars>
          <c:val>
            <c:numRef>
              <c:f>PAR!$C$41:$C$44</c:f>
              <c:numCache>
                <c:formatCode>General</c:formatCode>
                <c:ptCount val="4"/>
                <c:pt idx="0">
                  <c:v>8.9848745153054306E-3</c:v>
                </c:pt>
                <c:pt idx="1">
                  <c:v>1.0669857864593109E-2</c:v>
                </c:pt>
                <c:pt idx="2">
                  <c:v>1.0788280006808986E-2</c:v>
                </c:pt>
                <c:pt idx="3">
                  <c:v>1.146118684940218E-2</c:v>
                </c:pt>
              </c:numCache>
            </c:numRef>
          </c:val>
        </c:ser>
        <c:ser>
          <c:idx val="2"/>
          <c:order val="2"/>
          <c:invertIfNegative val="0"/>
          <c:errBars>
            <c:errBarType val="both"/>
            <c:errValType val="cust"/>
            <c:noEndCap val="0"/>
            <c:plus>
              <c:numRef>
                <c:f>PAR!$D$46:$D$49</c:f>
                <c:numCache>
                  <c:formatCode>General</c:formatCode>
                  <c:ptCount val="4"/>
                  <c:pt idx="0">
                    <c:v>9.4025744206439334E-4</c:v>
                  </c:pt>
                  <c:pt idx="1">
                    <c:v>1.0358176051144599E-3</c:v>
                  </c:pt>
                  <c:pt idx="2">
                    <c:v>5.2376056905193216E-4</c:v>
                  </c:pt>
                  <c:pt idx="3">
                    <c:v>6.0248497789034251E-4</c:v>
                  </c:pt>
                </c:numCache>
              </c:numRef>
            </c:plus>
            <c:minus>
              <c:numRef>
                <c:f>PAR!$D$46:$D$49</c:f>
                <c:numCache>
                  <c:formatCode>General</c:formatCode>
                  <c:ptCount val="4"/>
                  <c:pt idx="0">
                    <c:v>9.4025744206439334E-4</c:v>
                  </c:pt>
                  <c:pt idx="1">
                    <c:v>1.0358176051144599E-3</c:v>
                  </c:pt>
                  <c:pt idx="2">
                    <c:v>5.2376056905193216E-4</c:v>
                  </c:pt>
                  <c:pt idx="3">
                    <c:v>6.0248497789034251E-4</c:v>
                  </c:pt>
                </c:numCache>
              </c:numRef>
            </c:minus>
          </c:errBars>
          <c:val>
            <c:numRef>
              <c:f>FRO!$D$41:$D$44</c:f>
              <c:numCache>
                <c:formatCode>General</c:formatCode>
                <c:ptCount val="4"/>
                <c:pt idx="0">
                  <c:v>4.0366749114760375E-3</c:v>
                </c:pt>
                <c:pt idx="1">
                  <c:v>3.6269751940252613E-3</c:v>
                </c:pt>
                <c:pt idx="2">
                  <c:v>4.0293108323335297E-3</c:v>
                </c:pt>
                <c:pt idx="3">
                  <c:v>3.9361543057845451E-3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69760"/>
        <c:axId val="54256384"/>
      </c:barChart>
      <c:catAx>
        <c:axId val="4926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256384"/>
        <c:crosses val="autoZero"/>
        <c:auto val="1"/>
        <c:lblAlgn val="ctr"/>
        <c:lblOffset val="100"/>
        <c:noMultiLvlLbl val="0"/>
      </c:catAx>
      <c:valAx>
        <c:axId val="54256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9269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'CA1'!$B$46:$B$49</c:f>
                <c:numCache>
                  <c:formatCode>General</c:formatCode>
                  <c:ptCount val="4"/>
                  <c:pt idx="0">
                    <c:v>5.8828523490631339E-4</c:v>
                  </c:pt>
                  <c:pt idx="1">
                    <c:v>5.2964340594140191E-4</c:v>
                  </c:pt>
                  <c:pt idx="2">
                    <c:v>9.8357695696462441E-4</c:v>
                  </c:pt>
                  <c:pt idx="3">
                    <c:v>1.0296846293463796E-3</c:v>
                  </c:pt>
                </c:numCache>
              </c:numRef>
            </c:plus>
            <c:minus>
              <c:numRef>
                <c:f>'CA1'!$B$46:$B$49</c:f>
                <c:numCache>
                  <c:formatCode>General</c:formatCode>
                  <c:ptCount val="4"/>
                  <c:pt idx="0">
                    <c:v>5.8828523490631339E-4</c:v>
                  </c:pt>
                  <c:pt idx="1">
                    <c:v>5.2964340594140191E-4</c:v>
                  </c:pt>
                  <c:pt idx="2">
                    <c:v>9.8357695696462441E-4</c:v>
                  </c:pt>
                  <c:pt idx="3">
                    <c:v>1.0296846293463796E-3</c:v>
                  </c:pt>
                </c:numCache>
              </c:numRef>
            </c:minus>
          </c:errBars>
          <c:val>
            <c:numRef>
              <c:f>'CA1'!$B$41:$B$44</c:f>
              <c:numCache>
                <c:formatCode>General</c:formatCode>
                <c:ptCount val="4"/>
                <c:pt idx="0">
                  <c:v>2.3130617992579588E-3</c:v>
                </c:pt>
                <c:pt idx="1">
                  <c:v>2.2414832577372025E-3</c:v>
                </c:pt>
                <c:pt idx="2">
                  <c:v>3.3361789259885024E-3</c:v>
                </c:pt>
                <c:pt idx="3">
                  <c:v>3.3295591281041789E-3</c:v>
                </c:pt>
              </c:numCache>
            </c:numRef>
          </c:val>
        </c:ser>
        <c:ser>
          <c:idx val="1"/>
          <c:order val="1"/>
          <c:invertIfNegative val="0"/>
          <c:errBars>
            <c:errBarType val="both"/>
            <c:errValType val="cust"/>
            <c:noEndCap val="0"/>
            <c:plus>
              <c:numRef>
                <c:f>'CA1'!$C$46:$C$49</c:f>
                <c:numCache>
                  <c:formatCode>General</c:formatCode>
                  <c:ptCount val="4"/>
                  <c:pt idx="0">
                    <c:v>1.5434880741042874E-3</c:v>
                  </c:pt>
                  <c:pt idx="1">
                    <c:v>1.5090525266896883E-3</c:v>
                  </c:pt>
                  <c:pt idx="2">
                    <c:v>4.1541625521213247E-3</c:v>
                  </c:pt>
                  <c:pt idx="3">
                    <c:v>3.3504346139113981E-3</c:v>
                  </c:pt>
                </c:numCache>
              </c:numRef>
            </c:plus>
            <c:minus>
              <c:numRef>
                <c:f>'CA1'!$C$46:$C$49</c:f>
                <c:numCache>
                  <c:formatCode>General</c:formatCode>
                  <c:ptCount val="4"/>
                  <c:pt idx="0">
                    <c:v>1.5434880741042874E-3</c:v>
                  </c:pt>
                  <c:pt idx="1">
                    <c:v>1.5090525266896883E-3</c:v>
                  </c:pt>
                  <c:pt idx="2">
                    <c:v>4.1541625521213247E-3</c:v>
                  </c:pt>
                  <c:pt idx="3">
                    <c:v>3.3504346139113981E-3</c:v>
                  </c:pt>
                </c:numCache>
              </c:numRef>
            </c:minus>
          </c:errBars>
          <c:val>
            <c:numRef>
              <c:f>PAR!$C$41:$C$44</c:f>
              <c:numCache>
                <c:formatCode>General</c:formatCode>
                <c:ptCount val="4"/>
                <c:pt idx="0">
                  <c:v>8.9848745153054306E-3</c:v>
                </c:pt>
                <c:pt idx="1">
                  <c:v>1.0669857864593109E-2</c:v>
                </c:pt>
                <c:pt idx="2">
                  <c:v>1.0788280006808986E-2</c:v>
                </c:pt>
                <c:pt idx="3">
                  <c:v>1.146118684940218E-2</c:v>
                </c:pt>
              </c:numCache>
            </c:numRef>
          </c:val>
        </c:ser>
        <c:ser>
          <c:idx val="2"/>
          <c:order val="2"/>
          <c:invertIfNegative val="0"/>
          <c:errBars>
            <c:errBarType val="both"/>
            <c:errValType val="cust"/>
            <c:noEndCap val="0"/>
            <c:plus>
              <c:numRef>
                <c:f>'CA1'!$D$46:$D$49</c:f>
                <c:numCache>
                  <c:formatCode>General</c:formatCode>
                  <c:ptCount val="4"/>
                  <c:pt idx="0">
                    <c:v>4.7690403908750965E-4</c:v>
                  </c:pt>
                  <c:pt idx="1">
                    <c:v>5.2547972142248764E-4</c:v>
                  </c:pt>
                  <c:pt idx="2">
                    <c:v>7.6940391587878405E-4</c:v>
                  </c:pt>
                  <c:pt idx="3">
                    <c:v>8.0588670576066791E-4</c:v>
                  </c:pt>
                </c:numCache>
              </c:numRef>
            </c:plus>
            <c:minus>
              <c:numRef>
                <c:f>'CA1'!$D$46:$D$49</c:f>
                <c:numCache>
                  <c:formatCode>General</c:formatCode>
                  <c:ptCount val="4"/>
                  <c:pt idx="0">
                    <c:v>4.7690403908750965E-4</c:v>
                  </c:pt>
                  <c:pt idx="1">
                    <c:v>5.2547972142248764E-4</c:v>
                  </c:pt>
                  <c:pt idx="2">
                    <c:v>7.6940391587878405E-4</c:v>
                  </c:pt>
                  <c:pt idx="3">
                    <c:v>8.0588670576066791E-4</c:v>
                  </c:pt>
                </c:numCache>
              </c:numRef>
            </c:minus>
          </c:errBars>
          <c:val>
            <c:numRef>
              <c:f>'CA1'!$D$41:$D$44</c:f>
              <c:numCache>
                <c:formatCode>General</c:formatCode>
                <c:ptCount val="4"/>
                <c:pt idx="0">
                  <c:v>2.8932937546409273E-3</c:v>
                </c:pt>
                <c:pt idx="1">
                  <c:v>2.7253451240454004E-3</c:v>
                </c:pt>
                <c:pt idx="2">
                  <c:v>3.3753031513171308E-3</c:v>
                </c:pt>
                <c:pt idx="3">
                  <c:v>3.4505902356371382E-3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429568"/>
        <c:axId val="54431104"/>
      </c:barChart>
      <c:catAx>
        <c:axId val="544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431104"/>
        <c:crosses val="autoZero"/>
        <c:auto val="1"/>
        <c:lblAlgn val="ctr"/>
        <c:lblOffset val="100"/>
        <c:noMultiLvlLbl val="0"/>
      </c:catAx>
      <c:valAx>
        <c:axId val="54431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44295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6</xdr:row>
      <xdr:rowOff>142875</xdr:rowOff>
    </xdr:from>
    <xdr:to>
      <xdr:col>8</xdr:col>
      <xdr:colOff>123825</xdr:colOff>
      <xdr:row>14</xdr:row>
      <xdr:rowOff>76200</xdr:rowOff>
    </xdr:to>
    <xdr:sp macro="" textlink="">
      <xdr:nvSpPr>
        <xdr:cNvPr id="4" name="TextBox 3"/>
        <xdr:cNvSpPr txBox="1"/>
      </xdr:nvSpPr>
      <xdr:spPr>
        <a:xfrm>
          <a:off x="1495425" y="1285875"/>
          <a:ext cx="3886200" cy="145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Data</a:t>
          </a:r>
          <a:r>
            <a:rPr lang="en-GB" sz="1100" b="1" baseline="0"/>
            <a:t> needs to be multiplied by 100 to get percentage!!</a:t>
          </a:r>
          <a:endParaRPr lang="en-GB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"/>
  <sheetViews>
    <sheetView tabSelected="1" workbookViewId="0">
      <selection activeCell="I35" sqref="I35"/>
    </sheetView>
  </sheetViews>
  <sheetFormatPr defaultRowHeight="15" x14ac:dyDescent="0.25"/>
  <cols>
    <col min="2" max="2" width="12" bestFit="1" customWidth="1"/>
    <col min="4" max="4" width="12" bestFit="1" customWidth="1"/>
  </cols>
  <sheetData>
    <row r="2" spans="1:4" x14ac:dyDescent="0.25">
      <c r="B2" t="s">
        <v>2</v>
      </c>
      <c r="C2" t="s">
        <v>3</v>
      </c>
      <c r="D2" t="s">
        <v>4</v>
      </c>
    </row>
    <row r="3" spans="1:4" x14ac:dyDescent="0.25">
      <c r="A3" s="1" t="s">
        <v>0</v>
      </c>
      <c r="B3">
        <v>5.8027079303675103E-3</v>
      </c>
      <c r="C3">
        <v>4.5132172791747301E-3</v>
      </c>
      <c r="D3">
        <v>5.1579626047711198E-3</v>
      </c>
    </row>
    <row r="4" spans="1:4" x14ac:dyDescent="0.25">
      <c r="A4" s="1"/>
      <c r="B4">
        <v>5.78549176680018E-3</v>
      </c>
      <c r="C4">
        <v>2.2251891410769902E-3</v>
      </c>
      <c r="D4">
        <v>5.3404539385847804E-3</v>
      </c>
    </row>
    <row r="5" spans="1:4" x14ac:dyDescent="0.25">
      <c r="A5" s="1"/>
      <c r="B5">
        <v>2.5817555938037898E-3</v>
      </c>
      <c r="C5">
        <v>3.2989099254159501E-3</v>
      </c>
      <c r="D5">
        <v>3.1554790590935201E-3</v>
      </c>
    </row>
    <row r="6" spans="1:4" x14ac:dyDescent="0.25">
      <c r="A6" s="1"/>
      <c r="B6">
        <v>5.5692055692055696E-3</v>
      </c>
      <c r="C6">
        <v>2.29320229320229E-3</v>
      </c>
      <c r="D6">
        <v>5.24160524160524E-3</v>
      </c>
    </row>
    <row r="7" spans="1:4" x14ac:dyDescent="0.25">
      <c r="A7" s="1"/>
      <c r="B7">
        <v>2.5082508250825102E-3</v>
      </c>
      <c r="C7">
        <v>3.1683168316831698E-3</v>
      </c>
      <c r="D7">
        <v>2.24422442244224E-3</v>
      </c>
    </row>
    <row r="8" spans="1:4" x14ac:dyDescent="0.25">
      <c r="A8" s="1"/>
      <c r="B8">
        <v>2.7192386131883101E-3</v>
      </c>
      <c r="C8">
        <v>2.0394289598912301E-3</v>
      </c>
      <c r="D8">
        <v>3.3990482664853802E-3</v>
      </c>
    </row>
    <row r="9" spans="1:4" x14ac:dyDescent="0.25">
      <c r="A9" s="1"/>
      <c r="B9">
        <v>3.86559619387452E-3</v>
      </c>
      <c r="C9">
        <v>4.4603033006244399E-3</v>
      </c>
      <c r="D9">
        <v>4.3116265239369596E-3</v>
      </c>
    </row>
    <row r="10" spans="1:4" x14ac:dyDescent="0.25">
      <c r="A10" s="1"/>
      <c r="B10">
        <v>2.6778882938026001E-3</v>
      </c>
      <c r="C10">
        <v>3.06044376434583E-3</v>
      </c>
      <c r="D10">
        <v>3.44299923488906E-3</v>
      </c>
    </row>
    <row r="12" spans="1:4" x14ac:dyDescent="0.25">
      <c r="A12" s="1" t="s">
        <v>1</v>
      </c>
      <c r="B12">
        <v>1.8744142455482699E-3</v>
      </c>
      <c r="C12">
        <v>9.37207122774133E-4</v>
      </c>
      <c r="D12">
        <v>2.49921899406436E-3</v>
      </c>
    </row>
    <row r="13" spans="1:4" x14ac:dyDescent="0.25">
      <c r="A13" s="1"/>
      <c r="B13">
        <v>4.1493775933610002E-3</v>
      </c>
      <c r="C13">
        <v>3.2272936837252201E-3</v>
      </c>
      <c r="D13">
        <v>3.2272936837252201E-3</v>
      </c>
    </row>
    <row r="14" spans="1:4" x14ac:dyDescent="0.25">
      <c r="A14" s="1"/>
      <c r="B14">
        <v>1.8503832936822601E-3</v>
      </c>
      <c r="C14">
        <v>2.3790642347343398E-3</v>
      </c>
      <c r="D14">
        <v>2.3790642347343398E-3</v>
      </c>
    </row>
    <row r="15" spans="1:4" x14ac:dyDescent="0.25">
      <c r="A15" s="1"/>
      <c r="B15">
        <v>2.03364762432982E-3</v>
      </c>
      <c r="C15">
        <v>2.77315585135885E-3</v>
      </c>
      <c r="D15">
        <v>2.77315585135885E-3</v>
      </c>
    </row>
    <row r="16" spans="1:4" x14ac:dyDescent="0.25">
      <c r="A16" s="1"/>
      <c r="B16">
        <v>5.8974358974359002E-3</v>
      </c>
      <c r="C16">
        <v>5.1282051282051299E-3</v>
      </c>
      <c r="D16">
        <v>7.6923076923076901E-3</v>
      </c>
    </row>
    <row r="17" spans="1:4" x14ac:dyDescent="0.25">
      <c r="A17" s="1"/>
      <c r="B17">
        <v>3.8064165307232201E-3</v>
      </c>
      <c r="C17">
        <v>2.7188689505165901E-3</v>
      </c>
      <c r="D17">
        <v>3.8064165307232201E-3</v>
      </c>
    </row>
    <row r="18" spans="1:4" x14ac:dyDescent="0.25">
      <c r="A18" s="1"/>
      <c r="B18">
        <v>4.1841004184100397E-3</v>
      </c>
      <c r="C18">
        <v>5.5788005578800599E-3</v>
      </c>
      <c r="D18">
        <v>3.13807531380753E-3</v>
      </c>
    </row>
    <row r="19" spans="1:4" x14ac:dyDescent="0.25">
      <c r="A19" s="1"/>
      <c r="B19">
        <v>2.4232633279483002E-3</v>
      </c>
      <c r="C19">
        <v>2.6925148088314502E-3</v>
      </c>
      <c r="D19">
        <v>3.5002692514808798E-3</v>
      </c>
    </row>
    <row r="21" spans="1:4" x14ac:dyDescent="0.25">
      <c r="A21" s="1" t="s">
        <v>5</v>
      </c>
      <c r="B21">
        <v>3.19710870169586E-3</v>
      </c>
      <c r="C21">
        <v>6.1162079510703399E-3</v>
      </c>
      <c r="D21">
        <v>3.6141228801779301E-3</v>
      </c>
    </row>
    <row r="22" spans="1:4" x14ac:dyDescent="0.25">
      <c r="A22" s="1"/>
      <c r="B22">
        <v>2.8605081608615202E-3</v>
      </c>
      <c r="C22">
        <v>5.2162207639239403E-3</v>
      </c>
      <c r="D22">
        <v>4.3748948342587904E-3</v>
      </c>
    </row>
    <row r="23" spans="1:4" x14ac:dyDescent="0.25">
      <c r="A23" s="1"/>
      <c r="B23">
        <v>2.7723418134376998E-3</v>
      </c>
      <c r="C23">
        <v>6.1969993476842797E-3</v>
      </c>
      <c r="D23">
        <v>3.4246575342465799E-3</v>
      </c>
    </row>
    <row r="24" spans="1:4" x14ac:dyDescent="0.25">
      <c r="A24" s="1"/>
      <c r="B24">
        <v>3.7827205326070499E-3</v>
      </c>
      <c r="C24">
        <v>3.4801028899984899E-3</v>
      </c>
      <c r="D24">
        <v>3.6314117113027699E-3</v>
      </c>
    </row>
    <row r="25" spans="1:4" x14ac:dyDescent="0.25">
      <c r="A25" s="1"/>
      <c r="B25">
        <v>3.5273368606701899E-3</v>
      </c>
      <c r="C25">
        <v>2.0843354176687499E-3</v>
      </c>
      <c r="D25">
        <v>3.3670033670033699E-3</v>
      </c>
    </row>
    <row r="26" spans="1:4" x14ac:dyDescent="0.25">
      <c r="A26" s="1"/>
      <c r="B26">
        <v>3.8131553860819801E-3</v>
      </c>
      <c r="C26">
        <v>1.9065776930409901E-3</v>
      </c>
      <c r="D26">
        <v>3.49539243724182E-3</v>
      </c>
    </row>
    <row r="27" spans="1:4" x14ac:dyDescent="0.25">
      <c r="A27" s="1"/>
      <c r="B27">
        <v>1.5723270440251599E-3</v>
      </c>
      <c r="C27">
        <v>4.7169811320754698E-3</v>
      </c>
      <c r="D27">
        <v>3.1446540880503099E-3</v>
      </c>
    </row>
    <row r="28" spans="1:4" x14ac:dyDescent="0.25">
      <c r="A28" s="1"/>
      <c r="B28">
        <v>2.80112044817927E-3</v>
      </c>
      <c r="C28">
        <v>3.98053958425476E-3</v>
      </c>
      <c r="D28">
        <v>3.09597523219814E-3</v>
      </c>
    </row>
    <row r="29" spans="1:4" x14ac:dyDescent="0.25">
      <c r="A29" s="1"/>
      <c r="B29">
        <v>7.5254537405931802E-3</v>
      </c>
      <c r="C29">
        <v>2.3609266637155098E-3</v>
      </c>
      <c r="D29">
        <v>8.11568540652206E-3</v>
      </c>
    </row>
    <row r="31" spans="1:4" x14ac:dyDescent="0.25">
      <c r="A31" s="1" t="s">
        <v>6</v>
      </c>
      <c r="B31">
        <v>3.2132589210214801E-3</v>
      </c>
      <c r="C31">
        <v>4.5662100456621002E-3</v>
      </c>
      <c r="D31">
        <v>4.9044478268222601E-3</v>
      </c>
    </row>
    <row r="32" spans="1:4" x14ac:dyDescent="0.25">
      <c r="A32" s="1"/>
      <c r="B32">
        <v>2.9054410987850001E-3</v>
      </c>
      <c r="C32">
        <v>4.2260961436872699E-3</v>
      </c>
      <c r="D32">
        <v>5.2826201796090898E-3</v>
      </c>
    </row>
    <row r="33" spans="1:4" x14ac:dyDescent="0.25">
      <c r="A33" s="1"/>
      <c r="B33">
        <v>3.3291718684977101E-3</v>
      </c>
      <c r="C33">
        <v>6.0341240116521004E-3</v>
      </c>
      <c r="D33">
        <v>3.1210986267166002E-3</v>
      </c>
    </row>
    <row r="34" spans="1:4" x14ac:dyDescent="0.25">
      <c r="A34" s="1"/>
      <c r="B34">
        <v>3.26797385620915E-3</v>
      </c>
      <c r="C34">
        <v>4.2291426374471402E-3</v>
      </c>
      <c r="D34">
        <v>3.8446751249519399E-3</v>
      </c>
    </row>
    <row r="35" spans="1:4" x14ac:dyDescent="0.25">
      <c r="A35" s="1"/>
      <c r="B35">
        <v>3.5310734463276801E-3</v>
      </c>
      <c r="C35">
        <v>2.1186440677966102E-3</v>
      </c>
      <c r="D35">
        <v>3.5310734463276801E-3</v>
      </c>
    </row>
    <row r="36" spans="1:4" x14ac:dyDescent="0.25">
      <c r="A36" s="1"/>
      <c r="B36">
        <v>3.4516765285996101E-3</v>
      </c>
      <c r="C36">
        <v>4.9309664694280103E-4</v>
      </c>
      <c r="D36">
        <v>2.9585798816567999E-3</v>
      </c>
    </row>
    <row r="37" spans="1:4" x14ac:dyDescent="0.25">
      <c r="A37" s="1"/>
      <c r="B37">
        <v>1.7182130584192401E-3</v>
      </c>
      <c r="C37">
        <v>6.8728522336769802E-3</v>
      </c>
      <c r="D37">
        <v>0</v>
      </c>
    </row>
    <row r="38" spans="1:4" x14ac:dyDescent="0.25">
      <c r="A38" s="1"/>
      <c r="B38">
        <v>2.8392958546280501E-3</v>
      </c>
      <c r="C38">
        <v>5.1107325383304902E-3</v>
      </c>
      <c r="D38">
        <v>2.2714366837024401E-3</v>
      </c>
    </row>
    <row r="39" spans="1:4" x14ac:dyDescent="0.25">
      <c r="A39" s="1"/>
      <c r="B39">
        <v>7.3497622135754396E-3</v>
      </c>
      <c r="C39">
        <v>3.6748811067877198E-3</v>
      </c>
      <c r="D39">
        <v>9.5114569822741003E-3</v>
      </c>
    </row>
    <row r="41" spans="1:4" ht="15" customHeight="1" x14ac:dyDescent="0.25">
      <c r="A41" s="1" t="s">
        <v>7</v>
      </c>
      <c r="B41">
        <f>AVERAGE(B3:B10)</f>
        <v>3.9387668482656242E-3</v>
      </c>
      <c r="C41">
        <f t="shared" ref="C41:D41" si="0">AVERAGE(C3:C10)</f>
        <v>3.1323764369268286E-3</v>
      </c>
      <c r="D41">
        <f t="shared" si="0"/>
        <v>4.0366749114760375E-3</v>
      </c>
    </row>
    <row r="42" spans="1:4" x14ac:dyDescent="0.25">
      <c r="A42" s="1"/>
      <c r="B42">
        <f>AVERAGE(B12:B19)</f>
        <v>3.277379866429851E-3</v>
      </c>
      <c r="C42">
        <f t="shared" ref="C42:D42" si="1">AVERAGE(C12:C19)</f>
        <v>3.1793887922532214E-3</v>
      </c>
      <c r="D42">
        <f t="shared" si="1"/>
        <v>3.6269751940252613E-3</v>
      </c>
    </row>
    <row r="43" spans="1:4" x14ac:dyDescent="0.25">
      <c r="A43" s="1"/>
      <c r="B43">
        <f>AVERAGE(B21:B29)</f>
        <v>3.5391191875724349E-3</v>
      </c>
      <c r="C43">
        <f t="shared" ref="C43:D43" si="2">AVERAGE(C21:C29)</f>
        <v>4.0065434937147258E-3</v>
      </c>
      <c r="D43">
        <f t="shared" si="2"/>
        <v>4.0293108323335297E-3</v>
      </c>
    </row>
    <row r="44" spans="1:4" x14ac:dyDescent="0.25">
      <c r="A44" s="1"/>
      <c r="B44">
        <f>AVERAGE(B31:B39)</f>
        <v>3.511762982895929E-3</v>
      </c>
      <c r="C44">
        <f t="shared" ref="C44:D44" si="3">AVERAGE(C31:C39)</f>
        <v>4.1473088257759118E-3</v>
      </c>
      <c r="D44">
        <f t="shared" si="3"/>
        <v>3.9361543057845451E-3</v>
      </c>
    </row>
    <row r="46" spans="1:4" ht="15" customHeight="1" x14ac:dyDescent="0.25">
      <c r="A46" s="1" t="s">
        <v>8</v>
      </c>
      <c r="B46">
        <f>_xlfn.STDEV.S(B3:B10)/SQRT(COUNT(B3:B10))</f>
        <v>5.4302843144889059E-4</v>
      </c>
      <c r="C46">
        <f t="shared" ref="C46:D46" si="4">_xlfn.STDEV.S(C3:C10)/SQRT(COUNT(C3:C10))</f>
        <v>3.387489280927571E-4</v>
      </c>
      <c r="D46">
        <f t="shared" si="4"/>
        <v>4.0604769172718165E-4</v>
      </c>
    </row>
    <row r="47" spans="1:4" x14ac:dyDescent="0.25">
      <c r="A47" s="1"/>
      <c r="B47">
        <f>_xlfn.STDEV.S(B12:B19)/SQRT(COUNT(B12:B19))</f>
        <v>5.1768910099681833E-4</v>
      </c>
      <c r="C47">
        <f>_xlfn.STDEV.S(C12:C19)/SQRT(COUNT(C12:C19))</f>
        <v>5.3183316479549724E-4</v>
      </c>
      <c r="D47">
        <f>_xlfn.STDEV.S(D12:D19)/SQRT(COUNT(D12:D19))</f>
        <v>6.0551149558681603E-4</v>
      </c>
    </row>
    <row r="48" spans="1:4" x14ac:dyDescent="0.25">
      <c r="A48" s="1"/>
      <c r="B48">
        <f>_xlfn.STDEV.S(B21:B29)/SQRT(COUNT(B21:B29))</f>
        <v>5.4777053894252781E-4</v>
      </c>
      <c r="C48">
        <f t="shared" ref="C48:D48" si="5">_xlfn.STDEV.S(C21:C29)/SQRT(COUNT(C21:C29))</f>
        <v>5.5661966645671995E-4</v>
      </c>
      <c r="D48">
        <f t="shared" si="5"/>
        <v>5.256166847527775E-4</v>
      </c>
    </row>
    <row r="49" spans="1:4" x14ac:dyDescent="0.25">
      <c r="A49" s="1"/>
      <c r="B49">
        <f>_xlfn.STDEV.S(B31:B39)/SQRT(COUNT(B31:B39))</f>
        <v>5.1306213475144091E-4</v>
      </c>
      <c r="C49">
        <f t="shared" ref="C49:D49" si="6">_xlfn.STDEV.S(C31:C39)/SQRT(COUNT(C31:C39))</f>
        <v>6.4331132743024593E-4</v>
      </c>
      <c r="D49">
        <f t="shared" si="6"/>
        <v>8.6515561031961163E-4</v>
      </c>
    </row>
    <row r="51" spans="1:4" ht="15" customHeight="1" x14ac:dyDescent="0.25">
      <c r="A51" s="1" t="s">
        <v>9</v>
      </c>
      <c r="B51">
        <f>TTEST(B3:B10,C3:C10,2,2)</f>
        <v>0.22829008751269114</v>
      </c>
      <c r="C51">
        <f>TTEST(B3:B10,D3:D10,2,2)</f>
        <v>0.88724575290850494</v>
      </c>
      <c r="D51">
        <f>TTEST(C3:C10,D3:D10,2,2)</f>
        <v>0.10930536234299974</v>
      </c>
    </row>
    <row r="52" spans="1:4" x14ac:dyDescent="0.25">
      <c r="A52" s="1"/>
      <c r="B52">
        <f>TTEST(B12:B19,C12:C19,2,2)</f>
        <v>0.89683982011143615</v>
      </c>
      <c r="C52">
        <f>TTEST(B12:B19,D12:D19,2,2)</f>
        <v>0.66747875033427218</v>
      </c>
      <c r="D52">
        <f>TTEST(C12:C19,D12:D19,2,2)</f>
        <v>0.58740001512189077</v>
      </c>
    </row>
    <row r="53" spans="1:4" x14ac:dyDescent="0.25">
      <c r="A53" s="1"/>
      <c r="B53">
        <f>TTEST(B21:B29,C21:C29,2,2)</f>
        <v>0.55786190270529512</v>
      </c>
      <c r="C53">
        <f>TTEST(B21:B29,D21:D29,2,2)</f>
        <v>0.52762507283009685</v>
      </c>
      <c r="D53">
        <f>TTEST(C21:C29,D21:D29,2,2)</f>
        <v>0.97664297030777725</v>
      </c>
    </row>
    <row r="54" spans="1:4" x14ac:dyDescent="0.25">
      <c r="A54" s="1"/>
      <c r="B54">
        <f>TTEST(B31:B39,C31:C39,2,2)</f>
        <v>0.45115352435694667</v>
      </c>
      <c r="C54">
        <f>TTEST(B31:B39,D31:D39,2,2)</f>
        <v>0.67869462801284919</v>
      </c>
      <c r="D54">
        <f>TTEST(C31:C39,D31:D39,2,2)</f>
        <v>0.84719000054744253</v>
      </c>
    </row>
  </sheetData>
  <mergeCells count="7">
    <mergeCell ref="A41:A44"/>
    <mergeCell ref="A46:A49"/>
    <mergeCell ref="A51:A54"/>
    <mergeCell ref="A3:A10"/>
    <mergeCell ref="A12:A19"/>
    <mergeCell ref="A21:A29"/>
    <mergeCell ref="A31:A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"/>
  <sheetViews>
    <sheetView workbookViewId="0">
      <selection activeCell="L49" sqref="L49"/>
    </sheetView>
  </sheetViews>
  <sheetFormatPr defaultRowHeight="15" x14ac:dyDescent="0.25"/>
  <sheetData>
    <row r="2" spans="1:4" x14ac:dyDescent="0.25">
      <c r="B2" t="s">
        <v>2</v>
      </c>
      <c r="C2" t="s">
        <v>3</v>
      </c>
      <c r="D2" t="s">
        <v>4</v>
      </c>
    </row>
    <row r="3" spans="1:4" x14ac:dyDescent="0.25">
      <c r="A3" s="1" t="s">
        <v>0</v>
      </c>
      <c r="B3">
        <v>3.73482726423903E-3</v>
      </c>
      <c r="C3">
        <v>7.46965452847806E-3</v>
      </c>
      <c r="D3">
        <v>3.73482726423903E-3</v>
      </c>
    </row>
    <row r="4" spans="1:4" x14ac:dyDescent="0.25">
      <c r="A4" s="1"/>
      <c r="B4">
        <v>2.3310023310023301E-3</v>
      </c>
      <c r="C4">
        <v>6.9930069930069904E-3</v>
      </c>
      <c r="D4">
        <v>1.5540015540015501E-3</v>
      </c>
    </row>
    <row r="5" spans="1:4" x14ac:dyDescent="0.25">
      <c r="A5" s="1"/>
      <c r="B5">
        <v>1.9607843137254902E-3</v>
      </c>
      <c r="C5">
        <v>1.5032679738562101E-2</v>
      </c>
      <c r="D5">
        <v>3.5947712418300699E-3</v>
      </c>
    </row>
    <row r="6" spans="1:4" x14ac:dyDescent="0.25">
      <c r="A6" s="1"/>
      <c r="B6">
        <v>8.4317032040472206E-3</v>
      </c>
      <c r="C6">
        <v>5.0590219224283303E-3</v>
      </c>
      <c r="D6">
        <v>1.03991006183249E-2</v>
      </c>
    </row>
    <row r="7" spans="1:4" x14ac:dyDescent="0.25">
      <c r="A7" s="1"/>
      <c r="B7">
        <v>4.9710024855012403E-3</v>
      </c>
      <c r="C7">
        <v>9.1135045567522794E-3</v>
      </c>
      <c r="D7">
        <v>6.0756697045015202E-3</v>
      </c>
    </row>
    <row r="8" spans="1:4" x14ac:dyDescent="0.25">
      <c r="A8" s="1"/>
      <c r="B8">
        <v>2.2962112514351299E-3</v>
      </c>
      <c r="C8">
        <v>1.07156525066973E-2</v>
      </c>
      <c r="D8">
        <v>4.20972062763108E-3</v>
      </c>
    </row>
    <row r="9" spans="1:4" x14ac:dyDescent="0.25">
      <c r="A9" s="1"/>
      <c r="B9">
        <v>5.8633831720903001E-3</v>
      </c>
      <c r="C9">
        <v>1.2899442978598699E-2</v>
      </c>
      <c r="D9">
        <v>6.7428906479038396E-3</v>
      </c>
    </row>
    <row r="10" spans="1:4" x14ac:dyDescent="0.25">
      <c r="A10" s="1"/>
      <c r="B10">
        <v>7.4987905176584404E-3</v>
      </c>
      <c r="C10">
        <v>4.5960328979196899E-3</v>
      </c>
      <c r="D10">
        <v>5.8055152394775001E-3</v>
      </c>
    </row>
    <row r="12" spans="1:4" x14ac:dyDescent="0.25">
      <c r="A12" s="1" t="s">
        <v>1</v>
      </c>
      <c r="B12">
        <v>2.87081339712919E-3</v>
      </c>
      <c r="C12">
        <v>7.0175438596491203E-3</v>
      </c>
      <c r="D12">
        <v>3.5087719298245602E-3</v>
      </c>
    </row>
    <row r="13" spans="1:4" x14ac:dyDescent="0.25">
      <c r="A13" s="1"/>
      <c r="B13">
        <v>4.8496605237633404E-3</v>
      </c>
      <c r="C13">
        <v>1.1639185257032E-2</v>
      </c>
      <c r="D13">
        <v>4.8496605237633404E-3</v>
      </c>
    </row>
    <row r="14" spans="1:4" x14ac:dyDescent="0.25">
      <c r="A14" s="1"/>
      <c r="B14">
        <v>2.8860028860028899E-3</v>
      </c>
      <c r="C14">
        <v>6.8542568542568497E-3</v>
      </c>
      <c r="D14">
        <v>1.44300144300144E-3</v>
      </c>
    </row>
    <row r="15" spans="1:4" x14ac:dyDescent="0.25">
      <c r="A15" s="1"/>
      <c r="B15">
        <v>1.5396458814472701E-3</v>
      </c>
      <c r="C15">
        <v>9.75109058249936E-3</v>
      </c>
      <c r="D15">
        <v>2.8226841159866602E-3</v>
      </c>
    </row>
    <row r="16" spans="1:4" x14ac:dyDescent="0.25">
      <c r="A16" s="1"/>
      <c r="B16">
        <v>8.1442699243746402E-3</v>
      </c>
      <c r="C16">
        <v>9.5986038394415395E-3</v>
      </c>
      <c r="D16">
        <v>9.3077370564281607E-3</v>
      </c>
    </row>
    <row r="17" spans="1:4" x14ac:dyDescent="0.25">
      <c r="A17" s="1"/>
      <c r="B17">
        <v>6.5359477124183E-3</v>
      </c>
      <c r="C17">
        <v>1.0784313725490199E-2</v>
      </c>
      <c r="D17">
        <v>9.4771241830065404E-3</v>
      </c>
    </row>
    <row r="18" spans="1:4" x14ac:dyDescent="0.25">
      <c r="A18" s="1"/>
      <c r="B18">
        <v>4.5045045045045001E-3</v>
      </c>
      <c r="C18">
        <v>1.62162162162162E-2</v>
      </c>
      <c r="D18">
        <v>6.7567567567567597E-3</v>
      </c>
    </row>
    <row r="19" spans="1:4" x14ac:dyDescent="0.25">
      <c r="A19" s="1"/>
      <c r="B19">
        <v>3.8145539906103299E-3</v>
      </c>
      <c r="C19">
        <v>1.3497652582159601E-2</v>
      </c>
      <c r="D19">
        <v>4.9882629107981203E-3</v>
      </c>
    </row>
    <row r="21" spans="1:4" x14ac:dyDescent="0.25">
      <c r="A21" s="1" t="s">
        <v>5</v>
      </c>
      <c r="B21">
        <v>6.7243035542747399E-3</v>
      </c>
      <c r="C21">
        <v>2.0813320525136101E-2</v>
      </c>
      <c r="D21">
        <v>7.5248158821645903E-3</v>
      </c>
    </row>
    <row r="22" spans="1:4" x14ac:dyDescent="0.25">
      <c r="A22" s="1"/>
      <c r="B22">
        <v>1.36542072025943E-3</v>
      </c>
      <c r="C22">
        <v>1.10940433521079E-2</v>
      </c>
      <c r="D22">
        <v>3.2428742106161501E-3</v>
      </c>
    </row>
    <row r="23" spans="1:4" x14ac:dyDescent="0.25">
      <c r="A23" s="1"/>
      <c r="B23">
        <v>5.6107034958998696E-3</v>
      </c>
      <c r="C23">
        <v>1.179686376061E-2</v>
      </c>
      <c r="D23">
        <v>6.7616170335203602E-3</v>
      </c>
    </row>
    <row r="24" spans="1:4" x14ac:dyDescent="0.25">
      <c r="A24" s="1"/>
      <c r="B24">
        <v>3.8759689922480598E-3</v>
      </c>
      <c r="C24">
        <v>8.5594315245478003E-3</v>
      </c>
      <c r="D24">
        <v>3.8759689922480598E-3</v>
      </c>
    </row>
    <row r="25" spans="1:4" x14ac:dyDescent="0.25">
      <c r="A25" s="1"/>
      <c r="B25">
        <v>3.7313432835820899E-3</v>
      </c>
      <c r="C25">
        <v>8.5509950248756194E-3</v>
      </c>
      <c r="D25">
        <v>5.1305970149253697E-3</v>
      </c>
    </row>
    <row r="26" spans="1:4" x14ac:dyDescent="0.25">
      <c r="A26" s="1"/>
      <c r="B26">
        <v>2.47524752475248E-3</v>
      </c>
      <c r="C26">
        <v>9.0759075907590799E-3</v>
      </c>
      <c r="D26">
        <v>4.9504950495049497E-3</v>
      </c>
    </row>
    <row r="27" spans="1:4" x14ac:dyDescent="0.25">
      <c r="A27" s="1"/>
      <c r="B27">
        <v>8.0645161290322596E-3</v>
      </c>
      <c r="C27">
        <v>4.0322580645161298E-3</v>
      </c>
      <c r="D27">
        <v>4.0322580645161298E-3</v>
      </c>
    </row>
    <row r="28" spans="1:4" x14ac:dyDescent="0.25">
      <c r="A28" s="1"/>
      <c r="B28">
        <v>4.3327556325823196E-3</v>
      </c>
      <c r="C28">
        <v>1.38648180242634E-2</v>
      </c>
      <c r="D28">
        <v>4.6216060080878103E-3</v>
      </c>
    </row>
    <row r="29" spans="1:4" x14ac:dyDescent="0.25">
      <c r="A29" s="1"/>
      <c r="B29">
        <v>5.6331129071760999E-3</v>
      </c>
      <c r="C29">
        <v>9.3068821944648494E-3</v>
      </c>
      <c r="D29">
        <v>7.3475385745775199E-3</v>
      </c>
    </row>
    <row r="31" spans="1:4" x14ac:dyDescent="0.25">
      <c r="A31" s="1" t="s">
        <v>6</v>
      </c>
      <c r="B31">
        <v>6.17283950617284E-3</v>
      </c>
      <c r="C31">
        <v>1.9204389574759902E-2</v>
      </c>
      <c r="D31">
        <v>5.8299039780521297E-3</v>
      </c>
    </row>
    <row r="32" spans="1:4" x14ac:dyDescent="0.25">
      <c r="A32" s="1"/>
      <c r="B32">
        <v>2.5486983433460801E-3</v>
      </c>
      <c r="C32">
        <v>1.20152921900601E-2</v>
      </c>
      <c r="D32">
        <v>4.0050973966866896E-3</v>
      </c>
    </row>
    <row r="33" spans="1:4" x14ac:dyDescent="0.25">
      <c r="A33" s="1"/>
      <c r="B33">
        <v>5.6116722783389498E-3</v>
      </c>
      <c r="C33">
        <v>1.2065095398428699E-2</v>
      </c>
      <c r="D33">
        <v>7.1548821548821501E-3</v>
      </c>
    </row>
    <row r="34" spans="1:4" x14ac:dyDescent="0.25">
      <c r="A34" s="1"/>
      <c r="B34">
        <v>4.3088590141330601E-3</v>
      </c>
      <c r="C34">
        <v>1.1203033436746E-2</v>
      </c>
      <c r="D34">
        <v>4.9982764563943497E-3</v>
      </c>
    </row>
    <row r="35" spans="1:4" x14ac:dyDescent="0.25">
      <c r="A35" s="1"/>
      <c r="B35">
        <v>4.0899795501022499E-3</v>
      </c>
      <c r="C35">
        <v>7.8391274710293106E-3</v>
      </c>
      <c r="D35">
        <v>5.6237218813905898E-3</v>
      </c>
    </row>
    <row r="36" spans="1:4" x14ac:dyDescent="0.25">
      <c r="A36" s="1"/>
      <c r="B36">
        <v>4.9075122687806698E-3</v>
      </c>
      <c r="C36">
        <v>1.01925254813137E-2</v>
      </c>
      <c r="D36">
        <v>4.9075122687806698E-3</v>
      </c>
    </row>
    <row r="37" spans="1:4" x14ac:dyDescent="0.25">
      <c r="A37" s="1"/>
      <c r="B37">
        <v>6.0882800608828003E-3</v>
      </c>
      <c r="C37">
        <v>3.0441400304414001E-3</v>
      </c>
      <c r="D37">
        <v>1.5220700152207001E-3</v>
      </c>
    </row>
    <row r="38" spans="1:4" x14ac:dyDescent="0.25">
      <c r="A38" s="1"/>
      <c r="B38">
        <v>3.6117381489842002E-3</v>
      </c>
      <c r="C38">
        <v>1.47479307750188E-2</v>
      </c>
      <c r="D38">
        <v>4.8156508653122597E-3</v>
      </c>
    </row>
    <row r="39" spans="1:4" x14ac:dyDescent="0.25">
      <c r="A39" s="1"/>
      <c r="B39">
        <v>6.7829457364341102E-3</v>
      </c>
      <c r="C39">
        <v>1.28391472868217E-2</v>
      </c>
      <c r="D39">
        <v>7.7519379844961196E-3</v>
      </c>
    </row>
    <row r="41" spans="1:4" ht="15" customHeight="1" x14ac:dyDescent="0.25">
      <c r="A41" s="1" t="s">
        <v>7</v>
      </c>
      <c r="B41">
        <f>AVERAGE(B3:B10)</f>
        <v>4.6359630674623975E-3</v>
      </c>
      <c r="C41">
        <f t="shared" ref="C41:D41" si="0">AVERAGE(C3:C10)</f>
        <v>8.9848745153054306E-3</v>
      </c>
      <c r="D41">
        <f t="shared" si="0"/>
        <v>5.2645621122386849E-3</v>
      </c>
    </row>
    <row r="42" spans="1:4" x14ac:dyDescent="0.25">
      <c r="A42" s="1"/>
      <c r="B42">
        <f>AVERAGE(B12:B19)</f>
        <v>4.3931748525313074E-3</v>
      </c>
      <c r="C42">
        <f t="shared" ref="C42:D42" si="1">AVERAGE(C12:C19)</f>
        <v>1.0669857864593109E-2</v>
      </c>
      <c r="D42">
        <f t="shared" si="1"/>
        <v>5.3942498649456978E-3</v>
      </c>
    </row>
    <row r="43" spans="1:4" x14ac:dyDescent="0.25">
      <c r="A43" s="1"/>
      <c r="B43">
        <f>AVERAGE(B21:B29)</f>
        <v>4.6459302488674834E-3</v>
      </c>
      <c r="C43">
        <f t="shared" ref="C43:D43" si="2">AVERAGE(C21:C29)</f>
        <v>1.0788280006808986E-2</v>
      </c>
      <c r="D43">
        <f t="shared" si="2"/>
        <v>5.2764189811289929E-3</v>
      </c>
    </row>
    <row r="44" spans="1:4" x14ac:dyDescent="0.25">
      <c r="A44" s="1"/>
      <c r="B44">
        <f>AVERAGE(B31:B39)</f>
        <v>4.9025027674638837E-3</v>
      </c>
      <c r="C44">
        <f t="shared" ref="C44:D44" si="3">AVERAGE(C31:C39)</f>
        <v>1.146118684940218E-2</v>
      </c>
      <c r="D44">
        <f t="shared" si="3"/>
        <v>5.178783666801739E-3</v>
      </c>
    </row>
    <row r="46" spans="1:4" ht="15" customHeight="1" x14ac:dyDescent="0.25">
      <c r="A46" s="1" t="s">
        <v>8</v>
      </c>
      <c r="B46">
        <f>_xlfn.STDEV.S(B3:B10)/SQRT(COUNT(B3:B10))</f>
        <v>8.7605187159375245E-4</v>
      </c>
      <c r="C46">
        <f t="shared" ref="C46:D46" si="4">_xlfn.STDEV.S(C3:C10)/SQRT(COUNT(C3:C10))</f>
        <v>1.3082813806511548E-3</v>
      </c>
      <c r="D46">
        <f t="shared" si="4"/>
        <v>9.4025744206439334E-4</v>
      </c>
    </row>
    <row r="47" spans="1:4" x14ac:dyDescent="0.25">
      <c r="A47" s="1"/>
      <c r="B47">
        <f>_xlfn.STDEV.S(B12:B19)/SQRT(COUNT(B12:B19))</f>
        <v>7.5533276317193878E-4</v>
      </c>
      <c r="C47">
        <f>_xlfn.STDEV.S(C12:C19)/SQRT(COUNT(C12:C19))</f>
        <v>1.1148441341488429E-3</v>
      </c>
      <c r="D47">
        <f>_xlfn.STDEV.S(D12:D19)/SQRT(COUNT(D12:D19))</f>
        <v>1.0358176051144599E-3</v>
      </c>
    </row>
    <row r="48" spans="1:4" x14ac:dyDescent="0.25">
      <c r="A48" s="1"/>
      <c r="B48">
        <f>_xlfn.STDEV.S(B21:B29)/SQRT(COUNT(B21:B29))</f>
        <v>6.9634638058081386E-4</v>
      </c>
      <c r="C48">
        <f t="shared" ref="C48:D48" si="5">_xlfn.STDEV.S(C21:C29)/SQRT(COUNT(C21:C29))</f>
        <v>1.5447988761592805E-3</v>
      </c>
      <c r="D48">
        <f t="shared" si="5"/>
        <v>5.2376056905193216E-4</v>
      </c>
    </row>
    <row r="49" spans="1:4" x14ac:dyDescent="0.25">
      <c r="A49" s="1"/>
      <c r="B49">
        <f>_xlfn.STDEV.S(B31:B39)/SQRT(COUNT(B31:B39))</f>
        <v>4.6064433919971358E-4</v>
      </c>
      <c r="C49">
        <f t="shared" ref="C49:D49" si="6">_xlfn.STDEV.S(C31:C39)/SQRT(COUNT(C31:C39))</f>
        <v>1.4859178021146746E-3</v>
      </c>
      <c r="D49">
        <f t="shared" si="6"/>
        <v>6.0248497789034251E-4</v>
      </c>
    </row>
    <row r="51" spans="1:4" ht="15" customHeight="1" x14ac:dyDescent="0.25">
      <c r="A51" s="1" t="s">
        <v>9</v>
      </c>
      <c r="B51">
        <f>TTEST(B3:B10,C3:C10,2,2)</f>
        <v>1.5278120451542915E-2</v>
      </c>
      <c r="C51">
        <f>TTEST(B3:B10,D3:D10,2,2)</f>
        <v>0.63232101196030643</v>
      </c>
      <c r="D51">
        <f>TTEST(C3:C10,D3:D10,2,2)</f>
        <v>3.6707047266494208E-2</v>
      </c>
    </row>
    <row r="52" spans="1:4" x14ac:dyDescent="0.25">
      <c r="A52" s="1"/>
      <c r="B52">
        <f>TTEST(B12:B19,C12:C19,2,2)</f>
        <v>3.6731275708456535E-4</v>
      </c>
      <c r="C52">
        <f>TTEST(B12:B19,D12:D19,2,2)</f>
        <v>0.44787185905501914</v>
      </c>
      <c r="D52">
        <f>TTEST(C12:C19,D12:D19,2,2)</f>
        <v>3.7767557758480934E-3</v>
      </c>
    </row>
    <row r="53" spans="1:4" x14ac:dyDescent="0.25">
      <c r="A53" s="1"/>
      <c r="B53">
        <f>TTEST(B21:B29,C21:C29,2,2)</f>
        <v>2.276304587423159E-3</v>
      </c>
      <c r="C53">
        <f>TTEST(B21:B29,D21:D29,2,2)</f>
        <v>0.4797637535523942</v>
      </c>
      <c r="D53">
        <f>TTEST(C21:C29,D21:D29,2,2)</f>
        <v>3.8253664409615327E-3</v>
      </c>
    </row>
    <row r="54" spans="1:4" x14ac:dyDescent="0.25">
      <c r="A54" s="1"/>
      <c r="B54">
        <f>TTEST(B31:B39,C31:C39,2,2)</f>
        <v>6.5623723575967399E-4</v>
      </c>
      <c r="C54">
        <f>TTEST(B31:B39,D31:D39,2,2)</f>
        <v>0.7204103307679699</v>
      </c>
      <c r="D54">
        <f>TTEST(C31:C39,D31:D39,2,2)</f>
        <v>1.2260241446379223E-3</v>
      </c>
    </row>
  </sheetData>
  <mergeCells count="7">
    <mergeCell ref="A41:A44"/>
    <mergeCell ref="A46:A49"/>
    <mergeCell ref="A51:A54"/>
    <mergeCell ref="A3:A10"/>
    <mergeCell ref="A12:A19"/>
    <mergeCell ref="A21:A29"/>
    <mergeCell ref="A31:A3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"/>
  <sheetViews>
    <sheetView workbookViewId="0">
      <selection activeCell="M25" sqref="M25"/>
    </sheetView>
  </sheetViews>
  <sheetFormatPr defaultRowHeight="15" x14ac:dyDescent="0.25"/>
  <sheetData>
    <row r="2" spans="1:4" x14ac:dyDescent="0.25">
      <c r="B2" t="s">
        <v>2</v>
      </c>
      <c r="C2" t="s">
        <v>3</v>
      </c>
      <c r="D2" t="s">
        <v>4</v>
      </c>
    </row>
    <row r="3" spans="1:4" x14ac:dyDescent="0.25">
      <c r="A3" s="1" t="s">
        <v>0</v>
      </c>
      <c r="B3">
        <v>3.5087719298245602E-3</v>
      </c>
      <c r="C3">
        <v>1.05263157894737E-2</v>
      </c>
      <c r="D3">
        <v>2.3391812865497098E-3</v>
      </c>
    </row>
    <row r="4" spans="1:4" x14ac:dyDescent="0.25">
      <c r="A4" s="1"/>
      <c r="B4">
        <v>2.84900284900285E-3</v>
      </c>
      <c r="C4">
        <v>7.59734093067426E-3</v>
      </c>
      <c r="D4">
        <v>4.74833808167142E-3</v>
      </c>
    </row>
    <row r="5" spans="1:4" x14ac:dyDescent="0.25">
      <c r="A5" s="1"/>
      <c r="B5">
        <v>1.13895216400911E-3</v>
      </c>
      <c r="C5">
        <v>2.1260440394836801E-2</v>
      </c>
      <c r="D5">
        <v>1.8982536066818501E-3</v>
      </c>
    </row>
    <row r="6" spans="1:4" x14ac:dyDescent="0.25">
      <c r="A6" s="1"/>
      <c r="B6">
        <v>2.9498525073746299E-3</v>
      </c>
      <c r="C6">
        <v>1.2168141592920401E-2</v>
      </c>
      <c r="D6">
        <v>4.0560471976401197E-3</v>
      </c>
    </row>
    <row r="7" spans="1:4" x14ac:dyDescent="0.25">
      <c r="A7" s="1"/>
      <c r="B7">
        <v>0</v>
      </c>
      <c r="C7">
        <v>7.4200913242009102E-3</v>
      </c>
      <c r="D7">
        <v>1.9977168949771701E-3</v>
      </c>
    </row>
    <row r="8" spans="1:4" x14ac:dyDescent="0.25">
      <c r="A8" s="1"/>
      <c r="B8">
        <v>1.23609394313968E-3</v>
      </c>
      <c r="C8">
        <v>1.35970333745365E-2</v>
      </c>
      <c r="D8">
        <v>1.64812525751957E-3</v>
      </c>
    </row>
    <row r="9" spans="1:4" x14ac:dyDescent="0.25">
      <c r="A9" s="1"/>
      <c r="B9">
        <v>1.5455950540958299E-3</v>
      </c>
      <c r="C9">
        <v>1.31375579598145E-2</v>
      </c>
      <c r="D9">
        <v>1.8031942297784601E-3</v>
      </c>
    </row>
    <row r="10" spans="1:4" x14ac:dyDescent="0.25">
      <c r="A10" s="1"/>
      <c r="B10">
        <v>5.2762259466170103E-3</v>
      </c>
      <c r="C10">
        <v>1.0862818125388E-2</v>
      </c>
      <c r="D10">
        <v>4.6554934823091199E-3</v>
      </c>
    </row>
    <row r="12" spans="1:4" x14ac:dyDescent="0.25">
      <c r="A12" s="1" t="s">
        <v>1</v>
      </c>
      <c r="B12">
        <v>1.3280212483399701E-3</v>
      </c>
      <c r="C12">
        <v>3.9840637450199202E-3</v>
      </c>
      <c r="D12">
        <v>8.8534749889331596E-4</v>
      </c>
    </row>
    <row r="13" spans="1:4" x14ac:dyDescent="0.25">
      <c r="A13" s="1"/>
      <c r="B13">
        <v>2.6143790849673201E-3</v>
      </c>
      <c r="C13">
        <v>1.1111111111111099E-2</v>
      </c>
      <c r="D13">
        <v>2.6143790849673201E-3</v>
      </c>
    </row>
    <row r="14" spans="1:4" x14ac:dyDescent="0.25">
      <c r="A14" s="1"/>
      <c r="B14">
        <v>1.1961722488038301E-3</v>
      </c>
      <c r="C14">
        <v>4.3859649122806998E-3</v>
      </c>
      <c r="D14">
        <v>1.59489633173844E-3</v>
      </c>
    </row>
    <row r="15" spans="1:4" x14ac:dyDescent="0.25">
      <c r="A15" s="1"/>
      <c r="B15">
        <v>3.0921459492888099E-4</v>
      </c>
      <c r="C15">
        <v>1.3605442176870699E-2</v>
      </c>
      <c r="D15">
        <v>1.2368583797155201E-3</v>
      </c>
    </row>
    <row r="16" spans="1:4" x14ac:dyDescent="0.25">
      <c r="A16" s="1"/>
      <c r="B16">
        <v>5.3408733898837601E-3</v>
      </c>
      <c r="C16">
        <v>5.3408733898837601E-3</v>
      </c>
      <c r="D16">
        <v>5.3408733898837601E-3</v>
      </c>
    </row>
    <row r="17" spans="1:4" x14ac:dyDescent="0.25">
      <c r="A17" s="1"/>
      <c r="B17">
        <v>2.5697503671072001E-3</v>
      </c>
      <c r="C17">
        <v>1.21145374449339E-2</v>
      </c>
      <c r="D17">
        <v>3.6710719530102802E-3</v>
      </c>
    </row>
    <row r="18" spans="1:4" x14ac:dyDescent="0.25">
      <c r="A18" s="1"/>
      <c r="B18">
        <v>2.59605399792316E-3</v>
      </c>
      <c r="C18">
        <v>1.4018691588785E-2</v>
      </c>
      <c r="D18">
        <v>3.6344755970924201E-3</v>
      </c>
    </row>
    <row r="19" spans="1:4" x14ac:dyDescent="0.25">
      <c r="A19" s="1"/>
      <c r="B19">
        <v>1.9774011299435001E-3</v>
      </c>
      <c r="C19">
        <v>1.2146892655367199E-2</v>
      </c>
      <c r="D19">
        <v>2.8248587570621499E-3</v>
      </c>
    </row>
    <row r="21" spans="1:4" ht="15" customHeight="1" x14ac:dyDescent="0.25">
      <c r="A21" s="1" t="s">
        <v>5</v>
      </c>
      <c r="B21">
        <v>1.7334026694401099E-4</v>
      </c>
      <c r="C21">
        <v>2.7041081643265699E-2</v>
      </c>
      <c r="D21">
        <v>8.6670133472005505E-4</v>
      </c>
    </row>
    <row r="22" spans="1:4" x14ac:dyDescent="0.25">
      <c r="A22" s="1"/>
      <c r="B22">
        <v>3.4722222222222199E-3</v>
      </c>
      <c r="C22">
        <v>3.7037037037036999E-3</v>
      </c>
      <c r="D22">
        <v>3.7037037037036999E-3</v>
      </c>
    </row>
    <row r="23" spans="1:4" x14ac:dyDescent="0.25">
      <c r="A23" s="1"/>
      <c r="B23">
        <v>2.5419420437213999E-3</v>
      </c>
      <c r="C23">
        <v>1.4404338247754601E-2</v>
      </c>
      <c r="D23">
        <v>3.5587188612099599E-3</v>
      </c>
    </row>
    <row r="24" spans="1:4" x14ac:dyDescent="0.25">
      <c r="A24" s="1"/>
      <c r="B24">
        <v>1.31810193321617E-3</v>
      </c>
      <c r="C24">
        <v>2.0210896309314601E-2</v>
      </c>
      <c r="D24">
        <v>1.6110134739308699E-3</v>
      </c>
    </row>
    <row r="25" spans="1:4" x14ac:dyDescent="0.25">
      <c r="A25" s="1"/>
      <c r="B25">
        <v>1.5994881637875901E-3</v>
      </c>
      <c r="C25">
        <v>3.9347408829174702E-2</v>
      </c>
      <c r="D25">
        <v>9.5969289827255297E-4</v>
      </c>
    </row>
    <row r="26" spans="1:4" x14ac:dyDescent="0.25">
      <c r="A26" s="1"/>
      <c r="B26">
        <v>4.1431261770244797E-3</v>
      </c>
      <c r="C26">
        <v>1.5065913370998099E-3</v>
      </c>
      <c r="D26">
        <v>6.0263653483992501E-3</v>
      </c>
    </row>
    <row r="27" spans="1:4" x14ac:dyDescent="0.25">
      <c r="A27" s="1"/>
      <c r="B27">
        <v>5.1813471502590702E-3</v>
      </c>
      <c r="C27">
        <v>5.1813471502590702E-3</v>
      </c>
      <c r="D27">
        <v>3.45423143350604E-3</v>
      </c>
    </row>
    <row r="28" spans="1:4" x14ac:dyDescent="0.25">
      <c r="A28" s="1"/>
      <c r="B28">
        <v>1.5709797200799799E-3</v>
      </c>
      <c r="C28">
        <v>1.27106540988289E-2</v>
      </c>
      <c r="D28">
        <v>2.42787774921451E-3</v>
      </c>
    </row>
    <row r="29" spans="1:4" x14ac:dyDescent="0.25">
      <c r="A29" s="1"/>
      <c r="B29">
        <v>1.00250626566416E-2</v>
      </c>
      <c r="C29">
        <v>6.7669172932330801E-3</v>
      </c>
      <c r="D29">
        <v>7.7694235588972402E-3</v>
      </c>
    </row>
    <row r="31" spans="1:4" ht="15" customHeight="1" x14ac:dyDescent="0.25">
      <c r="A31" s="1" t="s">
        <v>6</v>
      </c>
      <c r="B31">
        <v>3.6609921288669199E-4</v>
      </c>
      <c r="C31">
        <v>2.5993044114955201E-2</v>
      </c>
      <c r="D31">
        <v>1.8304960644334599E-3</v>
      </c>
    </row>
    <row r="32" spans="1:4" x14ac:dyDescent="0.25">
      <c r="A32" s="1"/>
      <c r="B32">
        <v>4.0130423877602203E-3</v>
      </c>
      <c r="C32">
        <v>5.7687484324053196E-3</v>
      </c>
      <c r="D32">
        <v>3.51141208929019E-3</v>
      </c>
    </row>
    <row r="33" spans="1:4" x14ac:dyDescent="0.25">
      <c r="A33" s="1"/>
      <c r="B33">
        <v>3.0057108506161699E-3</v>
      </c>
      <c r="C33">
        <v>1.3525698827772799E-2</v>
      </c>
      <c r="D33">
        <v>3.9074241058010203E-3</v>
      </c>
    </row>
    <row r="34" spans="1:4" x14ac:dyDescent="0.25">
      <c r="A34" s="1"/>
      <c r="B34">
        <v>1.3901760889712699E-3</v>
      </c>
      <c r="C34">
        <v>2.0852641334568999E-2</v>
      </c>
      <c r="D34">
        <v>7.7232004942848296E-4</v>
      </c>
    </row>
    <row r="35" spans="1:4" x14ac:dyDescent="0.25">
      <c r="A35" s="1"/>
      <c r="B35">
        <v>1.39762403913347E-3</v>
      </c>
      <c r="C35">
        <v>3.1795946890286503E-2</v>
      </c>
      <c r="D35">
        <v>1.0482180293501001E-3</v>
      </c>
    </row>
    <row r="36" spans="1:4" x14ac:dyDescent="0.25">
      <c r="A36" s="1"/>
      <c r="B36">
        <v>3.3632286995515701E-3</v>
      </c>
      <c r="C36">
        <v>2.61584454409567E-3</v>
      </c>
      <c r="D36">
        <v>4.8579970104633803E-3</v>
      </c>
    </row>
    <row r="37" spans="1:4" x14ac:dyDescent="0.25">
      <c r="A37" s="1"/>
      <c r="B37">
        <v>3.9920159680638702E-3</v>
      </c>
      <c r="C37">
        <v>7.9840319361277404E-3</v>
      </c>
      <c r="D37">
        <v>3.9920159680638702E-3</v>
      </c>
    </row>
    <row r="38" spans="1:4" x14ac:dyDescent="0.25">
      <c r="A38" s="1"/>
      <c r="B38">
        <v>1.6173378618793499E-3</v>
      </c>
      <c r="C38">
        <v>1.1968300177907201E-2</v>
      </c>
      <c r="D38">
        <v>2.4260067928190202E-3</v>
      </c>
    </row>
    <row r="39" spans="1:4" x14ac:dyDescent="0.25">
      <c r="A39" s="1"/>
      <c r="B39">
        <v>1.0820797044075001E-2</v>
      </c>
      <c r="C39">
        <v>6.0702032198469303E-3</v>
      </c>
      <c r="D39">
        <v>8.7094220110847196E-3</v>
      </c>
    </row>
    <row r="41" spans="1:4" x14ac:dyDescent="0.25">
      <c r="A41" s="1" t="s">
        <v>7</v>
      </c>
      <c r="B41">
        <f>AVERAGE(B3:B10)</f>
        <v>2.3130617992579588E-3</v>
      </c>
      <c r="C41">
        <f t="shared" ref="C41:D41" si="0">AVERAGE(C3:C10)</f>
        <v>1.2071217436480635E-2</v>
      </c>
      <c r="D41">
        <f t="shared" si="0"/>
        <v>2.8932937546409273E-3</v>
      </c>
    </row>
    <row r="42" spans="1:4" x14ac:dyDescent="0.25">
      <c r="A42" s="1"/>
      <c r="B42">
        <f>AVERAGE(B12:B19)</f>
        <v>2.2414832577372025E-3</v>
      </c>
      <c r="C42">
        <f t="shared" ref="C42:D42" si="1">AVERAGE(C12:C19)</f>
        <v>9.5884471280315332E-3</v>
      </c>
      <c r="D42">
        <f t="shared" si="1"/>
        <v>2.7253451240454004E-3</v>
      </c>
    </row>
    <row r="43" spans="1:4" x14ac:dyDescent="0.25">
      <c r="A43" s="1"/>
      <c r="B43">
        <f>AVERAGE(B21:B29)</f>
        <v>3.3361789259885024E-3</v>
      </c>
      <c r="C43">
        <f t="shared" ref="C43:D43" si="2">AVERAGE(C21:C29)</f>
        <v>1.4541437623626018E-2</v>
      </c>
      <c r="D43">
        <f t="shared" si="2"/>
        <v>3.3753031513171308E-3</v>
      </c>
    </row>
    <row r="44" spans="1:4" x14ac:dyDescent="0.25">
      <c r="A44" s="1"/>
      <c r="B44">
        <f>AVERAGE(B31:B39)</f>
        <v>3.3295591281041789E-3</v>
      </c>
      <c r="C44">
        <f t="shared" ref="C44:D44" si="3">AVERAGE(C31:C39)</f>
        <v>1.4063828830885151E-2</v>
      </c>
      <c r="D44">
        <f t="shared" si="3"/>
        <v>3.4505902356371382E-3</v>
      </c>
    </row>
    <row r="46" spans="1:4" x14ac:dyDescent="0.25">
      <c r="A46" s="1" t="s">
        <v>8</v>
      </c>
      <c r="B46">
        <f>_xlfn.STDEV.S(B3:B10)/SQRT(COUNT(B3:B10))</f>
        <v>5.8828523490631339E-4</v>
      </c>
      <c r="C46">
        <f t="shared" ref="C46:D47" si="4">_xlfn.STDEV.S(C3:C10)/SQRT(COUNT(C3:C10))</f>
        <v>1.5434880741042874E-3</v>
      </c>
      <c r="D46">
        <f t="shared" si="4"/>
        <v>4.7690403908750965E-4</v>
      </c>
    </row>
    <row r="47" spans="1:4" x14ac:dyDescent="0.25">
      <c r="A47" s="1"/>
      <c r="B47">
        <f>_xlfn.STDEV.S(B12:B19)/SQRT(COUNT(B12:B19))</f>
        <v>5.2964340594140191E-4</v>
      </c>
      <c r="C47">
        <f>_xlfn.STDEV.S(C12:C19)/SQRT(COUNT(C12:C19))</f>
        <v>1.5090525266896883E-3</v>
      </c>
      <c r="D47">
        <f>_xlfn.STDEV.S(D12:D19)/SQRT(COUNT(D12:D19))</f>
        <v>5.2547972142248764E-4</v>
      </c>
    </row>
    <row r="48" spans="1:4" x14ac:dyDescent="0.25">
      <c r="A48" s="1"/>
      <c r="B48">
        <f>_xlfn.STDEV.S(B21:B29)/SQRT(COUNT(B21:B29))</f>
        <v>9.8357695696462441E-4</v>
      </c>
      <c r="C48">
        <f>_xlfn.STDEV.S(C21:C29)/SQRT(COUNT(C21:C29))</f>
        <v>4.1541625521213247E-3</v>
      </c>
      <c r="D48">
        <f t="shared" ref="C48:D48" si="5">_xlfn.STDEV.S(D21:D29)/SQRT(COUNT(D21:D29))</f>
        <v>7.6940391587878405E-4</v>
      </c>
    </row>
    <row r="49" spans="1:4" x14ac:dyDescent="0.25">
      <c r="A49" s="1"/>
      <c r="B49">
        <f>_xlfn.STDEV.S(B31:B39)/SQRT(COUNT(B31:B39))</f>
        <v>1.0296846293463796E-3</v>
      </c>
      <c r="C49">
        <f t="shared" ref="C49:D49" si="6">_xlfn.STDEV.S(C31:C39)/SQRT(COUNT(C31:C39))</f>
        <v>3.3504346139113981E-3</v>
      </c>
      <c r="D49">
        <f t="shared" si="6"/>
        <v>8.0588670576066791E-4</v>
      </c>
    </row>
    <row r="51" spans="1:4" x14ac:dyDescent="0.25">
      <c r="A51" s="1" t="s">
        <v>9</v>
      </c>
      <c r="B51">
        <f>TTEST(B3:B10,C3:C10,2,2)</f>
        <v>3.8174536457864734E-5</v>
      </c>
      <c r="C51">
        <f>TTEST(B3:B10,D3:D10,2,2)</f>
        <v>0.45629658496113434</v>
      </c>
      <c r="D51">
        <f>TTEST(C3:C10,D3:D10,2,2)</f>
        <v>5.6703466566826117E-5</v>
      </c>
    </row>
    <row r="52" spans="1:4" x14ac:dyDescent="0.25">
      <c r="A52" s="1"/>
      <c r="B52">
        <f>TTEST(B12:B19,C12:C19,2,2)</f>
        <v>4.1731095770774536E-4</v>
      </c>
      <c r="C52">
        <f>TTEST(B12:B19,D12:D19,2,2)</f>
        <v>0.52713752208072306</v>
      </c>
      <c r="D52">
        <f>TTEST(C12:C19,D12:D19,2,2)</f>
        <v>7.4066717292124273E-4</v>
      </c>
    </row>
    <row r="53" spans="1:4" x14ac:dyDescent="0.25">
      <c r="A53" s="1"/>
      <c r="B53">
        <f>TTEST(B21:B29,C21:C29,2,2)</f>
        <v>1.8390143983984437E-2</v>
      </c>
      <c r="C53">
        <f>TTEST(B21:B29,D21:D29,2,2)</f>
        <v>0.97539353242858451</v>
      </c>
      <c r="D53">
        <f>TTEST(C21:C29,D21:D29,2,2)</f>
        <v>1.772076223422665E-2</v>
      </c>
    </row>
    <row r="54" spans="1:4" x14ac:dyDescent="0.25">
      <c r="A54" s="1"/>
      <c r="B54">
        <f>TTEST(B31:B39,C31:C39,2,2)</f>
        <v>7.4419885549516212E-3</v>
      </c>
      <c r="C54">
        <f>TTEST(B31:B39,D31:D39,2,2)</f>
        <v>0.92739997738932001</v>
      </c>
      <c r="D54">
        <f>TTEST(C31:C39,D31:D39,2,2)</f>
        <v>7.17593734716574E-3</v>
      </c>
    </row>
  </sheetData>
  <mergeCells count="7">
    <mergeCell ref="A51:A54"/>
    <mergeCell ref="A3:A10"/>
    <mergeCell ref="A12:A19"/>
    <mergeCell ref="A21:A29"/>
    <mergeCell ref="A31:A39"/>
    <mergeCell ref="A41:A44"/>
    <mergeCell ref="A46:A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</vt:lpstr>
      <vt:lpstr>PAR</vt:lpstr>
      <vt:lpstr>CA1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2017-05-02T18:20:26Z</dcterms:modified>
</cp:coreProperties>
</file>